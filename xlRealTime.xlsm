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RealTime\"/>
    </mc:Choice>
  </mc:AlternateContent>
  <xr:revisionPtr revIDLastSave="0" documentId="13_ncr:1_{A3CDE831-76A4-4998-B412-EF770646CD98}" xr6:coauthVersionLast="47" xr6:coauthVersionMax="47" xr10:uidLastSave="{00000000-0000-0000-0000-000000000000}"/>
  <bookViews>
    <workbookView xWindow="-120" yWindow="-120" windowWidth="26760" windowHeight="14520" xr2:uid="{0068247A-EED3-44CC-A482-CDD3FBD95774}"/>
  </bookViews>
  <sheets>
    <sheet name="Presidente 2T" sheetId="2" r:id="rId1"/>
    <sheet name="Governador 2T" sheetId="5" r:id="rId2"/>
    <sheet name="Log da Apuracao" sheetId="6" r:id="rId3"/>
    <sheet name="Listas" sheetId="4" r:id="rId4"/>
  </sheets>
  <functionGroups builtInGroupCount="19"/>
  <definedNames>
    <definedName name="_xlchart.v5.0" hidden="1">'Presidente 2T'!$A$51:$B$51</definedName>
    <definedName name="_xlchart.v5.1" hidden="1">'Presidente 2T'!$A$52:$B$78</definedName>
    <definedName name="_xlchart.v5.2" hidden="1">'Presidente 2T'!$C$51</definedName>
    <definedName name="_xlchart.v5.3" hidden="1">'Presidente 2T'!$C$52:$C$78</definedName>
    <definedName name="_xlchart.v5.4" hidden="1">'Presidente 2T'!$D$51</definedName>
    <definedName name="_xlchart.v5.5" hidden="1">'Presidente 2T'!$D$52:$D$78</definedName>
    <definedName name="_xlpm.x" hidden="1" xlm="1">#NAME?</definedName>
    <definedName name="Estados">Listas!$A$3:$A$29</definedName>
    <definedName name="Estados_2T">Listas!$D$3:$D$13</definedName>
    <definedName name="Estados_2T_URL">Listas!$D$3:$F$13</definedName>
    <definedName name="GatilhoApurados">'Presidente 2T'!$K$45</definedName>
    <definedName name="GatilhoVantagem">'Presidente 2T'!$O$45</definedName>
    <definedName name="json_br" localSheetId="1">'Governador 2T'!$A$7</definedName>
    <definedName name="json_br" localSheetId="0">'Presidente 2T'!$A$7</definedName>
    <definedName name="json_estados" localSheetId="0">'Presidente 2T'!$C$9:$C$35</definedName>
    <definedName name="LOG_PRESIDENTE">'Log da Apuracao'!$A$2:$C$422</definedName>
    <definedName name="MIDIA_STATUS">'Presidente 2T'!$Z$1</definedName>
    <definedName name="PresidenteFrente">'Presidente 2T'!$M$1</definedName>
    <definedName name="PresidenteResultados">'Presidente 2T'!$A$45:$G$46</definedName>
    <definedName name="TabelaMomentosCruciais">Listas!$D$21:$I$27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 a="1"/>
  <c r="C35" i="2" a="1"/>
  <c r="A7" i="2" l="1"/>
  <c r="C35" i="2"/>
  <c r="C34" i="2" a="1"/>
  <c r="C34" i="2" l="1"/>
  <c r="C33" i="2" a="1"/>
  <c r="C33" i="2" l="1"/>
  <c r="C32" i="2" a="1"/>
  <c r="C32" i="2" l="1"/>
  <c r="C31" i="2" a="1"/>
  <c r="C31" i="2" l="1"/>
  <c r="C30" i="2" a="1"/>
  <c r="C30" i="2" l="1"/>
  <c r="C29" i="2" a="1"/>
  <c r="C29" i="2" l="1"/>
  <c r="C28" i="2" a="1"/>
  <c r="C28" i="2" l="1"/>
  <c r="C27" i="2" a="1"/>
  <c r="C27" i="2" l="1"/>
  <c r="C26" i="2" a="1"/>
  <c r="C26" i="2" l="1"/>
  <c r="C25" i="2" a="1"/>
  <c r="C25" i="2" l="1"/>
  <c r="C24" i="2" a="1"/>
  <c r="C24" i="2" l="1"/>
  <c r="C23" i="2" a="1"/>
  <c r="C23" i="2" l="1"/>
  <c r="C22" i="2" a="1"/>
  <c r="C22" i="2" l="1"/>
  <c r="C21" i="2" a="1"/>
  <c r="C21" i="2" l="1"/>
  <c r="C20" i="2" a="1"/>
  <c r="C20" i="2" l="1"/>
  <c r="C19" i="2" a="1"/>
  <c r="C19" i="2" l="1"/>
  <c r="C18" i="2" a="1"/>
  <c r="C18" i="2" l="1"/>
  <c r="C17" i="2" a="1"/>
  <c r="C17" i="2" l="1"/>
  <c r="C16" i="2" a="1"/>
  <c r="C16" i="2" l="1"/>
  <c r="C15" i="2" a="1"/>
  <c r="C15" i="2" l="1"/>
  <c r="C14" i="2" a="1"/>
  <c r="C14" i="2" l="1"/>
  <c r="C13" i="2" a="1"/>
  <c r="C13" i="2" l="1"/>
  <c r="C12" i="2" a="1"/>
  <c r="C12" i="2" l="1"/>
  <c r="C11" i="2" a="1"/>
  <c r="C11" i="2" l="1"/>
  <c r="C10" i="2" a="1"/>
  <c r="C10" i="2" l="1"/>
  <c r="C9" i="2" a="1"/>
  <c r="C9" i="2" l="1"/>
  <c r="U1" i="2" l="1"/>
  <c r="F3" i="4" l="1"/>
  <c r="F4" i="4"/>
  <c r="F5" i="4"/>
  <c r="F6" i="4"/>
  <c r="F7" i="4"/>
  <c r="F8" i="4"/>
  <c r="F9" i="4"/>
  <c r="F10" i="4"/>
  <c r="F11" i="4"/>
  <c r="F12" i="4"/>
  <c r="F13" i="4"/>
  <c r="E1" i="5"/>
  <c r="A4" i="5" s="1"/>
  <c r="A7" i="5" a="1"/>
  <c r="A7" i="5" l="1"/>
  <c r="W1" i="5"/>
  <c r="K17" i="5"/>
  <c r="J17" i="5"/>
  <c r="A11" i="5" a="1"/>
  <c r="I17" i="5"/>
  <c r="C58" i="2" a="1"/>
  <c r="F65" i="2"/>
  <c r="C70" i="2" a="1"/>
  <c r="F55" i="2"/>
  <c r="C52" i="2" a="1"/>
  <c r="G57" i="2"/>
  <c r="D52" i="2" a="1"/>
  <c r="C68" i="2" a="1"/>
  <c r="C55" i="2" a="1"/>
  <c r="G77" i="2"/>
  <c r="G71" i="2"/>
  <c r="C59" i="2" a="1"/>
  <c r="D65" i="2" a="1"/>
  <c r="G66" i="2"/>
  <c r="D62" i="2" a="1"/>
  <c r="C72" i="2" a="1"/>
  <c r="E72" i="2"/>
  <c r="E64" i="2"/>
  <c r="G72" i="2"/>
  <c r="C61" i="2" a="1"/>
  <c r="C71" i="2" a="1"/>
  <c r="E65" i="2"/>
  <c r="C60" i="2" a="1"/>
  <c r="F60" i="2"/>
  <c r="G58" i="2"/>
  <c r="G78" i="2"/>
  <c r="G52" i="2"/>
  <c r="E59" i="2"/>
  <c r="D68" i="2" a="1"/>
  <c r="G69" i="2"/>
  <c r="F64" i="2"/>
  <c r="E63" i="2"/>
  <c r="D72" i="2" a="1"/>
  <c r="C67" i="2" a="1"/>
  <c r="F61" i="2"/>
  <c r="D76" i="2" a="1"/>
  <c r="D75" i="2" a="1"/>
  <c r="D56" i="2" a="1"/>
  <c r="D78" i="2" a="1"/>
  <c r="E68" i="2"/>
  <c r="C74" i="2" a="1"/>
  <c r="C62" i="2" a="1"/>
  <c r="E56" i="2"/>
  <c r="F59" i="2"/>
  <c r="F75" i="2"/>
  <c r="G54" i="2"/>
  <c r="G68" i="2"/>
  <c r="F73" i="2"/>
  <c r="F78" i="2"/>
  <c r="D57" i="2" a="1"/>
  <c r="C56" i="2" a="1"/>
  <c r="F76" i="2"/>
  <c r="D63" i="2" a="1"/>
  <c r="G76" i="2"/>
  <c r="F54" i="2"/>
  <c r="D61" i="2" a="1"/>
  <c r="G65" i="2"/>
  <c r="E61" i="2"/>
  <c r="G75" i="2"/>
  <c r="E78" i="2"/>
  <c r="D67" i="2" a="1"/>
  <c r="G60" i="2"/>
  <c r="F74" i="2"/>
  <c r="F52" i="2"/>
  <c r="G67" i="2"/>
  <c r="E70" i="2"/>
  <c r="E67" i="2"/>
  <c r="F69" i="2"/>
  <c r="F53" i="2"/>
  <c r="C76" i="2" a="1"/>
  <c r="F58" i="2"/>
  <c r="F70" i="2"/>
  <c r="D64" i="2" a="1"/>
  <c r="D71" i="2" a="1"/>
  <c r="E58" i="2"/>
  <c r="C64" i="2" a="1"/>
  <c r="G59" i="2"/>
  <c r="G70" i="2"/>
  <c r="D70" i="2" a="1"/>
  <c r="C54" i="2" a="1"/>
  <c r="F72" i="2"/>
  <c r="C69" i="2" a="1"/>
  <c r="D74" i="2" a="1"/>
  <c r="D54" i="2" a="1"/>
  <c r="D77" i="2" a="1"/>
  <c r="E75" i="2"/>
  <c r="G64" i="2"/>
  <c r="F63" i="2"/>
  <c r="E74" i="2"/>
  <c r="C73" i="2" a="1"/>
  <c r="E73" i="2"/>
  <c r="F66" i="2"/>
  <c r="D60" i="2" a="1"/>
  <c r="G63" i="2"/>
  <c r="E71" i="2"/>
  <c r="C78" i="2" a="1"/>
  <c r="F57" i="2"/>
  <c r="D73" i="2" a="1"/>
  <c r="C75" i="2" a="1"/>
  <c r="E62" i="2"/>
  <c r="G61" i="2"/>
  <c r="D55" i="2" a="1"/>
  <c r="C63" i="2" a="1"/>
  <c r="G74" i="2"/>
  <c r="C66" i="2" a="1"/>
  <c r="E77" i="2"/>
  <c r="E55" i="2"/>
  <c r="C57" i="2" a="1"/>
  <c r="E53" i="2"/>
  <c r="D53" i="2" a="1"/>
  <c r="C65" i="2" a="1"/>
  <c r="E69" i="2"/>
  <c r="F71" i="2"/>
  <c r="G55" i="2"/>
  <c r="D69" i="2" a="1"/>
  <c r="F68" i="2"/>
  <c r="G73" i="2"/>
  <c r="E76" i="2"/>
  <c r="D66" i="2" a="1"/>
  <c r="F67" i="2"/>
  <c r="D59" i="2" a="1"/>
  <c r="C53" i="2" a="1"/>
  <c r="E52" i="2"/>
  <c r="C77" i="2" a="1"/>
  <c r="G56" i="2"/>
  <c r="D58" i="2" a="1"/>
  <c r="E57" i="2"/>
  <c r="F77" i="2"/>
  <c r="E66" i="2"/>
  <c r="F56" i="2"/>
  <c r="G62" i="2"/>
  <c r="F62" i="2"/>
  <c r="E60" i="2"/>
  <c r="G53" i="2"/>
  <c r="E54" i="2"/>
  <c r="A39" i="2" a="1"/>
  <c r="K45" i="2"/>
  <c r="I45" i="2"/>
  <c r="J45" i="2"/>
  <c r="L17" i="5" l="1"/>
  <c r="A11" i="5"/>
  <c r="E17" i="5" a="1"/>
  <c r="E17" i="5" s="1"/>
  <c r="O1" i="5" s="1"/>
  <c r="D17" i="5" a="1"/>
  <c r="D17" i="5" s="1"/>
  <c r="F17" i="5" a="1"/>
  <c r="F17" i="5" s="1"/>
  <c r="A17" i="5" a="1"/>
  <c r="A17" i="5" s="1"/>
  <c r="C17" i="5" a="1"/>
  <c r="C17" i="5" s="1"/>
  <c r="B17" i="5" a="1"/>
  <c r="B17" i="5" s="1"/>
  <c r="M17" i="5"/>
  <c r="G17" i="5" a="1"/>
  <c r="G17" i="5" s="1"/>
  <c r="G18" i="5" a="1"/>
  <c r="G18" i="5" s="1"/>
  <c r="J1" i="5"/>
  <c r="N17" i="5"/>
  <c r="O17" i="5" s="1"/>
  <c r="F45" i="2" a="1"/>
  <c r="F45" i="2" s="1"/>
  <c r="L45" i="2"/>
  <c r="M45" i="2"/>
  <c r="D66" i="2"/>
  <c r="C66" i="2"/>
  <c r="D65" i="2"/>
  <c r="D61" i="2"/>
  <c r="C63" i="2"/>
  <c r="C67" i="2"/>
  <c r="C77" i="2"/>
  <c r="C59" i="2"/>
  <c r="D63" i="2"/>
  <c r="D77" i="2"/>
  <c r="D59" i="2"/>
  <c r="D58" i="2"/>
  <c r="D68" i="2"/>
  <c r="C71" i="2"/>
  <c r="C76" i="2"/>
  <c r="C55" i="2"/>
  <c r="D76" i="2"/>
  <c r="D55" i="2"/>
  <c r="C68" i="2"/>
  <c r="C64" i="2"/>
  <c r="C62" i="2"/>
  <c r="C74" i="2"/>
  <c r="D60" i="2"/>
  <c r="C69" i="2"/>
  <c r="C65" i="2"/>
  <c r="D53" i="2"/>
  <c r="C52" i="2"/>
  <c r="D69" i="2"/>
  <c r="C53" i="2"/>
  <c r="D67" i="2"/>
  <c r="D54" i="2"/>
  <c r="D74" i="2"/>
  <c r="C75" i="2"/>
  <c r="D73" i="2"/>
  <c r="C72" i="2"/>
  <c r="C70" i="2"/>
  <c r="C56" i="2"/>
  <c r="D71" i="2"/>
  <c r="D64" i="2"/>
  <c r="C73" i="2"/>
  <c r="D75" i="2"/>
  <c r="D52" i="2"/>
  <c r="C78" i="2"/>
  <c r="D78" i="2"/>
  <c r="D72" i="2"/>
  <c r="D70" i="2"/>
  <c r="D56" i="2"/>
  <c r="C54" i="2"/>
  <c r="D62" i="2"/>
  <c r="C57" i="2"/>
  <c r="D57" i="2"/>
  <c r="C60" i="2"/>
  <c r="C61" i="2"/>
  <c r="C58" i="2"/>
  <c r="A39" i="2"/>
  <c r="A45" i="2" a="1"/>
  <c r="A45" i="2" s="1"/>
  <c r="D45" i="2" a="1"/>
  <c r="D45" i="2" s="1"/>
  <c r="E45" i="2" a="1"/>
  <c r="E45" i="2" s="1"/>
  <c r="M1" i="2" s="1"/>
  <c r="B45" i="2" a="1"/>
  <c r="C45" i="2" a="1"/>
  <c r="C45" i="2" s="1"/>
  <c r="G1" i="2" l="1"/>
  <c r="N45" i="2"/>
  <c r="O45" i="2" s="1"/>
  <c r="B45" i="2"/>
  <c r="G45" i="2" s="1" a="1"/>
  <c r="G45" i="2" s="1"/>
  <c r="G46" i="2" l="1" a="1"/>
  <c r="G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<sst xmlns="http://schemas.openxmlformats.org/spreadsheetml/2006/main" count="319" uniqueCount="121">
  <si>
    <t>URL</t>
  </si>
  <si>
    <t>JSON</t>
  </si>
  <si>
    <t>Número</t>
  </si>
  <si>
    <t>Candidato</t>
  </si>
  <si>
    <t>Partido / Federação</t>
  </si>
  <si>
    <t>Vice</t>
  </si>
  <si>
    <t>ID</t>
  </si>
  <si>
    <t>Código</t>
  </si>
  <si>
    <t>% Votos</t>
  </si>
  <si>
    <t>Núm. Votos</t>
  </si>
  <si>
    <t>De JSON para Tabela</t>
  </si>
  <si>
    <t>De Tabela para Tabela Formatada</t>
  </si>
  <si>
    <t>Datafolha</t>
  </si>
  <si>
    <t>Partido</t>
  </si>
  <si>
    <t>Resultados do TSE: Presidente (2º turno)</t>
  </si>
  <si>
    <t>Estado</t>
  </si>
  <si>
    <t>Sigla</t>
  </si>
  <si>
    <t>Acre</t>
  </si>
  <si>
    <t>AC</t>
  </si>
  <si>
    <t>Alagoas</t>
  </si>
  <si>
    <t>AL</t>
  </si>
  <si>
    <t>Amapá</t>
  </si>
  <si>
    <t>AP</t>
  </si>
  <si>
    <t>Amazonas</t>
  </si>
  <si>
    <t>AM</t>
  </si>
  <si>
    <t>Bahia</t>
  </si>
  <si>
    <t>BA</t>
  </si>
  <si>
    <t>Ceará</t>
  </si>
  <si>
    <t>CE</t>
  </si>
  <si>
    <t>Espírito Santo</t>
  </si>
  <si>
    <t>ES</t>
  </si>
  <si>
    <t>Goiás</t>
  </si>
  <si>
    <t>GO</t>
  </si>
  <si>
    <t>Maranhão</t>
  </si>
  <si>
    <t>MA</t>
  </si>
  <si>
    <t>Mato Grosso</t>
  </si>
  <si>
    <t>MT</t>
  </si>
  <si>
    <t>Mato Grosso do Sul</t>
  </si>
  <si>
    <t>MS</t>
  </si>
  <si>
    <t>Minas Gerais</t>
  </si>
  <si>
    <t>MG</t>
  </si>
  <si>
    <t>Pará</t>
  </si>
  <si>
    <t>PA</t>
  </si>
  <si>
    <t>Paraíba</t>
  </si>
  <si>
    <t>PB</t>
  </si>
  <si>
    <t>Paraná</t>
  </si>
  <si>
    <t>PR</t>
  </si>
  <si>
    <t>Pernambuco</t>
  </si>
  <si>
    <t>PE</t>
  </si>
  <si>
    <t>Piauí</t>
  </si>
  <si>
    <t>PI</t>
  </si>
  <si>
    <t>Rio de Janeiro</t>
  </si>
  <si>
    <t>RJ</t>
  </si>
  <si>
    <t>Rio Grande do Norte</t>
  </si>
  <si>
    <t>RN</t>
  </si>
  <si>
    <t>Rio Grande do Sul</t>
  </si>
  <si>
    <t>RS</t>
  </si>
  <si>
    <t>Rondônia</t>
  </si>
  <si>
    <t>RO</t>
  </si>
  <si>
    <t>Roraima</t>
  </si>
  <si>
    <t>RR</t>
  </si>
  <si>
    <t>Santa Catarina</t>
  </si>
  <si>
    <t>SC</t>
  </si>
  <si>
    <t>São Paulo</t>
  </si>
  <si>
    <t>SP</t>
  </si>
  <si>
    <t>Sergipe</t>
  </si>
  <si>
    <t>SE</t>
  </si>
  <si>
    <t>Tocantins</t>
  </si>
  <si>
    <t>TO</t>
  </si>
  <si>
    <t>Distrito Federal</t>
  </si>
  <si>
    <t>DF</t>
  </si>
  <si>
    <t>Todos os estados</t>
  </si>
  <si>
    <t>Estados com 2º turno</t>
  </si>
  <si>
    <t>Nacional com 2º turno</t>
  </si>
  <si>
    <t>País</t>
  </si>
  <si>
    <t>Brasil</t>
  </si>
  <si>
    <t>BR</t>
  </si>
  <si>
    <t>Bolsonaro</t>
  </si>
  <si>
    <t>Lula</t>
  </si>
  <si>
    <t>LULA</t>
  </si>
  <si>
    <t>JAIR BOLSONARO</t>
  </si>
  <si>
    <t>https://resultados.tse.jus.br/oficial/ele2022/545/dados-simplificados/br/br-c0001-e000545-r.json</t>
  </si>
  <si>
    <t>Jair Bolsonaro</t>
  </si>
  <si>
    <t>ATLAS</t>
  </si>
  <si>
    <t>Apuração total</t>
  </si>
  <si>
    <t>Eleitores</t>
  </si>
  <si>
    <t>%</t>
  </si>
  <si>
    <t>Apurados</t>
  </si>
  <si>
    <t>Pesquisa</t>
  </si>
  <si>
    <t>Votação por estado</t>
  </si>
  <si>
    <t>Resultados do TSE: Governador (2º turno)</t>
  </si>
  <si>
    <t>Candidato B</t>
  </si>
  <si>
    <t>Momentos cruciais</t>
  </si>
  <si>
    <t>Momento</t>
  </si>
  <si>
    <t>Vitória do Lula</t>
  </si>
  <si>
    <t>Vitória do Bolsonaro</t>
  </si>
  <si>
    <t>https://www.youtube.com/watch?v=jSOVyhaymvg</t>
  </si>
  <si>
    <t>https://www.youtube.com/watch?v=gilUNUWcCc0</t>
  </si>
  <si>
    <t>https://www.youtube.com/watch?v=dm-TDjnl0Uw</t>
  </si>
  <si>
    <t>A apurar</t>
  </si>
  <si>
    <t>Vencedor</t>
  </si>
  <si>
    <t>Gatilho</t>
  </si>
  <si>
    <t>% dos votos a apurar</t>
  </si>
  <si>
    <t>Vantagem do 1º</t>
  </si>
  <si>
    <t>Candidato A (ordem alfabética)</t>
  </si>
  <si>
    <t>Virada do Lula</t>
  </si>
  <si>
    <t>Na frente</t>
  </si>
  <si>
    <t>Virada do Bolsonaro</t>
  </si>
  <si>
    <t>https://www.youtube.com/watch?v=_OwLQoPYxg4</t>
  </si>
  <si>
    <t>Hora</t>
  </si>
  <si>
    <t>Critério</t>
  </si>
  <si>
    <t>vantagem / votos a apurar (%)</t>
  </si>
  <si>
    <t>% mínimo dos votos apurados</t>
  </si>
  <si>
    <t>Crescimento do Lula</t>
  </si>
  <si>
    <t>Crescimento do Bolsonaro</t>
  </si>
  <si>
    <t>crescimento nos últimos 15 min</t>
  </si>
  <si>
    <t>Status da conexão</t>
  </si>
  <si>
    <t>Capitão do povo.wav</t>
  </si>
  <si>
    <t>Vai dar PT.wav</t>
  </si>
  <si>
    <t>Mídia</t>
  </si>
  <si>
    <t>Ativada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</si>
</sst>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hh:mm:ss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8" fillId="4" borderId="4" applyNumberFormat="0" applyAlignment="0" applyProtection="0"/>
    <xf numFmtId="0" fontId="9" fillId="5" borderId="6" applyNumberFormat="0" applyAlignment="0" applyProtection="0"/>
    <xf numFmtId="0" fontId="10" fillId="6" borderId="0" applyNumberFormat="0" applyBorder="0" applyAlignment="0" applyProtection="0"/>
  </cellStyleXfs>
  <cellXfs count="46">
    <xf numFmtId="0" fontId="0" fillId="0" borderId="0" xfId="0"/>
    <xf numFmtId="0" fontId="3" fillId="2" borderId="0" xfId="2" applyFont="1" applyFill="1"/>
    <xf numFmtId="0" fontId="2" fillId="2" borderId="0" xfId="2" applyFill="1"/>
    <xf numFmtId="0" fontId="1" fillId="0" borderId="0" xfId="1"/>
    <xf numFmtId="0" fontId="2" fillId="0" borderId="0" xfId="2"/>
    <xf numFmtId="164" fontId="2" fillId="0" borderId="0" xfId="2" applyNumberFormat="1"/>
    <xf numFmtId="2" fontId="2" fillId="0" borderId="0" xfId="2" applyNumberFormat="1"/>
    <xf numFmtId="0" fontId="6" fillId="0" borderId="0" xfId="2" applyFont="1"/>
    <xf numFmtId="0" fontId="0" fillId="0" borderId="1" xfId="0" applyBorder="1"/>
    <xf numFmtId="0" fontId="5" fillId="3" borderId="1" xfId="0" applyFont="1" applyFill="1" applyBorder="1"/>
    <xf numFmtId="0" fontId="5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left"/>
    </xf>
    <xf numFmtId="0" fontId="1" fillId="0" borderId="1" xfId="1" applyBorder="1" applyAlignment="1">
      <alignment horizontal="left"/>
    </xf>
    <xf numFmtId="0" fontId="2" fillId="0" borderId="2" xfId="2" applyBorder="1"/>
    <xf numFmtId="0" fontId="2" fillId="0" borderId="3" xfId="2" applyBorder="1"/>
    <xf numFmtId="0" fontId="7" fillId="2" borderId="0" xfId="2" applyFont="1" applyFill="1" applyAlignment="1">
      <alignment vertical="center"/>
    </xf>
    <xf numFmtId="0" fontId="8" fillId="4" borderId="4" xfId="3"/>
    <xf numFmtId="164" fontId="2" fillId="0" borderId="2" xfId="2" applyNumberFormat="1" applyBorder="1"/>
    <xf numFmtId="164" fontId="2" fillId="0" borderId="3" xfId="2" applyNumberFormat="1" applyBorder="1"/>
    <xf numFmtId="0" fontId="3" fillId="2" borderId="0" xfId="2" applyFont="1" applyFill="1" applyAlignment="1">
      <alignment horizontal="center"/>
    </xf>
    <xf numFmtId="0" fontId="3" fillId="2" borderId="0" xfId="2" applyFont="1" applyFill="1" applyAlignment="1">
      <alignment horizontal="left"/>
    </xf>
    <xf numFmtId="0" fontId="3" fillId="2" borderId="0" xfId="2" applyFont="1" applyFill="1" applyAlignment="1">
      <alignment horizontal="right"/>
    </xf>
    <xf numFmtId="3" fontId="2" fillId="0" borderId="0" xfId="2" applyNumberFormat="1"/>
    <xf numFmtId="3" fontId="2" fillId="0" borderId="2" xfId="2" applyNumberFormat="1" applyBorder="1"/>
    <xf numFmtId="0" fontId="9" fillId="5" borderId="6" xfId="4" applyAlignment="1">
      <alignment horizontal="center"/>
    </xf>
    <xf numFmtId="0" fontId="5" fillId="0" borderId="0" xfId="0" applyFont="1"/>
    <xf numFmtId="0" fontId="11" fillId="6" borderId="0" xfId="5" applyFont="1" applyAlignment="1">
      <alignment horizontal="center" vertical="center"/>
    </xf>
    <xf numFmtId="0" fontId="5" fillId="0" borderId="0" xfId="0" applyFont="1" applyAlignment="1">
      <alignment horizontal="center"/>
    </xf>
    <xf numFmtId="4" fontId="5" fillId="7" borderId="0" xfId="0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165" fontId="5" fillId="7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1" fillId="8" borderId="1" xfId="1" applyFill="1" applyBorder="1" applyAlignment="1">
      <alignment horizontal="left"/>
    </xf>
    <xf numFmtId="2" fontId="0" fillId="8" borderId="1" xfId="0" applyNumberFormat="1" applyFill="1" applyBorder="1" applyAlignment="1">
      <alignment horizontal="center"/>
    </xf>
    <xf numFmtId="0" fontId="13" fillId="8" borderId="1" xfId="1" applyFont="1" applyFill="1" applyBorder="1" applyAlignment="1">
      <alignment horizontal="left"/>
    </xf>
    <xf numFmtId="0" fontId="5" fillId="8" borderId="1" xfId="0" applyFont="1" applyFill="1" applyBorder="1" applyAlignment="1">
      <alignment horizontal="center"/>
    </xf>
    <xf numFmtId="0" fontId="11" fillId="6" borderId="0" xfId="5" applyFont="1" applyAlignment="1">
      <alignment horizontal="center" vertical="center"/>
    </xf>
    <xf numFmtId="0" fontId="12" fillId="5" borderId="6" xfId="4" applyFont="1" applyAlignment="1">
      <alignment horizontal="center" vertical="center"/>
    </xf>
    <xf numFmtId="0" fontId="14" fillId="4" borderId="4" xfId="3" applyFont="1" applyAlignment="1">
      <alignment horizontal="center" vertical="center"/>
    </xf>
    <xf numFmtId="0" fontId="3" fillId="2" borderId="0" xfId="2" applyFont="1" applyFill="1" applyAlignment="1">
      <alignment horizontal="center" wrapText="1"/>
    </xf>
    <xf numFmtId="0" fontId="8" fillId="4" borderId="4" xfId="3" applyAlignment="1">
      <alignment horizontal="center"/>
    </xf>
    <xf numFmtId="2" fontId="9" fillId="5" borderId="1" xfId="4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</cellXfs>
  <cellStyles count="6">
    <cellStyle name="Accent1" xfId="5" builtinId="29"/>
    <cellStyle name="Hyperlink" xfId="1" builtinId="8"/>
    <cellStyle name="Input" xfId="3" builtinId="20"/>
    <cellStyle name="Normal" xfId="0" builtinId="0"/>
    <cellStyle name="Normal 2" xfId="2" xr:uid="{8891D0E3-FC2A-416C-BF3F-398538BFB3A3}"/>
    <cellStyle name="Output" xfId="4" builtinId="21"/>
  </cellStyles>
  <dxfs count="9">
    <dxf>
      <numFmt numFmtId="164" formatCode="0.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3" formatCode="#,##0"/>
      <fill>
        <patternFill patternType="none">
          <fgColor indexed="64"/>
          <bgColor indexed="65"/>
        </patternFill>
      </fill>
      <border>
        <right style="thin">
          <color theme="0" tint="-0.499984740745262"/>
        </right>
      </border>
    </dxf>
    <dxf>
      <numFmt numFmtId="164" formatCode="0.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05039B1F-5B7B-46F1-9DEA-47D358E247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Votação</a:t>
            </a:r>
            <a:r>
              <a:rPr lang="en-US" b="0" baseline="0"/>
              <a:t> Presidente (% dos votos válidos)</a:t>
            </a:r>
            <a:endParaRPr lang="en-US" b="0"/>
          </a:p>
        </c:rich>
      </c:tx>
      <c:layout>
        <c:manualLayout>
          <c:xMode val="edge"/>
          <c:yMode val="edge"/>
          <c:x val="1.7791242268613301E-2"/>
          <c:y val="1.937046497250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A6-4E60-BC46-CBBC578E19E6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A6-4E60-BC46-CBBC578E19E6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'Presidente 2T'!$B$45:$B$46</c:f>
              <c:strCache>
                <c:ptCount val="2"/>
                <c:pt idx="0">
                  <c:v>LULA</c:v>
                </c:pt>
                <c:pt idx="1">
                  <c:v>JAIR BOLSONARO</c:v>
                </c:pt>
              </c:strCache>
            </c:strRef>
          </c:cat>
          <c:val>
            <c:numRef>
              <c:f>'Presidente 2T'!$F$45:$F$46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A6-4E60-BC46-CBBC578E19E6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'Presidente 2T'!$B$45:$B$46</c:f>
              <c:strCache>
                <c:ptCount val="2"/>
                <c:pt idx="0">
                  <c:v>LULA</c:v>
                </c:pt>
                <c:pt idx="1">
                  <c:v>JAIR BOLSONARO</c:v>
                </c:pt>
              </c:strCache>
            </c:strRef>
          </c:cat>
          <c:val>
            <c:numRef>
              <c:f>'Presidente 2T'!$G$45:$G$46</c:f>
              <c:numCache>
                <c:formatCode>0.0</c:formatCode>
                <c:ptCount val="2"/>
                <c:pt idx="0">
                  <c:v>52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EA6-4E60-BC46-CBBC578E1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Votação Presidente (% dos votos válidos)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8.9145496826411545E-3"/>
          <c:y val="2.0298510643398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 da Apuracao'!$B$1</c:f>
              <c:strCache>
                <c:ptCount val="1"/>
                <c:pt idx="0">
                  <c:v>JAIR BOLSONARO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'Log da Apuracao'!$A$2:$A$422</c:f>
              <c:numCache>
                <c:formatCode>hh:mm:ss;@</c:formatCode>
                <c:ptCount val="421"/>
                <c:pt idx="0">
                  <c:v>0.70833333333333337</c:v>
                </c:pt>
                <c:pt idx="1">
                  <c:v>0.7090277777777777</c:v>
                </c:pt>
                <c:pt idx="2">
                  <c:v>0.70972222222222203</c:v>
                </c:pt>
                <c:pt idx="3">
                  <c:v>0.71041666666666603</c:v>
                </c:pt>
                <c:pt idx="4">
                  <c:v>0.71111111111111103</c:v>
                </c:pt>
                <c:pt idx="5">
                  <c:v>0.71180555555555503</c:v>
                </c:pt>
                <c:pt idx="6">
                  <c:v>0.71249999999999902</c:v>
                </c:pt>
                <c:pt idx="7">
                  <c:v>0.71319444444444402</c:v>
                </c:pt>
                <c:pt idx="8">
                  <c:v>0.71388888888888802</c:v>
                </c:pt>
                <c:pt idx="9">
                  <c:v>0.71458333333333202</c:v>
                </c:pt>
                <c:pt idx="10">
                  <c:v>0.71527777777777701</c:v>
                </c:pt>
                <c:pt idx="11">
                  <c:v>0.71597222222222101</c:v>
                </c:pt>
                <c:pt idx="12">
                  <c:v>0.71666666666666501</c:v>
                </c:pt>
                <c:pt idx="13">
                  <c:v>0.71736111111111001</c:v>
                </c:pt>
                <c:pt idx="14">
                  <c:v>0.718055555555554</c:v>
                </c:pt>
                <c:pt idx="15">
                  <c:v>0.718749999999998</c:v>
                </c:pt>
                <c:pt idx="16">
                  <c:v>0.719444444444443</c:v>
                </c:pt>
                <c:pt idx="17">
                  <c:v>0.720138888888887</c:v>
                </c:pt>
                <c:pt idx="18">
                  <c:v>0.72083333333333099</c:v>
                </c:pt>
                <c:pt idx="19">
                  <c:v>0.72152777777777599</c:v>
                </c:pt>
                <c:pt idx="20">
                  <c:v>0.72222222222221999</c:v>
                </c:pt>
                <c:pt idx="21">
                  <c:v>0.72291666666666399</c:v>
                </c:pt>
                <c:pt idx="22">
                  <c:v>0.72361111111110898</c:v>
                </c:pt>
                <c:pt idx="23">
                  <c:v>0.72430555555555298</c:v>
                </c:pt>
                <c:pt idx="24">
                  <c:v>0.72499999999999698</c:v>
                </c:pt>
                <c:pt idx="25">
                  <c:v>0.72569444444444198</c:v>
                </c:pt>
                <c:pt idx="26">
                  <c:v>0.72638888888888598</c:v>
                </c:pt>
                <c:pt idx="27">
                  <c:v>0.72708333333332997</c:v>
                </c:pt>
                <c:pt idx="28">
                  <c:v>0.72777777777777497</c:v>
                </c:pt>
                <c:pt idx="29">
                  <c:v>0.72847222222221897</c:v>
                </c:pt>
                <c:pt idx="30">
                  <c:v>0.72916666666666297</c:v>
                </c:pt>
                <c:pt idx="31">
                  <c:v>0.72986111111110796</c:v>
                </c:pt>
                <c:pt idx="32">
                  <c:v>0.73055555555555196</c:v>
                </c:pt>
                <c:pt idx="33">
                  <c:v>0.73124999999999596</c:v>
                </c:pt>
                <c:pt idx="34">
                  <c:v>0.73194444444444096</c:v>
                </c:pt>
                <c:pt idx="35">
                  <c:v>0.73263888888888495</c:v>
                </c:pt>
                <c:pt idx="36">
                  <c:v>0.73333333333332895</c:v>
                </c:pt>
                <c:pt idx="37">
                  <c:v>0.73402777777777395</c:v>
                </c:pt>
                <c:pt idx="38">
                  <c:v>0.73472222222221795</c:v>
                </c:pt>
                <c:pt idx="39">
                  <c:v>0.73541666666666194</c:v>
                </c:pt>
                <c:pt idx="40">
                  <c:v>0.73611111111110705</c:v>
                </c:pt>
                <c:pt idx="41">
                  <c:v>0.73680555555555105</c:v>
                </c:pt>
                <c:pt idx="42">
                  <c:v>0.73749999999999505</c:v>
                </c:pt>
                <c:pt idx="43">
                  <c:v>0.73819444444444005</c:v>
                </c:pt>
                <c:pt idx="44">
                  <c:v>0.73888888888888404</c:v>
                </c:pt>
                <c:pt idx="45">
                  <c:v>0.73958333333332804</c:v>
                </c:pt>
                <c:pt idx="46">
                  <c:v>0.74027777777777304</c:v>
                </c:pt>
                <c:pt idx="47">
                  <c:v>0.74097222222221704</c:v>
                </c:pt>
                <c:pt idx="48">
                  <c:v>0.74166666666666103</c:v>
                </c:pt>
                <c:pt idx="49">
                  <c:v>0.74236111111110603</c:v>
                </c:pt>
                <c:pt idx="50">
                  <c:v>0.74305555555555003</c:v>
                </c:pt>
                <c:pt idx="51">
                  <c:v>0.74374999999999403</c:v>
                </c:pt>
                <c:pt idx="52">
                  <c:v>0.74444444444443902</c:v>
                </c:pt>
                <c:pt idx="53">
                  <c:v>0.74513888888888302</c:v>
                </c:pt>
                <c:pt idx="54">
                  <c:v>0.74583333333332702</c:v>
                </c:pt>
                <c:pt idx="55">
                  <c:v>0.74652777777777202</c:v>
                </c:pt>
                <c:pt idx="56">
                  <c:v>0.74722222222221601</c:v>
                </c:pt>
                <c:pt idx="57">
                  <c:v>0.74791666666666001</c:v>
                </c:pt>
                <c:pt idx="58">
                  <c:v>0.74861111111110501</c:v>
                </c:pt>
                <c:pt idx="59">
                  <c:v>0.74930555555554901</c:v>
                </c:pt>
                <c:pt idx="60">
                  <c:v>0.74999999999999301</c:v>
                </c:pt>
                <c:pt idx="61">
                  <c:v>0.750694444444438</c:v>
                </c:pt>
                <c:pt idx="62">
                  <c:v>0.751388888888882</c:v>
                </c:pt>
                <c:pt idx="63">
                  <c:v>0.752083333333326</c:v>
                </c:pt>
                <c:pt idx="64">
                  <c:v>0.752777777777771</c:v>
                </c:pt>
                <c:pt idx="65">
                  <c:v>0.75347222222221499</c:v>
                </c:pt>
                <c:pt idx="66">
                  <c:v>0.75416666666665899</c:v>
                </c:pt>
                <c:pt idx="67">
                  <c:v>0.75486111111110399</c:v>
                </c:pt>
                <c:pt idx="68">
                  <c:v>0.75555555555554799</c:v>
                </c:pt>
                <c:pt idx="69">
                  <c:v>0.75624999999999198</c:v>
                </c:pt>
                <c:pt idx="70">
                  <c:v>0.75694444444443698</c:v>
                </c:pt>
                <c:pt idx="71">
                  <c:v>0.75763888888888098</c:v>
                </c:pt>
                <c:pt idx="72">
                  <c:v>0.75833333333332498</c:v>
                </c:pt>
                <c:pt idx="73">
                  <c:v>0.75902777777776997</c:v>
                </c:pt>
                <c:pt idx="74">
                  <c:v>0.75972222222221397</c:v>
                </c:pt>
                <c:pt idx="75">
                  <c:v>0.76041666666665797</c:v>
                </c:pt>
                <c:pt idx="76">
                  <c:v>0.76111111111110297</c:v>
                </c:pt>
                <c:pt idx="77">
                  <c:v>0.76180555555554696</c:v>
                </c:pt>
                <c:pt idx="78">
                  <c:v>0.76249999999999096</c:v>
                </c:pt>
                <c:pt idx="79">
                  <c:v>0.76319444444443596</c:v>
                </c:pt>
                <c:pt idx="80">
                  <c:v>0.76388888888887996</c:v>
                </c:pt>
                <c:pt idx="81">
                  <c:v>0.76458333333332396</c:v>
                </c:pt>
                <c:pt idx="82">
                  <c:v>0.76527777777776895</c:v>
                </c:pt>
                <c:pt idx="83">
                  <c:v>0.76597222222221295</c:v>
                </c:pt>
                <c:pt idx="84">
                  <c:v>0.76666666666665695</c:v>
                </c:pt>
                <c:pt idx="85">
                  <c:v>0.76736111111110195</c:v>
                </c:pt>
                <c:pt idx="86">
                  <c:v>0.76805555555554605</c:v>
                </c:pt>
                <c:pt idx="87">
                  <c:v>0.76874999999999005</c:v>
                </c:pt>
                <c:pt idx="88">
                  <c:v>0.76944444444443405</c:v>
                </c:pt>
                <c:pt idx="89">
                  <c:v>0.77013888888887905</c:v>
                </c:pt>
                <c:pt idx="90">
                  <c:v>0.77083333333332305</c:v>
                </c:pt>
                <c:pt idx="91">
                  <c:v>0.77152777777776704</c:v>
                </c:pt>
                <c:pt idx="92">
                  <c:v>0.77222222222221204</c:v>
                </c:pt>
                <c:pt idx="93">
                  <c:v>0.77291666666665604</c:v>
                </c:pt>
                <c:pt idx="94">
                  <c:v>0.77361111111110004</c:v>
                </c:pt>
                <c:pt idx="95">
                  <c:v>0.77430555555554503</c:v>
                </c:pt>
                <c:pt idx="96">
                  <c:v>0.77499999999998903</c:v>
                </c:pt>
                <c:pt idx="97">
                  <c:v>0.77569444444443303</c:v>
                </c:pt>
                <c:pt idx="98">
                  <c:v>0.77638888888887803</c:v>
                </c:pt>
                <c:pt idx="99">
                  <c:v>0.77708333333332202</c:v>
                </c:pt>
                <c:pt idx="100">
                  <c:v>0.77777777777776602</c:v>
                </c:pt>
                <c:pt idx="101">
                  <c:v>0.77847222222221102</c:v>
                </c:pt>
                <c:pt idx="102">
                  <c:v>0.77916666666665502</c:v>
                </c:pt>
                <c:pt idx="103">
                  <c:v>0.77986111111109901</c:v>
                </c:pt>
                <c:pt idx="104">
                  <c:v>0.78055555555554401</c:v>
                </c:pt>
                <c:pt idx="105">
                  <c:v>0.78124999999998801</c:v>
                </c:pt>
                <c:pt idx="106">
                  <c:v>0.78194444444443201</c:v>
                </c:pt>
                <c:pt idx="107">
                  <c:v>0.782638888888877</c:v>
                </c:pt>
                <c:pt idx="108">
                  <c:v>0.783333333333321</c:v>
                </c:pt>
                <c:pt idx="109">
                  <c:v>0.784027777777765</c:v>
                </c:pt>
                <c:pt idx="110">
                  <c:v>0.78472222222221</c:v>
                </c:pt>
                <c:pt idx="111">
                  <c:v>0.785416666666654</c:v>
                </c:pt>
                <c:pt idx="112">
                  <c:v>0.78611111111109799</c:v>
                </c:pt>
                <c:pt idx="113">
                  <c:v>0.78680555555554299</c:v>
                </c:pt>
                <c:pt idx="114">
                  <c:v>0.78749999999998699</c:v>
                </c:pt>
                <c:pt idx="115">
                  <c:v>0.78819444444443099</c:v>
                </c:pt>
                <c:pt idx="116">
                  <c:v>0.78888888888887598</c:v>
                </c:pt>
                <c:pt idx="117">
                  <c:v>0.78958333333331998</c:v>
                </c:pt>
                <c:pt idx="118">
                  <c:v>0.79027777777776398</c:v>
                </c:pt>
                <c:pt idx="119">
                  <c:v>0.79097222222220898</c:v>
                </c:pt>
                <c:pt idx="120">
                  <c:v>0.79166666666665297</c:v>
                </c:pt>
                <c:pt idx="121">
                  <c:v>0.79236111111109697</c:v>
                </c:pt>
                <c:pt idx="122">
                  <c:v>0.79305555555554197</c:v>
                </c:pt>
                <c:pt idx="123">
                  <c:v>0.79374999999998597</c:v>
                </c:pt>
                <c:pt idx="124">
                  <c:v>0.79444444444442996</c:v>
                </c:pt>
                <c:pt idx="125">
                  <c:v>0.79513888888887496</c:v>
                </c:pt>
                <c:pt idx="126">
                  <c:v>0.79583333333331896</c:v>
                </c:pt>
                <c:pt idx="127">
                  <c:v>0.79652777777776296</c:v>
                </c:pt>
                <c:pt idx="128">
                  <c:v>0.79722222222220795</c:v>
                </c:pt>
                <c:pt idx="129">
                  <c:v>0.79791666666665195</c:v>
                </c:pt>
                <c:pt idx="130">
                  <c:v>0.79861111111109595</c:v>
                </c:pt>
                <c:pt idx="131">
                  <c:v>0.79930555555554095</c:v>
                </c:pt>
                <c:pt idx="132">
                  <c:v>0.79999999999998495</c:v>
                </c:pt>
                <c:pt idx="133">
                  <c:v>0.80069444444442905</c:v>
                </c:pt>
                <c:pt idx="134">
                  <c:v>0.80138888888887405</c:v>
                </c:pt>
                <c:pt idx="135">
                  <c:v>0.80208333333331805</c:v>
                </c:pt>
                <c:pt idx="136">
                  <c:v>0.80277777777776205</c:v>
                </c:pt>
                <c:pt idx="137">
                  <c:v>0.80347222222220704</c:v>
                </c:pt>
                <c:pt idx="138">
                  <c:v>0.80416666666665104</c:v>
                </c:pt>
                <c:pt idx="139">
                  <c:v>0.80486111111109504</c:v>
                </c:pt>
                <c:pt idx="140">
                  <c:v>0.80555555555554004</c:v>
                </c:pt>
                <c:pt idx="141">
                  <c:v>0.80624999999998403</c:v>
                </c:pt>
                <c:pt idx="142">
                  <c:v>0.80694444444442803</c:v>
                </c:pt>
                <c:pt idx="143">
                  <c:v>0.80763888888887303</c:v>
                </c:pt>
                <c:pt idx="144">
                  <c:v>0.80833333333331703</c:v>
                </c:pt>
                <c:pt idx="145">
                  <c:v>0.80902777777776103</c:v>
                </c:pt>
                <c:pt idx="146">
                  <c:v>0.80972222222220502</c:v>
                </c:pt>
                <c:pt idx="147">
                  <c:v>0.81041666666665002</c:v>
                </c:pt>
                <c:pt idx="148">
                  <c:v>0.81111111111109402</c:v>
                </c:pt>
                <c:pt idx="149">
                  <c:v>0.81180555555553802</c:v>
                </c:pt>
                <c:pt idx="150">
                  <c:v>0.81249999999998301</c:v>
                </c:pt>
                <c:pt idx="151">
                  <c:v>0.81319444444442701</c:v>
                </c:pt>
                <c:pt idx="152">
                  <c:v>0.81388888888887101</c:v>
                </c:pt>
                <c:pt idx="153">
                  <c:v>0.81458333333331601</c:v>
                </c:pt>
                <c:pt idx="154">
                  <c:v>0.81527777777776</c:v>
                </c:pt>
                <c:pt idx="155">
                  <c:v>0.815972222222204</c:v>
                </c:pt>
                <c:pt idx="156">
                  <c:v>0.816666666666649</c:v>
                </c:pt>
                <c:pt idx="157">
                  <c:v>0.817361111111093</c:v>
                </c:pt>
                <c:pt idx="158">
                  <c:v>0.818055555555537</c:v>
                </c:pt>
                <c:pt idx="159">
                  <c:v>0.81874999999998199</c:v>
                </c:pt>
                <c:pt idx="160">
                  <c:v>0.81944444444442599</c:v>
                </c:pt>
                <c:pt idx="161">
                  <c:v>0.82013888888886999</c:v>
                </c:pt>
                <c:pt idx="162">
                  <c:v>0.82083333333331499</c:v>
                </c:pt>
                <c:pt idx="163">
                  <c:v>0.82152777777775898</c:v>
                </c:pt>
                <c:pt idx="164">
                  <c:v>0.82222222222220298</c:v>
                </c:pt>
                <c:pt idx="165">
                  <c:v>0.82291666666664798</c:v>
                </c:pt>
                <c:pt idx="166">
                  <c:v>0.82361111111109198</c:v>
                </c:pt>
                <c:pt idx="167">
                  <c:v>0.82430555555553597</c:v>
                </c:pt>
                <c:pt idx="168">
                  <c:v>0.82499999999998097</c:v>
                </c:pt>
                <c:pt idx="169">
                  <c:v>0.82569444444442497</c:v>
                </c:pt>
                <c:pt idx="170">
                  <c:v>0.82638888888886897</c:v>
                </c:pt>
                <c:pt idx="171">
                  <c:v>0.82708333333331396</c:v>
                </c:pt>
                <c:pt idx="172">
                  <c:v>0.82777777777775796</c:v>
                </c:pt>
                <c:pt idx="173">
                  <c:v>0.82847222222220196</c:v>
                </c:pt>
                <c:pt idx="174">
                  <c:v>0.82916666666664696</c:v>
                </c:pt>
                <c:pt idx="175">
                  <c:v>0.82986111111109095</c:v>
                </c:pt>
                <c:pt idx="176">
                  <c:v>0.83055555555553495</c:v>
                </c:pt>
                <c:pt idx="177">
                  <c:v>0.83124999999997995</c:v>
                </c:pt>
                <c:pt idx="178">
                  <c:v>0.83194444444442395</c:v>
                </c:pt>
                <c:pt idx="179">
                  <c:v>0.83263888888886795</c:v>
                </c:pt>
                <c:pt idx="180">
                  <c:v>0.83333333333331305</c:v>
                </c:pt>
                <c:pt idx="181">
                  <c:v>0.83402777777775705</c:v>
                </c:pt>
                <c:pt idx="182">
                  <c:v>0.83472222222220105</c:v>
                </c:pt>
                <c:pt idx="183">
                  <c:v>0.83541666666664605</c:v>
                </c:pt>
                <c:pt idx="184">
                  <c:v>0.83611111111109004</c:v>
                </c:pt>
                <c:pt idx="185">
                  <c:v>0.83680555555553404</c:v>
                </c:pt>
                <c:pt idx="186">
                  <c:v>0.83749999999997904</c:v>
                </c:pt>
                <c:pt idx="187">
                  <c:v>0.83819444444442304</c:v>
                </c:pt>
                <c:pt idx="188">
                  <c:v>0.83888888888886703</c:v>
                </c:pt>
                <c:pt idx="189">
                  <c:v>0.83958333333331203</c:v>
                </c:pt>
                <c:pt idx="190">
                  <c:v>0.84027777777775603</c:v>
                </c:pt>
                <c:pt idx="191">
                  <c:v>0.84097222222220003</c:v>
                </c:pt>
                <c:pt idx="192">
                  <c:v>0.84166666666664502</c:v>
                </c:pt>
                <c:pt idx="193">
                  <c:v>0.84236111111108902</c:v>
                </c:pt>
                <c:pt idx="194">
                  <c:v>0.84305555555553302</c:v>
                </c:pt>
                <c:pt idx="195">
                  <c:v>0.84374999999997802</c:v>
                </c:pt>
                <c:pt idx="196">
                  <c:v>0.84444444444442202</c:v>
                </c:pt>
                <c:pt idx="197">
                  <c:v>0.84513888888886601</c:v>
                </c:pt>
                <c:pt idx="198">
                  <c:v>0.84583333333331101</c:v>
                </c:pt>
                <c:pt idx="199">
                  <c:v>0.84652777777775501</c:v>
                </c:pt>
                <c:pt idx="200">
                  <c:v>0.84722222222219901</c:v>
                </c:pt>
                <c:pt idx="201">
                  <c:v>0.847916666666644</c:v>
                </c:pt>
                <c:pt idx="202">
                  <c:v>0.848611111111088</c:v>
                </c:pt>
                <c:pt idx="203">
                  <c:v>0.849305555555532</c:v>
                </c:pt>
                <c:pt idx="204">
                  <c:v>0.849999999999977</c:v>
                </c:pt>
                <c:pt idx="205">
                  <c:v>0.85069444444442099</c:v>
                </c:pt>
                <c:pt idx="206">
                  <c:v>0.85138888888886499</c:v>
                </c:pt>
                <c:pt idx="207">
                  <c:v>0.85208333333330999</c:v>
                </c:pt>
                <c:pt idx="208">
                  <c:v>0.85277777777775399</c:v>
                </c:pt>
                <c:pt idx="209">
                  <c:v>0.85347222222219798</c:v>
                </c:pt>
                <c:pt idx="210">
                  <c:v>0.85416666666664298</c:v>
                </c:pt>
                <c:pt idx="211">
                  <c:v>0.85486111111108698</c:v>
                </c:pt>
                <c:pt idx="212">
                  <c:v>0.85555555555553098</c:v>
                </c:pt>
                <c:pt idx="213">
                  <c:v>0.85624999999997498</c:v>
                </c:pt>
                <c:pt idx="214">
                  <c:v>0.85694444444441997</c:v>
                </c:pt>
                <c:pt idx="215">
                  <c:v>0.85763888888886397</c:v>
                </c:pt>
                <c:pt idx="216">
                  <c:v>0.85833333333330797</c:v>
                </c:pt>
                <c:pt idx="217">
                  <c:v>0.85902777777775297</c:v>
                </c:pt>
                <c:pt idx="218">
                  <c:v>0.85972222222219696</c:v>
                </c:pt>
                <c:pt idx="219">
                  <c:v>0.86041666666664096</c:v>
                </c:pt>
                <c:pt idx="220">
                  <c:v>0.86111111111108596</c:v>
                </c:pt>
                <c:pt idx="221">
                  <c:v>0.86180555555552996</c:v>
                </c:pt>
                <c:pt idx="222">
                  <c:v>0.86249999999997395</c:v>
                </c:pt>
                <c:pt idx="223">
                  <c:v>0.86319444444441895</c:v>
                </c:pt>
                <c:pt idx="224">
                  <c:v>0.86388888888886295</c:v>
                </c:pt>
                <c:pt idx="225">
                  <c:v>0.86458333333330695</c:v>
                </c:pt>
                <c:pt idx="226">
                  <c:v>0.86527777777775206</c:v>
                </c:pt>
                <c:pt idx="227">
                  <c:v>0.86597222222219605</c:v>
                </c:pt>
                <c:pt idx="228">
                  <c:v>0.86666666666664005</c:v>
                </c:pt>
                <c:pt idx="229">
                  <c:v>0.86736111111108505</c:v>
                </c:pt>
                <c:pt idx="230">
                  <c:v>0.86805555555552905</c:v>
                </c:pt>
                <c:pt idx="231">
                  <c:v>0.86874999999997304</c:v>
                </c:pt>
                <c:pt idx="232">
                  <c:v>0.86944444444441804</c:v>
                </c:pt>
                <c:pt idx="233">
                  <c:v>0.87013888888886204</c:v>
                </c:pt>
                <c:pt idx="234">
                  <c:v>0.87083333333330604</c:v>
                </c:pt>
                <c:pt idx="235">
                  <c:v>0.87152777777775103</c:v>
                </c:pt>
                <c:pt idx="236">
                  <c:v>0.87222222222219503</c:v>
                </c:pt>
                <c:pt idx="237">
                  <c:v>0.87291666666663903</c:v>
                </c:pt>
                <c:pt idx="238">
                  <c:v>0.87361111111108403</c:v>
                </c:pt>
                <c:pt idx="239">
                  <c:v>0.87430555555552802</c:v>
                </c:pt>
                <c:pt idx="240">
                  <c:v>0.87499999999997202</c:v>
                </c:pt>
                <c:pt idx="241">
                  <c:v>0.87569444444441702</c:v>
                </c:pt>
                <c:pt idx="242">
                  <c:v>0.87638888888886102</c:v>
                </c:pt>
                <c:pt idx="243">
                  <c:v>0.87708333333330502</c:v>
                </c:pt>
                <c:pt idx="244">
                  <c:v>0.87777777777775001</c:v>
                </c:pt>
                <c:pt idx="245">
                  <c:v>0.87847222222219401</c:v>
                </c:pt>
                <c:pt idx="246">
                  <c:v>0.87916666666663801</c:v>
                </c:pt>
                <c:pt idx="247">
                  <c:v>0.87986111111108301</c:v>
                </c:pt>
                <c:pt idx="248">
                  <c:v>0.880555555555527</c:v>
                </c:pt>
                <c:pt idx="249">
                  <c:v>0.881249999999971</c:v>
                </c:pt>
                <c:pt idx="250">
                  <c:v>0.881944444444416</c:v>
                </c:pt>
                <c:pt idx="251">
                  <c:v>0.88263888888886</c:v>
                </c:pt>
                <c:pt idx="252">
                  <c:v>0.88333333333330399</c:v>
                </c:pt>
                <c:pt idx="253">
                  <c:v>0.88402777777774899</c:v>
                </c:pt>
                <c:pt idx="254">
                  <c:v>0.88472222222219299</c:v>
                </c:pt>
                <c:pt idx="255">
                  <c:v>0.88541666666663699</c:v>
                </c:pt>
                <c:pt idx="256">
                  <c:v>0.88611111111108198</c:v>
                </c:pt>
                <c:pt idx="257">
                  <c:v>0.88680555555552598</c:v>
                </c:pt>
                <c:pt idx="258">
                  <c:v>0.88749999999996998</c:v>
                </c:pt>
                <c:pt idx="259">
                  <c:v>0.88819444444441498</c:v>
                </c:pt>
                <c:pt idx="260">
                  <c:v>0.88888888888885897</c:v>
                </c:pt>
                <c:pt idx="261">
                  <c:v>0.88958333333330297</c:v>
                </c:pt>
                <c:pt idx="262">
                  <c:v>0.89027777777774797</c:v>
                </c:pt>
                <c:pt idx="263">
                  <c:v>0.89097222222219197</c:v>
                </c:pt>
                <c:pt idx="264">
                  <c:v>0.89166666666663597</c:v>
                </c:pt>
                <c:pt idx="265">
                  <c:v>0.89236111111108096</c:v>
                </c:pt>
                <c:pt idx="266">
                  <c:v>0.89305555555552496</c:v>
                </c:pt>
                <c:pt idx="267">
                  <c:v>0.89374999999996896</c:v>
                </c:pt>
                <c:pt idx="268">
                  <c:v>0.89444444444441396</c:v>
                </c:pt>
                <c:pt idx="269">
                  <c:v>0.89513888888885795</c:v>
                </c:pt>
                <c:pt idx="270">
                  <c:v>0.89583333333330195</c:v>
                </c:pt>
                <c:pt idx="271">
                  <c:v>0.89652777777774695</c:v>
                </c:pt>
                <c:pt idx="272">
                  <c:v>0.89722222222219095</c:v>
                </c:pt>
                <c:pt idx="273">
                  <c:v>0.89791666666663505</c:v>
                </c:pt>
                <c:pt idx="274">
                  <c:v>0.89861111111108005</c:v>
                </c:pt>
                <c:pt idx="275">
                  <c:v>0.89930555555552405</c:v>
                </c:pt>
                <c:pt idx="276">
                  <c:v>0.89999999999996805</c:v>
                </c:pt>
                <c:pt idx="277">
                  <c:v>0.90069444444441304</c:v>
                </c:pt>
                <c:pt idx="278">
                  <c:v>0.90138888888885704</c:v>
                </c:pt>
                <c:pt idx="279">
                  <c:v>0.90208333333330104</c:v>
                </c:pt>
                <c:pt idx="280">
                  <c:v>0.90277777777774604</c:v>
                </c:pt>
                <c:pt idx="281">
                  <c:v>0.90347222222219004</c:v>
                </c:pt>
                <c:pt idx="282">
                  <c:v>0.90416666666663403</c:v>
                </c:pt>
                <c:pt idx="283">
                  <c:v>0.90486111111107903</c:v>
                </c:pt>
                <c:pt idx="284">
                  <c:v>0.90555555555552303</c:v>
                </c:pt>
                <c:pt idx="285">
                  <c:v>0.90624999999996703</c:v>
                </c:pt>
                <c:pt idx="286">
                  <c:v>0.90694444444441202</c:v>
                </c:pt>
                <c:pt idx="287">
                  <c:v>0.90763888888885602</c:v>
                </c:pt>
                <c:pt idx="288">
                  <c:v>0.90833333333330002</c:v>
                </c:pt>
                <c:pt idx="289">
                  <c:v>0.90902777777774502</c:v>
                </c:pt>
                <c:pt idx="290">
                  <c:v>0.90972222222218901</c:v>
                </c:pt>
                <c:pt idx="291">
                  <c:v>0.91041666666663301</c:v>
                </c:pt>
                <c:pt idx="292">
                  <c:v>0.91111111111107801</c:v>
                </c:pt>
                <c:pt idx="293">
                  <c:v>0.91180555555552201</c:v>
                </c:pt>
                <c:pt idx="294">
                  <c:v>0.912499999999966</c:v>
                </c:pt>
                <c:pt idx="295">
                  <c:v>0.913194444444411</c:v>
                </c:pt>
                <c:pt idx="296">
                  <c:v>0.913888888888855</c:v>
                </c:pt>
                <c:pt idx="297">
                  <c:v>0.914583333333299</c:v>
                </c:pt>
                <c:pt idx="298">
                  <c:v>0.91527777777774399</c:v>
                </c:pt>
                <c:pt idx="299">
                  <c:v>0.91597222222218799</c:v>
                </c:pt>
                <c:pt idx="300">
                  <c:v>0.91666666666663199</c:v>
                </c:pt>
                <c:pt idx="301">
                  <c:v>0.91736111111107699</c:v>
                </c:pt>
                <c:pt idx="302">
                  <c:v>0.91805555555552099</c:v>
                </c:pt>
                <c:pt idx="303">
                  <c:v>0.91874999999996498</c:v>
                </c:pt>
                <c:pt idx="304">
                  <c:v>0.91944444444440998</c:v>
                </c:pt>
                <c:pt idx="305">
                  <c:v>0.92013888888885498</c:v>
                </c:pt>
                <c:pt idx="306">
                  <c:v>0.92083333333329997</c:v>
                </c:pt>
                <c:pt idx="307">
                  <c:v>0.92152777777774497</c:v>
                </c:pt>
                <c:pt idx="308">
                  <c:v>0.92222222222218997</c:v>
                </c:pt>
                <c:pt idx="309">
                  <c:v>0.92291666666663497</c:v>
                </c:pt>
                <c:pt idx="310">
                  <c:v>0.92361111111107996</c:v>
                </c:pt>
                <c:pt idx="311">
                  <c:v>0.92430555555552496</c:v>
                </c:pt>
                <c:pt idx="312">
                  <c:v>0.92499999999996996</c:v>
                </c:pt>
                <c:pt idx="313">
                  <c:v>0.92569444444441495</c:v>
                </c:pt>
                <c:pt idx="314">
                  <c:v>0.92638888888885995</c:v>
                </c:pt>
                <c:pt idx="315">
                  <c:v>0.92708333333330495</c:v>
                </c:pt>
                <c:pt idx="316">
                  <c:v>0.92777777777774995</c:v>
                </c:pt>
                <c:pt idx="317">
                  <c:v>0.92847222222219505</c:v>
                </c:pt>
                <c:pt idx="318">
                  <c:v>0.92916666666664005</c:v>
                </c:pt>
                <c:pt idx="319">
                  <c:v>0.92986111111108505</c:v>
                </c:pt>
                <c:pt idx="320">
                  <c:v>0.93055555555553005</c:v>
                </c:pt>
                <c:pt idx="321">
                  <c:v>0.93124999999997504</c:v>
                </c:pt>
                <c:pt idx="322">
                  <c:v>0.93194444444442004</c:v>
                </c:pt>
                <c:pt idx="323">
                  <c:v>0.93263888888886504</c:v>
                </c:pt>
                <c:pt idx="324">
                  <c:v>0.93333333333331003</c:v>
                </c:pt>
                <c:pt idx="325">
                  <c:v>0.93402777777775503</c:v>
                </c:pt>
                <c:pt idx="326">
                  <c:v>0.93472222222220003</c:v>
                </c:pt>
                <c:pt idx="327">
                  <c:v>0.93541666666664502</c:v>
                </c:pt>
                <c:pt idx="328">
                  <c:v>0.93611111111109002</c:v>
                </c:pt>
                <c:pt idx="329">
                  <c:v>0.93680555555553502</c:v>
                </c:pt>
                <c:pt idx="330">
                  <c:v>0.93749999999998002</c:v>
                </c:pt>
                <c:pt idx="331">
                  <c:v>0.93819444444442501</c:v>
                </c:pt>
                <c:pt idx="332">
                  <c:v>0.93888888888887001</c:v>
                </c:pt>
                <c:pt idx="333">
                  <c:v>0.93958333333331501</c:v>
                </c:pt>
                <c:pt idx="334">
                  <c:v>0.94027777777776</c:v>
                </c:pt>
                <c:pt idx="335">
                  <c:v>0.940972222222205</c:v>
                </c:pt>
                <c:pt idx="336">
                  <c:v>0.94166666666665</c:v>
                </c:pt>
                <c:pt idx="337">
                  <c:v>0.942361111111095</c:v>
                </c:pt>
                <c:pt idx="338">
                  <c:v>0.94305555555553999</c:v>
                </c:pt>
                <c:pt idx="339">
                  <c:v>0.94374999999998499</c:v>
                </c:pt>
                <c:pt idx="340">
                  <c:v>0.94444444444442999</c:v>
                </c:pt>
                <c:pt idx="341">
                  <c:v>0.94513888888887498</c:v>
                </c:pt>
                <c:pt idx="342">
                  <c:v>0.94583333333331998</c:v>
                </c:pt>
                <c:pt idx="343">
                  <c:v>0.94652777777776498</c:v>
                </c:pt>
                <c:pt idx="344">
                  <c:v>0.94722222222220998</c:v>
                </c:pt>
                <c:pt idx="345">
                  <c:v>0.94791666666665497</c:v>
                </c:pt>
                <c:pt idx="346">
                  <c:v>0.94861111111109997</c:v>
                </c:pt>
                <c:pt idx="347">
                  <c:v>0.94930555555554497</c:v>
                </c:pt>
                <c:pt idx="348">
                  <c:v>0.94999999999998996</c:v>
                </c:pt>
                <c:pt idx="349">
                  <c:v>0.95069444444443496</c:v>
                </c:pt>
                <c:pt idx="350">
                  <c:v>0.95138888888887996</c:v>
                </c:pt>
                <c:pt idx="351">
                  <c:v>0.95208333333332495</c:v>
                </c:pt>
                <c:pt idx="352">
                  <c:v>0.95277777777776995</c:v>
                </c:pt>
                <c:pt idx="353">
                  <c:v>0.95347222222221495</c:v>
                </c:pt>
                <c:pt idx="354">
                  <c:v>0.95416666666665995</c:v>
                </c:pt>
                <c:pt idx="355">
                  <c:v>0.95486111111110505</c:v>
                </c:pt>
                <c:pt idx="356">
                  <c:v>0.95555555555555005</c:v>
                </c:pt>
                <c:pt idx="357">
                  <c:v>0.95624999999999505</c:v>
                </c:pt>
                <c:pt idx="358">
                  <c:v>0.95694444444444005</c:v>
                </c:pt>
                <c:pt idx="359">
                  <c:v>0.95763888888888504</c:v>
                </c:pt>
                <c:pt idx="360">
                  <c:v>0.95833333333333004</c:v>
                </c:pt>
                <c:pt idx="361">
                  <c:v>0.95902777777777504</c:v>
                </c:pt>
                <c:pt idx="362">
                  <c:v>0.95972222222222003</c:v>
                </c:pt>
                <c:pt idx="363">
                  <c:v>0.96041666666666503</c:v>
                </c:pt>
                <c:pt idx="364">
                  <c:v>0.96111111111111003</c:v>
                </c:pt>
                <c:pt idx="365">
                  <c:v>0.96180555555555503</c:v>
                </c:pt>
                <c:pt idx="366">
                  <c:v>0.96250000000000002</c:v>
                </c:pt>
                <c:pt idx="367">
                  <c:v>0.96319444444444502</c:v>
                </c:pt>
                <c:pt idx="368">
                  <c:v>0.96388888888889002</c:v>
                </c:pt>
                <c:pt idx="369">
                  <c:v>0.96458333333333501</c:v>
                </c:pt>
                <c:pt idx="370">
                  <c:v>0.96527777777778001</c:v>
                </c:pt>
                <c:pt idx="371">
                  <c:v>0.96597222222222501</c:v>
                </c:pt>
                <c:pt idx="372">
                  <c:v>0.96666666666667</c:v>
                </c:pt>
                <c:pt idx="373">
                  <c:v>0.967361111111115</c:v>
                </c:pt>
                <c:pt idx="374">
                  <c:v>0.96805555555556</c:v>
                </c:pt>
                <c:pt idx="375">
                  <c:v>0.968750000000005</c:v>
                </c:pt>
                <c:pt idx="376">
                  <c:v>0.96944444444444999</c:v>
                </c:pt>
                <c:pt idx="377">
                  <c:v>0.97013888888889499</c:v>
                </c:pt>
                <c:pt idx="378">
                  <c:v>0.97083333333333999</c:v>
                </c:pt>
                <c:pt idx="379">
                  <c:v>0.97152777777778498</c:v>
                </c:pt>
                <c:pt idx="380">
                  <c:v>0.97222222222222998</c:v>
                </c:pt>
                <c:pt idx="381">
                  <c:v>0.97291666666667498</c:v>
                </c:pt>
                <c:pt idx="382">
                  <c:v>0.97361111111111998</c:v>
                </c:pt>
                <c:pt idx="383">
                  <c:v>0.97430555555556497</c:v>
                </c:pt>
                <c:pt idx="384">
                  <c:v>0.97500000000000997</c:v>
                </c:pt>
                <c:pt idx="385">
                  <c:v>0.97569444444445497</c:v>
                </c:pt>
                <c:pt idx="386">
                  <c:v>0.97638888888889996</c:v>
                </c:pt>
                <c:pt idx="387">
                  <c:v>0.97708333333334496</c:v>
                </c:pt>
                <c:pt idx="388">
                  <c:v>0.97777777777778996</c:v>
                </c:pt>
                <c:pt idx="389">
                  <c:v>0.97847222222223496</c:v>
                </c:pt>
                <c:pt idx="390">
                  <c:v>0.97916666666667995</c:v>
                </c:pt>
                <c:pt idx="391">
                  <c:v>0.97986111111112495</c:v>
                </c:pt>
                <c:pt idx="392">
                  <c:v>0.98055555555556995</c:v>
                </c:pt>
                <c:pt idx="393">
                  <c:v>0.98125000000001505</c:v>
                </c:pt>
                <c:pt idx="394">
                  <c:v>0.98194444444446005</c:v>
                </c:pt>
                <c:pt idx="395">
                  <c:v>0.98263888888890505</c:v>
                </c:pt>
                <c:pt idx="396">
                  <c:v>0.98333333333335005</c:v>
                </c:pt>
                <c:pt idx="397">
                  <c:v>0.98402777777779504</c:v>
                </c:pt>
                <c:pt idx="398">
                  <c:v>0.98472222222224004</c:v>
                </c:pt>
                <c:pt idx="399">
                  <c:v>0.98541666666668504</c:v>
                </c:pt>
                <c:pt idx="400">
                  <c:v>0.98611111111113003</c:v>
                </c:pt>
                <c:pt idx="401">
                  <c:v>0.98680555555557503</c:v>
                </c:pt>
                <c:pt idx="402">
                  <c:v>0.98750000000002003</c:v>
                </c:pt>
                <c:pt idx="403">
                  <c:v>0.98819444444446503</c:v>
                </c:pt>
                <c:pt idx="404">
                  <c:v>0.98888888888891002</c:v>
                </c:pt>
                <c:pt idx="405">
                  <c:v>0.98958333333335502</c:v>
                </c:pt>
                <c:pt idx="406">
                  <c:v>0.99027777777780002</c:v>
                </c:pt>
                <c:pt idx="407">
                  <c:v>0.99097222222224501</c:v>
                </c:pt>
                <c:pt idx="408">
                  <c:v>0.99166666666669001</c:v>
                </c:pt>
                <c:pt idx="409">
                  <c:v>0.99236111111113501</c:v>
                </c:pt>
                <c:pt idx="410">
                  <c:v>0.99305555555558001</c:v>
                </c:pt>
                <c:pt idx="411">
                  <c:v>0.993750000000025</c:v>
                </c:pt>
                <c:pt idx="412">
                  <c:v>0.99444444444447</c:v>
                </c:pt>
                <c:pt idx="413">
                  <c:v>0.995138888888915</c:v>
                </c:pt>
                <c:pt idx="414">
                  <c:v>0.99583333333335999</c:v>
                </c:pt>
                <c:pt idx="415">
                  <c:v>0.99652777777780499</c:v>
                </c:pt>
                <c:pt idx="416">
                  <c:v>0.99722222222224999</c:v>
                </c:pt>
                <c:pt idx="417">
                  <c:v>0.99791666666669498</c:v>
                </c:pt>
                <c:pt idx="418">
                  <c:v>0.99861111111113998</c:v>
                </c:pt>
                <c:pt idx="419">
                  <c:v>0.99930555555558498</c:v>
                </c:pt>
                <c:pt idx="420">
                  <c:v>1.00000000000003</c:v>
                </c:pt>
              </c:numCache>
            </c:numRef>
          </c:cat>
          <c:val>
            <c:numRef>
              <c:f>'Log da Apuracao'!$B$2:$B$422</c:f>
              <c:numCache>
                <c:formatCode>#,##0.00</c:formatCode>
                <c:ptCount val="4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2-4023-BA14-99491BF367ED}"/>
            </c:ext>
          </c:extLst>
        </c:ser>
        <c:ser>
          <c:idx val="1"/>
          <c:order val="1"/>
          <c:tx>
            <c:strRef>
              <c:f>'Log da Apuracao'!$C$1</c:f>
              <c:strCache>
                <c:ptCount val="1"/>
                <c:pt idx="0">
                  <c:v>LULA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'Log da Apuracao'!$A$2:$A$422</c:f>
              <c:numCache>
                <c:formatCode>hh:mm:ss;@</c:formatCode>
                <c:ptCount val="421"/>
                <c:pt idx="0">
                  <c:v>0.70833333333333337</c:v>
                </c:pt>
                <c:pt idx="1">
                  <c:v>0.7090277777777777</c:v>
                </c:pt>
                <c:pt idx="2">
                  <c:v>0.70972222222222203</c:v>
                </c:pt>
                <c:pt idx="3">
                  <c:v>0.71041666666666603</c:v>
                </c:pt>
                <c:pt idx="4">
                  <c:v>0.71111111111111103</c:v>
                </c:pt>
                <c:pt idx="5">
                  <c:v>0.71180555555555503</c:v>
                </c:pt>
                <c:pt idx="6">
                  <c:v>0.71249999999999902</c:v>
                </c:pt>
                <c:pt idx="7">
                  <c:v>0.71319444444444402</c:v>
                </c:pt>
                <c:pt idx="8">
                  <c:v>0.71388888888888802</c:v>
                </c:pt>
                <c:pt idx="9">
                  <c:v>0.71458333333333202</c:v>
                </c:pt>
                <c:pt idx="10">
                  <c:v>0.71527777777777701</c:v>
                </c:pt>
                <c:pt idx="11">
                  <c:v>0.71597222222222101</c:v>
                </c:pt>
                <c:pt idx="12">
                  <c:v>0.71666666666666501</c:v>
                </c:pt>
                <c:pt idx="13">
                  <c:v>0.71736111111111001</c:v>
                </c:pt>
                <c:pt idx="14">
                  <c:v>0.718055555555554</c:v>
                </c:pt>
                <c:pt idx="15">
                  <c:v>0.718749999999998</c:v>
                </c:pt>
                <c:pt idx="16">
                  <c:v>0.719444444444443</c:v>
                </c:pt>
                <c:pt idx="17">
                  <c:v>0.720138888888887</c:v>
                </c:pt>
                <c:pt idx="18">
                  <c:v>0.72083333333333099</c:v>
                </c:pt>
                <c:pt idx="19">
                  <c:v>0.72152777777777599</c:v>
                </c:pt>
                <c:pt idx="20">
                  <c:v>0.72222222222221999</c:v>
                </c:pt>
                <c:pt idx="21">
                  <c:v>0.72291666666666399</c:v>
                </c:pt>
                <c:pt idx="22">
                  <c:v>0.72361111111110898</c:v>
                </c:pt>
                <c:pt idx="23">
                  <c:v>0.72430555555555298</c:v>
                </c:pt>
                <c:pt idx="24">
                  <c:v>0.72499999999999698</c:v>
                </c:pt>
                <c:pt idx="25">
                  <c:v>0.72569444444444198</c:v>
                </c:pt>
                <c:pt idx="26">
                  <c:v>0.72638888888888598</c:v>
                </c:pt>
                <c:pt idx="27">
                  <c:v>0.72708333333332997</c:v>
                </c:pt>
                <c:pt idx="28">
                  <c:v>0.72777777777777497</c:v>
                </c:pt>
                <c:pt idx="29">
                  <c:v>0.72847222222221897</c:v>
                </c:pt>
                <c:pt idx="30">
                  <c:v>0.72916666666666297</c:v>
                </c:pt>
                <c:pt idx="31">
                  <c:v>0.72986111111110796</c:v>
                </c:pt>
                <c:pt idx="32">
                  <c:v>0.73055555555555196</c:v>
                </c:pt>
                <c:pt idx="33">
                  <c:v>0.73124999999999596</c:v>
                </c:pt>
                <c:pt idx="34">
                  <c:v>0.73194444444444096</c:v>
                </c:pt>
                <c:pt idx="35">
                  <c:v>0.73263888888888495</c:v>
                </c:pt>
                <c:pt idx="36">
                  <c:v>0.73333333333332895</c:v>
                </c:pt>
                <c:pt idx="37">
                  <c:v>0.73402777777777395</c:v>
                </c:pt>
                <c:pt idx="38">
                  <c:v>0.73472222222221795</c:v>
                </c:pt>
                <c:pt idx="39">
                  <c:v>0.73541666666666194</c:v>
                </c:pt>
                <c:pt idx="40">
                  <c:v>0.73611111111110705</c:v>
                </c:pt>
                <c:pt idx="41">
                  <c:v>0.73680555555555105</c:v>
                </c:pt>
                <c:pt idx="42">
                  <c:v>0.73749999999999505</c:v>
                </c:pt>
                <c:pt idx="43">
                  <c:v>0.73819444444444005</c:v>
                </c:pt>
                <c:pt idx="44">
                  <c:v>0.73888888888888404</c:v>
                </c:pt>
                <c:pt idx="45">
                  <c:v>0.73958333333332804</c:v>
                </c:pt>
                <c:pt idx="46">
                  <c:v>0.74027777777777304</c:v>
                </c:pt>
                <c:pt idx="47">
                  <c:v>0.74097222222221704</c:v>
                </c:pt>
                <c:pt idx="48">
                  <c:v>0.74166666666666103</c:v>
                </c:pt>
                <c:pt idx="49">
                  <c:v>0.74236111111110603</c:v>
                </c:pt>
                <c:pt idx="50">
                  <c:v>0.74305555555555003</c:v>
                </c:pt>
                <c:pt idx="51">
                  <c:v>0.74374999999999403</c:v>
                </c:pt>
                <c:pt idx="52">
                  <c:v>0.74444444444443902</c:v>
                </c:pt>
                <c:pt idx="53">
                  <c:v>0.74513888888888302</c:v>
                </c:pt>
                <c:pt idx="54">
                  <c:v>0.74583333333332702</c:v>
                </c:pt>
                <c:pt idx="55">
                  <c:v>0.74652777777777202</c:v>
                </c:pt>
                <c:pt idx="56">
                  <c:v>0.74722222222221601</c:v>
                </c:pt>
                <c:pt idx="57">
                  <c:v>0.74791666666666001</c:v>
                </c:pt>
                <c:pt idx="58">
                  <c:v>0.74861111111110501</c:v>
                </c:pt>
                <c:pt idx="59">
                  <c:v>0.74930555555554901</c:v>
                </c:pt>
                <c:pt idx="60">
                  <c:v>0.74999999999999301</c:v>
                </c:pt>
                <c:pt idx="61">
                  <c:v>0.750694444444438</c:v>
                </c:pt>
                <c:pt idx="62">
                  <c:v>0.751388888888882</c:v>
                </c:pt>
                <c:pt idx="63">
                  <c:v>0.752083333333326</c:v>
                </c:pt>
                <c:pt idx="64">
                  <c:v>0.752777777777771</c:v>
                </c:pt>
                <c:pt idx="65">
                  <c:v>0.75347222222221499</c:v>
                </c:pt>
                <c:pt idx="66">
                  <c:v>0.75416666666665899</c:v>
                </c:pt>
                <c:pt idx="67">
                  <c:v>0.75486111111110399</c:v>
                </c:pt>
                <c:pt idx="68">
                  <c:v>0.75555555555554799</c:v>
                </c:pt>
                <c:pt idx="69">
                  <c:v>0.75624999999999198</c:v>
                </c:pt>
                <c:pt idx="70">
                  <c:v>0.75694444444443698</c:v>
                </c:pt>
                <c:pt idx="71">
                  <c:v>0.75763888888888098</c:v>
                </c:pt>
                <c:pt idx="72">
                  <c:v>0.75833333333332498</c:v>
                </c:pt>
                <c:pt idx="73">
                  <c:v>0.75902777777776997</c:v>
                </c:pt>
                <c:pt idx="74">
                  <c:v>0.75972222222221397</c:v>
                </c:pt>
                <c:pt idx="75">
                  <c:v>0.76041666666665797</c:v>
                </c:pt>
                <c:pt idx="76">
                  <c:v>0.76111111111110297</c:v>
                </c:pt>
                <c:pt idx="77">
                  <c:v>0.76180555555554696</c:v>
                </c:pt>
                <c:pt idx="78">
                  <c:v>0.76249999999999096</c:v>
                </c:pt>
                <c:pt idx="79">
                  <c:v>0.76319444444443596</c:v>
                </c:pt>
                <c:pt idx="80">
                  <c:v>0.76388888888887996</c:v>
                </c:pt>
                <c:pt idx="81">
                  <c:v>0.76458333333332396</c:v>
                </c:pt>
                <c:pt idx="82">
                  <c:v>0.76527777777776895</c:v>
                </c:pt>
                <c:pt idx="83">
                  <c:v>0.76597222222221295</c:v>
                </c:pt>
                <c:pt idx="84">
                  <c:v>0.76666666666665695</c:v>
                </c:pt>
                <c:pt idx="85">
                  <c:v>0.76736111111110195</c:v>
                </c:pt>
                <c:pt idx="86">
                  <c:v>0.76805555555554605</c:v>
                </c:pt>
                <c:pt idx="87">
                  <c:v>0.76874999999999005</c:v>
                </c:pt>
                <c:pt idx="88">
                  <c:v>0.76944444444443405</c:v>
                </c:pt>
                <c:pt idx="89">
                  <c:v>0.77013888888887905</c:v>
                </c:pt>
                <c:pt idx="90">
                  <c:v>0.77083333333332305</c:v>
                </c:pt>
                <c:pt idx="91">
                  <c:v>0.77152777777776704</c:v>
                </c:pt>
                <c:pt idx="92">
                  <c:v>0.77222222222221204</c:v>
                </c:pt>
                <c:pt idx="93">
                  <c:v>0.77291666666665604</c:v>
                </c:pt>
                <c:pt idx="94">
                  <c:v>0.77361111111110004</c:v>
                </c:pt>
                <c:pt idx="95">
                  <c:v>0.77430555555554503</c:v>
                </c:pt>
                <c:pt idx="96">
                  <c:v>0.77499999999998903</c:v>
                </c:pt>
                <c:pt idx="97">
                  <c:v>0.77569444444443303</c:v>
                </c:pt>
                <c:pt idx="98">
                  <c:v>0.77638888888887803</c:v>
                </c:pt>
                <c:pt idx="99">
                  <c:v>0.77708333333332202</c:v>
                </c:pt>
                <c:pt idx="100">
                  <c:v>0.77777777777776602</c:v>
                </c:pt>
                <c:pt idx="101">
                  <c:v>0.77847222222221102</c:v>
                </c:pt>
                <c:pt idx="102">
                  <c:v>0.77916666666665502</c:v>
                </c:pt>
                <c:pt idx="103">
                  <c:v>0.77986111111109901</c:v>
                </c:pt>
                <c:pt idx="104">
                  <c:v>0.78055555555554401</c:v>
                </c:pt>
                <c:pt idx="105">
                  <c:v>0.78124999999998801</c:v>
                </c:pt>
                <c:pt idx="106">
                  <c:v>0.78194444444443201</c:v>
                </c:pt>
                <c:pt idx="107">
                  <c:v>0.782638888888877</c:v>
                </c:pt>
                <c:pt idx="108">
                  <c:v>0.783333333333321</c:v>
                </c:pt>
                <c:pt idx="109">
                  <c:v>0.784027777777765</c:v>
                </c:pt>
                <c:pt idx="110">
                  <c:v>0.78472222222221</c:v>
                </c:pt>
                <c:pt idx="111">
                  <c:v>0.785416666666654</c:v>
                </c:pt>
                <c:pt idx="112">
                  <c:v>0.78611111111109799</c:v>
                </c:pt>
                <c:pt idx="113">
                  <c:v>0.78680555555554299</c:v>
                </c:pt>
                <c:pt idx="114">
                  <c:v>0.78749999999998699</c:v>
                </c:pt>
                <c:pt idx="115">
                  <c:v>0.78819444444443099</c:v>
                </c:pt>
                <c:pt idx="116">
                  <c:v>0.78888888888887598</c:v>
                </c:pt>
                <c:pt idx="117">
                  <c:v>0.78958333333331998</c:v>
                </c:pt>
                <c:pt idx="118">
                  <c:v>0.79027777777776398</c:v>
                </c:pt>
                <c:pt idx="119">
                  <c:v>0.79097222222220898</c:v>
                </c:pt>
                <c:pt idx="120">
                  <c:v>0.79166666666665297</c:v>
                </c:pt>
                <c:pt idx="121">
                  <c:v>0.79236111111109697</c:v>
                </c:pt>
                <c:pt idx="122">
                  <c:v>0.79305555555554197</c:v>
                </c:pt>
                <c:pt idx="123">
                  <c:v>0.79374999999998597</c:v>
                </c:pt>
                <c:pt idx="124">
                  <c:v>0.79444444444442996</c:v>
                </c:pt>
                <c:pt idx="125">
                  <c:v>0.79513888888887496</c:v>
                </c:pt>
                <c:pt idx="126">
                  <c:v>0.79583333333331896</c:v>
                </c:pt>
                <c:pt idx="127">
                  <c:v>0.79652777777776296</c:v>
                </c:pt>
                <c:pt idx="128">
                  <c:v>0.79722222222220795</c:v>
                </c:pt>
                <c:pt idx="129">
                  <c:v>0.79791666666665195</c:v>
                </c:pt>
                <c:pt idx="130">
                  <c:v>0.79861111111109595</c:v>
                </c:pt>
                <c:pt idx="131">
                  <c:v>0.79930555555554095</c:v>
                </c:pt>
                <c:pt idx="132">
                  <c:v>0.79999999999998495</c:v>
                </c:pt>
                <c:pt idx="133">
                  <c:v>0.80069444444442905</c:v>
                </c:pt>
                <c:pt idx="134">
                  <c:v>0.80138888888887405</c:v>
                </c:pt>
                <c:pt idx="135">
                  <c:v>0.80208333333331805</c:v>
                </c:pt>
                <c:pt idx="136">
                  <c:v>0.80277777777776205</c:v>
                </c:pt>
                <c:pt idx="137">
                  <c:v>0.80347222222220704</c:v>
                </c:pt>
                <c:pt idx="138">
                  <c:v>0.80416666666665104</c:v>
                </c:pt>
                <c:pt idx="139">
                  <c:v>0.80486111111109504</c:v>
                </c:pt>
                <c:pt idx="140">
                  <c:v>0.80555555555554004</c:v>
                </c:pt>
                <c:pt idx="141">
                  <c:v>0.80624999999998403</c:v>
                </c:pt>
                <c:pt idx="142">
                  <c:v>0.80694444444442803</c:v>
                </c:pt>
                <c:pt idx="143">
                  <c:v>0.80763888888887303</c:v>
                </c:pt>
                <c:pt idx="144">
                  <c:v>0.80833333333331703</c:v>
                </c:pt>
                <c:pt idx="145">
                  <c:v>0.80902777777776103</c:v>
                </c:pt>
                <c:pt idx="146">
                  <c:v>0.80972222222220502</c:v>
                </c:pt>
                <c:pt idx="147">
                  <c:v>0.81041666666665002</c:v>
                </c:pt>
                <c:pt idx="148">
                  <c:v>0.81111111111109402</c:v>
                </c:pt>
                <c:pt idx="149">
                  <c:v>0.81180555555553802</c:v>
                </c:pt>
                <c:pt idx="150">
                  <c:v>0.81249999999998301</c:v>
                </c:pt>
                <c:pt idx="151">
                  <c:v>0.81319444444442701</c:v>
                </c:pt>
                <c:pt idx="152">
                  <c:v>0.81388888888887101</c:v>
                </c:pt>
                <c:pt idx="153">
                  <c:v>0.81458333333331601</c:v>
                </c:pt>
                <c:pt idx="154">
                  <c:v>0.81527777777776</c:v>
                </c:pt>
                <c:pt idx="155">
                  <c:v>0.815972222222204</c:v>
                </c:pt>
                <c:pt idx="156">
                  <c:v>0.816666666666649</c:v>
                </c:pt>
                <c:pt idx="157">
                  <c:v>0.817361111111093</c:v>
                </c:pt>
                <c:pt idx="158">
                  <c:v>0.818055555555537</c:v>
                </c:pt>
                <c:pt idx="159">
                  <c:v>0.81874999999998199</c:v>
                </c:pt>
                <c:pt idx="160">
                  <c:v>0.81944444444442599</c:v>
                </c:pt>
                <c:pt idx="161">
                  <c:v>0.82013888888886999</c:v>
                </c:pt>
                <c:pt idx="162">
                  <c:v>0.82083333333331499</c:v>
                </c:pt>
                <c:pt idx="163">
                  <c:v>0.82152777777775898</c:v>
                </c:pt>
                <c:pt idx="164">
                  <c:v>0.82222222222220298</c:v>
                </c:pt>
                <c:pt idx="165">
                  <c:v>0.82291666666664798</c:v>
                </c:pt>
                <c:pt idx="166">
                  <c:v>0.82361111111109198</c:v>
                </c:pt>
                <c:pt idx="167">
                  <c:v>0.82430555555553597</c:v>
                </c:pt>
                <c:pt idx="168">
                  <c:v>0.82499999999998097</c:v>
                </c:pt>
                <c:pt idx="169">
                  <c:v>0.82569444444442497</c:v>
                </c:pt>
                <c:pt idx="170">
                  <c:v>0.82638888888886897</c:v>
                </c:pt>
                <c:pt idx="171">
                  <c:v>0.82708333333331396</c:v>
                </c:pt>
                <c:pt idx="172">
                  <c:v>0.82777777777775796</c:v>
                </c:pt>
                <c:pt idx="173">
                  <c:v>0.82847222222220196</c:v>
                </c:pt>
                <c:pt idx="174">
                  <c:v>0.82916666666664696</c:v>
                </c:pt>
                <c:pt idx="175">
                  <c:v>0.82986111111109095</c:v>
                </c:pt>
                <c:pt idx="176">
                  <c:v>0.83055555555553495</c:v>
                </c:pt>
                <c:pt idx="177">
                  <c:v>0.83124999999997995</c:v>
                </c:pt>
                <c:pt idx="178">
                  <c:v>0.83194444444442395</c:v>
                </c:pt>
                <c:pt idx="179">
                  <c:v>0.83263888888886795</c:v>
                </c:pt>
                <c:pt idx="180">
                  <c:v>0.83333333333331305</c:v>
                </c:pt>
                <c:pt idx="181">
                  <c:v>0.83402777777775705</c:v>
                </c:pt>
                <c:pt idx="182">
                  <c:v>0.83472222222220105</c:v>
                </c:pt>
                <c:pt idx="183">
                  <c:v>0.83541666666664605</c:v>
                </c:pt>
                <c:pt idx="184">
                  <c:v>0.83611111111109004</c:v>
                </c:pt>
                <c:pt idx="185">
                  <c:v>0.83680555555553404</c:v>
                </c:pt>
                <c:pt idx="186">
                  <c:v>0.83749999999997904</c:v>
                </c:pt>
                <c:pt idx="187">
                  <c:v>0.83819444444442304</c:v>
                </c:pt>
                <c:pt idx="188">
                  <c:v>0.83888888888886703</c:v>
                </c:pt>
                <c:pt idx="189">
                  <c:v>0.83958333333331203</c:v>
                </c:pt>
                <c:pt idx="190">
                  <c:v>0.84027777777775603</c:v>
                </c:pt>
                <c:pt idx="191">
                  <c:v>0.84097222222220003</c:v>
                </c:pt>
                <c:pt idx="192">
                  <c:v>0.84166666666664502</c:v>
                </c:pt>
                <c:pt idx="193">
                  <c:v>0.84236111111108902</c:v>
                </c:pt>
                <c:pt idx="194">
                  <c:v>0.84305555555553302</c:v>
                </c:pt>
                <c:pt idx="195">
                  <c:v>0.84374999999997802</c:v>
                </c:pt>
                <c:pt idx="196">
                  <c:v>0.84444444444442202</c:v>
                </c:pt>
                <c:pt idx="197">
                  <c:v>0.84513888888886601</c:v>
                </c:pt>
                <c:pt idx="198">
                  <c:v>0.84583333333331101</c:v>
                </c:pt>
                <c:pt idx="199">
                  <c:v>0.84652777777775501</c:v>
                </c:pt>
                <c:pt idx="200">
                  <c:v>0.84722222222219901</c:v>
                </c:pt>
                <c:pt idx="201">
                  <c:v>0.847916666666644</c:v>
                </c:pt>
                <c:pt idx="202">
                  <c:v>0.848611111111088</c:v>
                </c:pt>
                <c:pt idx="203">
                  <c:v>0.849305555555532</c:v>
                </c:pt>
                <c:pt idx="204">
                  <c:v>0.849999999999977</c:v>
                </c:pt>
                <c:pt idx="205">
                  <c:v>0.85069444444442099</c:v>
                </c:pt>
                <c:pt idx="206">
                  <c:v>0.85138888888886499</c:v>
                </c:pt>
                <c:pt idx="207">
                  <c:v>0.85208333333330999</c:v>
                </c:pt>
                <c:pt idx="208">
                  <c:v>0.85277777777775399</c:v>
                </c:pt>
                <c:pt idx="209">
                  <c:v>0.85347222222219798</c:v>
                </c:pt>
                <c:pt idx="210">
                  <c:v>0.85416666666664298</c:v>
                </c:pt>
                <c:pt idx="211">
                  <c:v>0.85486111111108698</c:v>
                </c:pt>
                <c:pt idx="212">
                  <c:v>0.85555555555553098</c:v>
                </c:pt>
                <c:pt idx="213">
                  <c:v>0.85624999999997498</c:v>
                </c:pt>
                <c:pt idx="214">
                  <c:v>0.85694444444441997</c:v>
                </c:pt>
                <c:pt idx="215">
                  <c:v>0.85763888888886397</c:v>
                </c:pt>
                <c:pt idx="216">
                  <c:v>0.85833333333330797</c:v>
                </c:pt>
                <c:pt idx="217">
                  <c:v>0.85902777777775297</c:v>
                </c:pt>
                <c:pt idx="218">
                  <c:v>0.85972222222219696</c:v>
                </c:pt>
                <c:pt idx="219">
                  <c:v>0.86041666666664096</c:v>
                </c:pt>
                <c:pt idx="220">
                  <c:v>0.86111111111108596</c:v>
                </c:pt>
                <c:pt idx="221">
                  <c:v>0.86180555555552996</c:v>
                </c:pt>
                <c:pt idx="222">
                  <c:v>0.86249999999997395</c:v>
                </c:pt>
                <c:pt idx="223">
                  <c:v>0.86319444444441895</c:v>
                </c:pt>
                <c:pt idx="224">
                  <c:v>0.86388888888886295</c:v>
                </c:pt>
                <c:pt idx="225">
                  <c:v>0.86458333333330695</c:v>
                </c:pt>
                <c:pt idx="226">
                  <c:v>0.86527777777775206</c:v>
                </c:pt>
                <c:pt idx="227">
                  <c:v>0.86597222222219605</c:v>
                </c:pt>
                <c:pt idx="228">
                  <c:v>0.86666666666664005</c:v>
                </c:pt>
                <c:pt idx="229">
                  <c:v>0.86736111111108505</c:v>
                </c:pt>
                <c:pt idx="230">
                  <c:v>0.86805555555552905</c:v>
                </c:pt>
                <c:pt idx="231">
                  <c:v>0.86874999999997304</c:v>
                </c:pt>
                <c:pt idx="232">
                  <c:v>0.86944444444441804</c:v>
                </c:pt>
                <c:pt idx="233">
                  <c:v>0.87013888888886204</c:v>
                </c:pt>
                <c:pt idx="234">
                  <c:v>0.87083333333330604</c:v>
                </c:pt>
                <c:pt idx="235">
                  <c:v>0.87152777777775103</c:v>
                </c:pt>
                <c:pt idx="236">
                  <c:v>0.87222222222219503</c:v>
                </c:pt>
                <c:pt idx="237">
                  <c:v>0.87291666666663903</c:v>
                </c:pt>
                <c:pt idx="238">
                  <c:v>0.87361111111108403</c:v>
                </c:pt>
                <c:pt idx="239">
                  <c:v>0.87430555555552802</c:v>
                </c:pt>
                <c:pt idx="240">
                  <c:v>0.87499999999997202</c:v>
                </c:pt>
                <c:pt idx="241">
                  <c:v>0.87569444444441702</c:v>
                </c:pt>
                <c:pt idx="242">
                  <c:v>0.87638888888886102</c:v>
                </c:pt>
                <c:pt idx="243">
                  <c:v>0.87708333333330502</c:v>
                </c:pt>
                <c:pt idx="244">
                  <c:v>0.87777777777775001</c:v>
                </c:pt>
                <c:pt idx="245">
                  <c:v>0.87847222222219401</c:v>
                </c:pt>
                <c:pt idx="246">
                  <c:v>0.87916666666663801</c:v>
                </c:pt>
                <c:pt idx="247">
                  <c:v>0.87986111111108301</c:v>
                </c:pt>
                <c:pt idx="248">
                  <c:v>0.880555555555527</c:v>
                </c:pt>
                <c:pt idx="249">
                  <c:v>0.881249999999971</c:v>
                </c:pt>
                <c:pt idx="250">
                  <c:v>0.881944444444416</c:v>
                </c:pt>
                <c:pt idx="251">
                  <c:v>0.88263888888886</c:v>
                </c:pt>
                <c:pt idx="252">
                  <c:v>0.88333333333330399</c:v>
                </c:pt>
                <c:pt idx="253">
                  <c:v>0.88402777777774899</c:v>
                </c:pt>
                <c:pt idx="254">
                  <c:v>0.88472222222219299</c:v>
                </c:pt>
                <c:pt idx="255">
                  <c:v>0.88541666666663699</c:v>
                </c:pt>
                <c:pt idx="256">
                  <c:v>0.88611111111108198</c:v>
                </c:pt>
                <c:pt idx="257">
                  <c:v>0.88680555555552598</c:v>
                </c:pt>
                <c:pt idx="258">
                  <c:v>0.88749999999996998</c:v>
                </c:pt>
                <c:pt idx="259">
                  <c:v>0.88819444444441498</c:v>
                </c:pt>
                <c:pt idx="260">
                  <c:v>0.88888888888885897</c:v>
                </c:pt>
                <c:pt idx="261">
                  <c:v>0.88958333333330297</c:v>
                </c:pt>
                <c:pt idx="262">
                  <c:v>0.89027777777774797</c:v>
                </c:pt>
                <c:pt idx="263">
                  <c:v>0.89097222222219197</c:v>
                </c:pt>
                <c:pt idx="264">
                  <c:v>0.89166666666663597</c:v>
                </c:pt>
                <c:pt idx="265">
                  <c:v>0.89236111111108096</c:v>
                </c:pt>
                <c:pt idx="266">
                  <c:v>0.89305555555552496</c:v>
                </c:pt>
                <c:pt idx="267">
                  <c:v>0.89374999999996896</c:v>
                </c:pt>
                <c:pt idx="268">
                  <c:v>0.89444444444441396</c:v>
                </c:pt>
                <c:pt idx="269">
                  <c:v>0.89513888888885795</c:v>
                </c:pt>
                <c:pt idx="270">
                  <c:v>0.89583333333330195</c:v>
                </c:pt>
                <c:pt idx="271">
                  <c:v>0.89652777777774695</c:v>
                </c:pt>
                <c:pt idx="272">
                  <c:v>0.89722222222219095</c:v>
                </c:pt>
                <c:pt idx="273">
                  <c:v>0.89791666666663505</c:v>
                </c:pt>
                <c:pt idx="274">
                  <c:v>0.89861111111108005</c:v>
                </c:pt>
                <c:pt idx="275">
                  <c:v>0.89930555555552405</c:v>
                </c:pt>
                <c:pt idx="276">
                  <c:v>0.89999999999996805</c:v>
                </c:pt>
                <c:pt idx="277">
                  <c:v>0.90069444444441304</c:v>
                </c:pt>
                <c:pt idx="278">
                  <c:v>0.90138888888885704</c:v>
                </c:pt>
                <c:pt idx="279">
                  <c:v>0.90208333333330104</c:v>
                </c:pt>
                <c:pt idx="280">
                  <c:v>0.90277777777774604</c:v>
                </c:pt>
                <c:pt idx="281">
                  <c:v>0.90347222222219004</c:v>
                </c:pt>
                <c:pt idx="282">
                  <c:v>0.90416666666663403</c:v>
                </c:pt>
                <c:pt idx="283">
                  <c:v>0.90486111111107903</c:v>
                </c:pt>
                <c:pt idx="284">
                  <c:v>0.90555555555552303</c:v>
                </c:pt>
                <c:pt idx="285">
                  <c:v>0.90624999999996703</c:v>
                </c:pt>
                <c:pt idx="286">
                  <c:v>0.90694444444441202</c:v>
                </c:pt>
                <c:pt idx="287">
                  <c:v>0.90763888888885602</c:v>
                </c:pt>
                <c:pt idx="288">
                  <c:v>0.90833333333330002</c:v>
                </c:pt>
                <c:pt idx="289">
                  <c:v>0.90902777777774502</c:v>
                </c:pt>
                <c:pt idx="290">
                  <c:v>0.90972222222218901</c:v>
                </c:pt>
                <c:pt idx="291">
                  <c:v>0.91041666666663301</c:v>
                </c:pt>
                <c:pt idx="292">
                  <c:v>0.91111111111107801</c:v>
                </c:pt>
                <c:pt idx="293">
                  <c:v>0.91180555555552201</c:v>
                </c:pt>
                <c:pt idx="294">
                  <c:v>0.912499999999966</c:v>
                </c:pt>
                <c:pt idx="295">
                  <c:v>0.913194444444411</c:v>
                </c:pt>
                <c:pt idx="296">
                  <c:v>0.913888888888855</c:v>
                </c:pt>
                <c:pt idx="297">
                  <c:v>0.914583333333299</c:v>
                </c:pt>
                <c:pt idx="298">
                  <c:v>0.91527777777774399</c:v>
                </c:pt>
                <c:pt idx="299">
                  <c:v>0.91597222222218799</c:v>
                </c:pt>
                <c:pt idx="300">
                  <c:v>0.91666666666663199</c:v>
                </c:pt>
                <c:pt idx="301">
                  <c:v>0.91736111111107699</c:v>
                </c:pt>
                <c:pt idx="302">
                  <c:v>0.91805555555552099</c:v>
                </c:pt>
                <c:pt idx="303">
                  <c:v>0.91874999999996498</c:v>
                </c:pt>
                <c:pt idx="304">
                  <c:v>0.91944444444440998</c:v>
                </c:pt>
                <c:pt idx="305">
                  <c:v>0.92013888888885498</c:v>
                </c:pt>
                <c:pt idx="306">
                  <c:v>0.92083333333329997</c:v>
                </c:pt>
                <c:pt idx="307">
                  <c:v>0.92152777777774497</c:v>
                </c:pt>
                <c:pt idx="308">
                  <c:v>0.92222222222218997</c:v>
                </c:pt>
                <c:pt idx="309">
                  <c:v>0.92291666666663497</c:v>
                </c:pt>
                <c:pt idx="310">
                  <c:v>0.92361111111107996</c:v>
                </c:pt>
                <c:pt idx="311">
                  <c:v>0.92430555555552496</c:v>
                </c:pt>
                <c:pt idx="312">
                  <c:v>0.92499999999996996</c:v>
                </c:pt>
                <c:pt idx="313">
                  <c:v>0.92569444444441495</c:v>
                </c:pt>
                <c:pt idx="314">
                  <c:v>0.92638888888885995</c:v>
                </c:pt>
                <c:pt idx="315">
                  <c:v>0.92708333333330495</c:v>
                </c:pt>
                <c:pt idx="316">
                  <c:v>0.92777777777774995</c:v>
                </c:pt>
                <c:pt idx="317">
                  <c:v>0.92847222222219505</c:v>
                </c:pt>
                <c:pt idx="318">
                  <c:v>0.92916666666664005</c:v>
                </c:pt>
                <c:pt idx="319">
                  <c:v>0.92986111111108505</c:v>
                </c:pt>
                <c:pt idx="320">
                  <c:v>0.93055555555553005</c:v>
                </c:pt>
                <c:pt idx="321">
                  <c:v>0.93124999999997504</c:v>
                </c:pt>
                <c:pt idx="322">
                  <c:v>0.93194444444442004</c:v>
                </c:pt>
                <c:pt idx="323">
                  <c:v>0.93263888888886504</c:v>
                </c:pt>
                <c:pt idx="324">
                  <c:v>0.93333333333331003</c:v>
                </c:pt>
                <c:pt idx="325">
                  <c:v>0.93402777777775503</c:v>
                </c:pt>
                <c:pt idx="326">
                  <c:v>0.93472222222220003</c:v>
                </c:pt>
                <c:pt idx="327">
                  <c:v>0.93541666666664502</c:v>
                </c:pt>
                <c:pt idx="328">
                  <c:v>0.93611111111109002</c:v>
                </c:pt>
                <c:pt idx="329">
                  <c:v>0.93680555555553502</c:v>
                </c:pt>
                <c:pt idx="330">
                  <c:v>0.93749999999998002</c:v>
                </c:pt>
                <c:pt idx="331">
                  <c:v>0.93819444444442501</c:v>
                </c:pt>
                <c:pt idx="332">
                  <c:v>0.93888888888887001</c:v>
                </c:pt>
                <c:pt idx="333">
                  <c:v>0.93958333333331501</c:v>
                </c:pt>
                <c:pt idx="334">
                  <c:v>0.94027777777776</c:v>
                </c:pt>
                <c:pt idx="335">
                  <c:v>0.940972222222205</c:v>
                </c:pt>
                <c:pt idx="336">
                  <c:v>0.94166666666665</c:v>
                </c:pt>
                <c:pt idx="337">
                  <c:v>0.942361111111095</c:v>
                </c:pt>
                <c:pt idx="338">
                  <c:v>0.94305555555553999</c:v>
                </c:pt>
                <c:pt idx="339">
                  <c:v>0.94374999999998499</c:v>
                </c:pt>
                <c:pt idx="340">
                  <c:v>0.94444444444442999</c:v>
                </c:pt>
                <c:pt idx="341">
                  <c:v>0.94513888888887498</c:v>
                </c:pt>
                <c:pt idx="342">
                  <c:v>0.94583333333331998</c:v>
                </c:pt>
                <c:pt idx="343">
                  <c:v>0.94652777777776498</c:v>
                </c:pt>
                <c:pt idx="344">
                  <c:v>0.94722222222220998</c:v>
                </c:pt>
                <c:pt idx="345">
                  <c:v>0.94791666666665497</c:v>
                </c:pt>
                <c:pt idx="346">
                  <c:v>0.94861111111109997</c:v>
                </c:pt>
                <c:pt idx="347">
                  <c:v>0.94930555555554497</c:v>
                </c:pt>
                <c:pt idx="348">
                  <c:v>0.94999999999998996</c:v>
                </c:pt>
                <c:pt idx="349">
                  <c:v>0.95069444444443496</c:v>
                </c:pt>
                <c:pt idx="350">
                  <c:v>0.95138888888887996</c:v>
                </c:pt>
                <c:pt idx="351">
                  <c:v>0.95208333333332495</c:v>
                </c:pt>
                <c:pt idx="352">
                  <c:v>0.95277777777776995</c:v>
                </c:pt>
                <c:pt idx="353">
                  <c:v>0.95347222222221495</c:v>
                </c:pt>
                <c:pt idx="354">
                  <c:v>0.95416666666665995</c:v>
                </c:pt>
                <c:pt idx="355">
                  <c:v>0.95486111111110505</c:v>
                </c:pt>
                <c:pt idx="356">
                  <c:v>0.95555555555555005</c:v>
                </c:pt>
                <c:pt idx="357">
                  <c:v>0.95624999999999505</c:v>
                </c:pt>
                <c:pt idx="358">
                  <c:v>0.95694444444444005</c:v>
                </c:pt>
                <c:pt idx="359">
                  <c:v>0.95763888888888504</c:v>
                </c:pt>
                <c:pt idx="360">
                  <c:v>0.95833333333333004</c:v>
                </c:pt>
                <c:pt idx="361">
                  <c:v>0.95902777777777504</c:v>
                </c:pt>
                <c:pt idx="362">
                  <c:v>0.95972222222222003</c:v>
                </c:pt>
                <c:pt idx="363">
                  <c:v>0.96041666666666503</c:v>
                </c:pt>
                <c:pt idx="364">
                  <c:v>0.96111111111111003</c:v>
                </c:pt>
                <c:pt idx="365">
                  <c:v>0.96180555555555503</c:v>
                </c:pt>
                <c:pt idx="366">
                  <c:v>0.96250000000000002</c:v>
                </c:pt>
                <c:pt idx="367">
                  <c:v>0.96319444444444502</c:v>
                </c:pt>
                <c:pt idx="368">
                  <c:v>0.96388888888889002</c:v>
                </c:pt>
                <c:pt idx="369">
                  <c:v>0.96458333333333501</c:v>
                </c:pt>
                <c:pt idx="370">
                  <c:v>0.96527777777778001</c:v>
                </c:pt>
                <c:pt idx="371">
                  <c:v>0.96597222222222501</c:v>
                </c:pt>
                <c:pt idx="372">
                  <c:v>0.96666666666667</c:v>
                </c:pt>
                <c:pt idx="373">
                  <c:v>0.967361111111115</c:v>
                </c:pt>
                <c:pt idx="374">
                  <c:v>0.96805555555556</c:v>
                </c:pt>
                <c:pt idx="375">
                  <c:v>0.968750000000005</c:v>
                </c:pt>
                <c:pt idx="376">
                  <c:v>0.96944444444444999</c:v>
                </c:pt>
                <c:pt idx="377">
                  <c:v>0.97013888888889499</c:v>
                </c:pt>
                <c:pt idx="378">
                  <c:v>0.97083333333333999</c:v>
                </c:pt>
                <c:pt idx="379">
                  <c:v>0.97152777777778498</c:v>
                </c:pt>
                <c:pt idx="380">
                  <c:v>0.97222222222222998</c:v>
                </c:pt>
                <c:pt idx="381">
                  <c:v>0.97291666666667498</c:v>
                </c:pt>
                <c:pt idx="382">
                  <c:v>0.97361111111111998</c:v>
                </c:pt>
                <c:pt idx="383">
                  <c:v>0.97430555555556497</c:v>
                </c:pt>
                <c:pt idx="384">
                  <c:v>0.97500000000000997</c:v>
                </c:pt>
                <c:pt idx="385">
                  <c:v>0.97569444444445497</c:v>
                </c:pt>
                <c:pt idx="386">
                  <c:v>0.97638888888889996</c:v>
                </c:pt>
                <c:pt idx="387">
                  <c:v>0.97708333333334496</c:v>
                </c:pt>
                <c:pt idx="388">
                  <c:v>0.97777777777778996</c:v>
                </c:pt>
                <c:pt idx="389">
                  <c:v>0.97847222222223496</c:v>
                </c:pt>
                <c:pt idx="390">
                  <c:v>0.97916666666667995</c:v>
                </c:pt>
                <c:pt idx="391">
                  <c:v>0.97986111111112495</c:v>
                </c:pt>
                <c:pt idx="392">
                  <c:v>0.98055555555556995</c:v>
                </c:pt>
                <c:pt idx="393">
                  <c:v>0.98125000000001505</c:v>
                </c:pt>
                <c:pt idx="394">
                  <c:v>0.98194444444446005</c:v>
                </c:pt>
                <c:pt idx="395">
                  <c:v>0.98263888888890505</c:v>
                </c:pt>
                <c:pt idx="396">
                  <c:v>0.98333333333335005</c:v>
                </c:pt>
                <c:pt idx="397">
                  <c:v>0.98402777777779504</c:v>
                </c:pt>
                <c:pt idx="398">
                  <c:v>0.98472222222224004</c:v>
                </c:pt>
                <c:pt idx="399">
                  <c:v>0.98541666666668504</c:v>
                </c:pt>
                <c:pt idx="400">
                  <c:v>0.98611111111113003</c:v>
                </c:pt>
                <c:pt idx="401">
                  <c:v>0.98680555555557503</c:v>
                </c:pt>
                <c:pt idx="402">
                  <c:v>0.98750000000002003</c:v>
                </c:pt>
                <c:pt idx="403">
                  <c:v>0.98819444444446503</c:v>
                </c:pt>
                <c:pt idx="404">
                  <c:v>0.98888888888891002</c:v>
                </c:pt>
                <c:pt idx="405">
                  <c:v>0.98958333333335502</c:v>
                </c:pt>
                <c:pt idx="406">
                  <c:v>0.99027777777780002</c:v>
                </c:pt>
                <c:pt idx="407">
                  <c:v>0.99097222222224501</c:v>
                </c:pt>
                <c:pt idx="408">
                  <c:v>0.99166666666669001</c:v>
                </c:pt>
                <c:pt idx="409">
                  <c:v>0.99236111111113501</c:v>
                </c:pt>
                <c:pt idx="410">
                  <c:v>0.99305555555558001</c:v>
                </c:pt>
                <c:pt idx="411">
                  <c:v>0.993750000000025</c:v>
                </c:pt>
                <c:pt idx="412">
                  <c:v>0.99444444444447</c:v>
                </c:pt>
                <c:pt idx="413">
                  <c:v>0.995138888888915</c:v>
                </c:pt>
                <c:pt idx="414">
                  <c:v>0.99583333333335999</c:v>
                </c:pt>
                <c:pt idx="415">
                  <c:v>0.99652777777780499</c:v>
                </c:pt>
                <c:pt idx="416">
                  <c:v>0.99722222222224999</c:v>
                </c:pt>
                <c:pt idx="417">
                  <c:v>0.99791666666669498</c:v>
                </c:pt>
                <c:pt idx="418">
                  <c:v>0.99861111111113998</c:v>
                </c:pt>
                <c:pt idx="419">
                  <c:v>0.99930555555558498</c:v>
                </c:pt>
                <c:pt idx="420">
                  <c:v>1.00000000000003</c:v>
                </c:pt>
              </c:numCache>
            </c:numRef>
          </c:cat>
          <c:val>
            <c:numRef>
              <c:f>'Log da Apuracao'!$C$2:$C$422</c:f>
              <c:numCache>
                <c:formatCode>#,##0.00</c:formatCode>
                <c:ptCount val="4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2-4023-BA14-99491BF36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029744"/>
        <c:axId val="243030160"/>
      </c:lineChart>
      <c:catAx>
        <c:axId val="243029744"/>
        <c:scaling>
          <c:orientation val="minMax"/>
        </c:scaling>
        <c:delete val="0"/>
        <c:axPos val="b"/>
        <c:numFmt formatCode="h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30160"/>
        <c:crosses val="autoZero"/>
        <c:auto val="1"/>
        <c:lblAlgn val="ctr"/>
        <c:lblOffset val="100"/>
        <c:noMultiLvlLbl val="0"/>
      </c:catAx>
      <c:valAx>
        <c:axId val="24303016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2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Votação</a:t>
            </a:r>
            <a:r>
              <a:rPr lang="en-US" b="0" baseline="0"/>
              <a:t> Governador (% dos votos válidos)</a:t>
            </a:r>
            <a:endParaRPr lang="en-US" b="0"/>
          </a:p>
        </c:rich>
      </c:tx>
      <c:layout>
        <c:manualLayout>
          <c:xMode val="edge"/>
          <c:yMode val="edge"/>
          <c:x val="1.7791242268613301E-2"/>
          <c:y val="1.937046497250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9E-4E96-ADF2-7330909F3B0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9E-4E96-ADF2-7330909F3B09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'Governador 2T'!$B$17:$B$18</c:f>
              <c:strCache>
                <c:ptCount val="2"/>
                <c:pt idx="0">
                  <c:v>FERNANDO HADDAD</c:v>
                </c:pt>
                <c:pt idx="1">
                  <c:v>TARCÍSIO</c:v>
                </c:pt>
              </c:strCache>
            </c:strRef>
          </c:cat>
          <c:val>
            <c:numRef>
              <c:f>'Governador 2T'!$F$17:$F$18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9E-4E96-ADF2-7330909F3B09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'Governador 2T'!$B$17:$B$18</c:f>
              <c:strCache>
                <c:ptCount val="2"/>
                <c:pt idx="0">
                  <c:v>FERNANDO HADDAD</c:v>
                </c:pt>
                <c:pt idx="1">
                  <c:v>TARCÍSIO</c:v>
                </c:pt>
              </c:strCache>
            </c:strRef>
          </c:cat>
          <c:val>
            <c:numRef>
              <c:f>'Governador 2T'!$G$17:$G$18</c:f>
              <c:numCache>
                <c:formatCode>0.0</c:formatCode>
                <c:ptCount val="2"/>
                <c:pt idx="0">
                  <c:v>47</c:v>
                </c:pt>
                <c:pt idx="1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9E-4E96-ADF2-7330909F3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  <cx:data id="1">
      <cx:strDim type="cat">
        <cx:f>_xlchart.v5.1</cx:f>
        <cx:nf>_xlchart.v5.0</cx:nf>
      </cx:strDim>
      <cx:numDim type="colorVal">
        <cx:f>_xlchart.v5.5</cx:f>
        <cx:nf>_xlchart.v5.4</cx:nf>
      </cx:numDim>
    </cx:data>
  </cx:chartData>
  <cx:chart>
    <cx:title pos="t" align="ctr" overlay="0">
      <cx:tx>
        <cx:txData>
          <cx:v>Votação Presidente (% dos votos válidos)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0"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Votação Presidente (% dos votos válidos)</a:t>
          </a:r>
        </a:p>
      </cx:txPr>
    </cx:title>
    <cx:plotArea>
      <cx:plotAreaRegion>
        <cx:series layoutId="regionMap" uniqueId="{A6FCB988-86D1-4264-A999-BB0A25706EDD}" formatIdx="0">
          <cx:tx>
            <cx:txData>
              <cx:f>_xlchart.v5.2</cx:f>
              <cx:v>Lula</cx:v>
            </cx:txData>
          </cx:tx>
          <cx:dataId val="0"/>
          <cx:layoutPr>
            <cx:regionLabelLayout val="showAll"/>
            <cx:geography cultureLanguage="en-US" cultureRegion="BR" attribution="Powered by Bing">
              <cx:geoCache provider="{E9337A44-BEBE-4D9F-B70C-5C5E7DAFC167}">
                <cx:binary>1FzJkty4dv0VhdZmNTESfOF2RIPMqeZJKkkbRtYgEpxAgjP/xuH12/kP+sd8swZ1FpVSSXb5RSsX
JWWSIHBx7oRzAf77Tf+Pm/Rubd70WZpX/7jpf38b1XXxj99+q26iu2xd7WXqxuhKf673bnT2m/78
Wd3c/XZr1p3Kw9+wjehvN9Ha1Hf92//4d3haeKcP9c26Vjo/a+7McH5XNWldfefazktv1reZyn1V
1Ubd1Oj3tw//rfWb+d3tnVmnb9/c5bWqh8uhuPv97bO73775bfrMr/p/k8IQ6+YW2lqE7nHbYZwL
Yt9/yNs3qc7Dp+tM7FHi2ELYtnv/cZ46P15n8ADZ3OW6evOHMnfwt6l1rjPdVG88GN7TnbuGeT/I
9e0tNKtA3vt/X3raM0F/f+v98fbNjW7yejPRIcz572//MOFmZvL12zeq0t7DRU9vJP3j/H5qfnsO
03SutqYGuXvY4cLBfDIlrruHiEsJFbun5OiuVzf6fzkDzxpPBT768JXED/d/Le7mVtCEHxfXQmzP
cTFCNqXPVYA6e8J1HGYL9qAi6AnYBxV4VMo3Twr7dPXHYf/6CRPJ/flXgkuzHhVYwhRn+dM423vM
5rZL7EcLAPG2LYDzPRdRblPkPojPnwT814nvfSX++7v8bmzu0h2a/n62G/qJLoBbmPyy5bOmdvHS
pa9clgd+9c//fJqpXarws45qzxGEINd9VEJ7AhMRe0wI10YMP/X6gM/LI9nti57aTVTRg9mdeJ2f
VcXJtP//AnEJAWnjEqunWXkFLJC9h4XtEPAKD0HBfW4yVOwRm5F7PO5tBrB6iFgPkPzQmHajstV0
Aszlya8FzB835u5pWl4BE3fPdQQTNnUevJQNgfqZGwMvjpAgHNOHG9hT5w+YvDSc3XA8tJog8cfX
7upvbSJ/pOtQr1/TQNw9zrEN9sEfwRDPwSAQawlD3Bb4wYDg+raB/MCIvoHHkyhTSA5/MePI1qPO
XxUTsocw3kw3esQE4sQzA7H3IKHnGDmPecAkjvzxA0P6BihfWk5ROfo/o/I8nd1KXy2w723xnKmK
fRnUg+LtckE/K86XR04C5Omdab7O1E5nu/OUb4uEACHXQZP81EF7LtnkBuwxGP0LJD364yvkPJ3q
7FqtvxbUg8i0Kxf/l+YBoL7FayZkYC2E08cV0Bcntq1xDOCi4OBsvHvd8PKIvql/95JMjen0K0j+
1lHnXOk3C7POb+/e3Oo3xxpohKcgsMsWfzJdZnvCZi5QFJAx338m6QBEIIxsRm3nMV+YpGg/Obrd
SO18yAS28+NfCza5jjY2/m2n+ZNAIQyJGxgJZAvPHfZmQWMj/CzJ3s4RXhzIbkwem01QkF/7s7+1
8VzcmVAVr2kwsKaBzABCiAOWsO3GiLMHPwtXkElc+YEx7IbgS8MJCBcQECeR828Nwrk2a5W9ojHg
PYEppoDBo9OCGd+Ggtt7nDkUSKrHHA6g2jaJHxjQbkS+NJwgcg5k0q+EyKwq/vynUcAUX8CiXz/N
zivEE2zDkp5DsNhQMJvPBBp6fx1jwSE728bkJ4a0G5uvHjDBaHbxa2F0ujbrP/95/YpmYzlASEOq
BS7qcWkzdWF0T3BY1rjsMdiT5xj9yJB2g/NXywkqp/LXQmWh1Z//+ZoUAOJ73LWhdMIeOYDJcpNC
eYFBTIHSyheD2rablwe0G5GndhM8Fr8YO3YEVpJHf/7Xq/qwPYYoRJdHHt+eUsiUgo8DJwdB6AGS
Sa3rh8a0G5WtphNgdqwk/9ZB/2gN0WUBVdHqNaGB4hNH1EUuh+rKdshnfA9KM5h8WcdMkrAfHM63
UNmSZYrL5a/lwIBjydfZdXPzmrCIPSj6IQ752DcDy6Y2RuCmnRbzY4PaDc522wk2G+boV0rLtpR0
s9a/aF6zgg+ZGQW/5tqPvP7UqzGo8CMO9gOx5v4zSZp/bnC7sdr1jAlmR79YmrbhLoCa2V/nd8q8
pk1hWPDf76dAj9z/ZN1Pgah2IVsD8ubhM0nWfnxgu7Gatp/gdL7/i9kW7Pao3ixgW4x61fQN6mkI
FjNQEvhiNdtxCVByCeNwz2POPUHp6AeHtRuj560nCB0tfi2EYI3wmsSzhWBHkksgq34ykMlqB6rP
FCpvQuDHzBoMbDuzfnE8uzF5bDYB4/SPXw6Mdf6qcGAGeEDZGQLQQw4w9Wew0BEQoRBYy8PnKzhe
GtE3AXloOIXkFyNtTtW6+fOfT5PyClwN2wMiEzl/ZW3TpSfwbFBIo4L9hdgzA3lxQN8A5LHdFI/V
r2Uiz6sWr5uskU3ZzGV4Sp9BrQxDng170B4zbYBsG5KfGtNudHY8YgLU+a+Woun89s//zl+1HCP2
HI42ceMb28w4xH0b7hDuI60zyabPf2RM3wDor6ZTYE5+LQvakM/rN966Xpv7vbgPmvwKng07e1Ch
EZCVPdX6n7MFEPoZRQLD5rOdufOPD2w3RNP2E5wuvP8zTt/c/AAMCQJuykaCPZcZkz3Yn40IUI1f
MtVt1zEd87fB+N/JPMF6si731sXdm/d35hZqddOtut77v8G+iAvgGN+crpv0Vdd4ZI8R4nJ3s29+
85mmqEAOYyH40w7yTTh4htkPDeobeG21nern33yLxER3nnjQbY19dsu9+jy3mO8edoAaL7n/2JOM
iJG9h8XE04a9Sfh9eSS7sXhq92zUcMzhJ/eu/9xGocndW1u3v0yOD655dn+E5Iev3gsIB1wmTR/V
dqdvf8Btdfv7WyjXgoZ/OZmyecYzfZ/sd/yryd26qjenVMD5MY7B83V3Dz+IPUyczd4V2ObCYZkO
tHEOW2giuFnARlcC5AqFfUd0swoE46t0c38NNAByXg4p2KaGLAgY3pNgpzodQp1/maPH72/yJjvV
Kq8rEANqm8XDbZshcurCQpQQ23GZS+FACLfh+s36HE4Hbe7+tyxwE1EGfSqLD83nbh15aiZWapVe
dXNnX31I5jGs5b9My44eQeLvdri5vtVhHVlZnaTQYUvKg1aZQlYJXxo3wRCafqIj2L0K1SsGGx+4
A6GWIyiFbHfU2FFD+lFlMuXVPHecT25dn1ITLr/fDdlY3rZE0BGAyCm2Yf2IBHImHZnQIkkQhlo6
HWPRqWU37TDjlRnPM2uocpngKB4PC5Gh1CNVX1u+abp8xVAb80WDckI9odRYrqq40slJk7OBeGRs
4wViNfFUOmbz0G4HT48D9iLVv4NGTMacjeSyURGVLteDnzbILJOxjM9ZUMPZrCTqF7B8IvMqUjXz
mko5fp/T/jzoKj4vtO6Xblnyxo8tuzJzNLj5ss3TauWahrxHrK18Wrv9eexEKJBljSPiw74H9j4r
HHSSdUz5lOrgMKzhlMtl2/fhgah6/gGVQd5JIvriwrZYcdCaiq6MbhOJRB9HM+A8wnbfBHT8zGzj
pH5rO+Ey7cumkIYMYh8r1K7DJnMrP4g7t5V5KhzXj+0+X9qVjm6tJOvfGwcN165B1oJhkRWXPM7w
YdC1bS3b1tKprNQgLoOwZHdOksRHZWMTv1cqu3HHNiq8CuXpR+EUgVdFFVnZuWOWtM4S2ZS2iKQw
ovF70vDjOMrxzPBGFJIlRUhlFXQ4k12K+yUeASrMUbXfx2W5apSo/SwOo4MoZ/yS2F19nhZOtsgT
C+Qcq95LItx9DBw7TqQVosEXRZ4ehroMTsreNcdh0eeZVInuB5lZyWhLq0HiqB377s5CJgo9ooYi
n5mRVoecpu0RC83gj1DtuohJ4l5YMKdGZi4pPhZ1U82TnHSpLAV1ZZEFdiSDugz3GS2KVUPsegka
yqkcjKZzNRLlD9pqPYcOaN4qSA1kjJv2qGWBPtaYu93c4MH18dDqZS8c7g1JP3jtUDSeEVlZShwl
zkkclmRfRKX6UI2aHlO3Sz/Ww1CjucJDY83ytiwdWVBTzVOVXOIWlSdBhMQFRwOLZIRJuqzzDp2y
LBsPwXWhKxGkUSspU8NF0vXUklVRklWfDcG8orz13US5H6uk7blXFuN4UURF/o7SlLVSVE52kA4C
nem6bXOPxwxlnonjZJ9lXf+e9TyetWMcYFnmVb6fZbmqZ5Ee+EEcgZYeZA6pJFPcfd/WeTZKYhH1
3kFB59O+zD/qInYXdREH+4Mm4w2lBbnrA5OUXoVx5Fdji+QojJ7Rrv1cBTr9aOc4nFWjy3weJrYM
IQisszgvXRlQpE5DR3dnjtXnISgZ0X6mlatkJxhrloz1+XneBu5BbPVs2WM09BK5Ogkl7x1Lych0
6RF4xuC0YhE1J6NdFKEkRcI/J07AfFR0RSJFaeKzMIiDTraWxY10RUyve5Whwyar4GBoGhXvC+L2
jodQhiwvVkSt66YXftj1ZmWltPtgWtJetXYZ3MRVJ+Yi5NGHbBij0wT1uSOjjGeZNKYoDoaSR4PE
rapHL+z7+iNr8l4d9FYLfisT8EgZJgOGcbVZ2HsZt+pWOpHIx32Rt321jyMcDLIPqXWV8DCsfDfo
AdoqbXThb/qx/VyM4iDWQBl5VuHUxzHOwU4cON76DhvU2zJNWHmtIt7dwsEg7QsS0/PY7pILt9FV
K5NUh/EqsJA+tK1svLL1KI6TCtWtFza5GCSlQUY9ykvn1KEqRR63+ziXvR3RiwqV8SGJ6qFZxsnA
Ot8quTUbGWO+S4M11aPfJ651CVkG92s2ZMdhltf7YwSusR8623icVfQyHXNXQHXje2FwEuA30Yk4
1GGwQxP4Mu5srm/F20a3bAjaMZXhoEcJYeST6Rvgu366D7ZJkVw4bgpM6vM+yqBAUVdCH04UeHWE
pTO+kDVsnrCVpjxIsdUD5GLbUpSpbvqKQg9W/rGN8SHpc9nQ2rOzXIaReCF12DlnW70BH7zd24BZ
i6NNbzU5dMorxK++P1+b0X5HGjZJulpdipaF8HzeB6mkYXilo3aGxvbKtPWiJyGTQ25e6PQFoRjk
lNtCQTznIzEbkJxGSYs3J2WlXlCESXI3hWlzkHG7jyiKwyG1oQ9G4jktDllp/Do2L8DzUi/keS91
kBkdDdCLXVdHCNxZ4mZ+os++D9JLvUwMR3RDVQYKehnRqSErEh0lKZyG+Z7doJcUYZIMRy4dbdsa
Uhkd4n17Vp6p0NOJ7KXyLK/1Op944jrqpbgO/fSFWXxJH2D9sY1VoG3dZi30TYtxliRCRjmR35fv
pSncWPWW78G0I3GRwhRSp5VddFE0RCZ2/EIvaDPS75nTxDkUCbWzkYIknScWqpL1CsnSc0NJZeOn
leRz48X7of+Sm7hfQnyv44mfiAtiejOCfNV+7cenLWQQx9GH7rj0wn16GQ9SXOTHgZB09BkQG99T
nRemdrpuM6lV43DTtapafts1YbhyEWRTMgvd5gVN2d2XA+mei/hmzfocxrZvHCt1oC+Eemm61u9Z
LjkByvenJeKw7uVwBhojOrEFEmDt6IrCZEZnbX+ok9gL6Eui7FSVrU6mSl+OUcMJAQfVxvVxP5hF
HeslIrRaoQq9EHp3zhuH2LvZUwz1rImfCmur3VRMUpmN7YGKFwXkD8ihL6j/Th+y1cvET3U8xVXY
w7yhMJNtNLbSboQMsZFU5TPbVUcmGRbfxwpvgsVXmr/V6QSsvO00tRro1F5o4RWr8dCdp/Owl/G8
e2fNSr9Yh5ex8JAXSOMpP+pWFhzw/J6+oJemd4JlBO65Lg2MoZ1Hp91n90afk2Xs41NxER+D2Q+X
ZtEsX+j0JcEntlAaV6em3cy2G7urqKntwutrkc5YUTCJxrI46nLMZwW3wxVwBpZXY1uthN23Lwxl
l/iwYdphTFDCBZ9AUNpN7EYZeL24yWciyLwmzxepUS+o1y6L2e5mMssOiuySE+Br7K6RBNbvbRrK
MniX9vYLbmanO93uajK3OWpRH2iQqPZhsZeeVjKZpYmHDjLPnQ0fXDbXp/HM9RMj8fn3cX1pMich
hHQiYLqErlVhoFtE5oVpmazydPb9jnZF3W0ZJyGDCoWaBsN0asE/DRY+RSJ9wZG+0IUzyS4dlDpd
m2zCoetcqa5bRX387l6KR9719MHSH3jEG10MRoXR40uAvnz9j6OnNwvdv4Tjr983rxH669tJcZdf
1Oburj5aF9M7N/19uRW6e+x/Q64++/IV0fvEeE6o3Ie3FX3j4o/xvMCGYiCxtkD9iur9qkC6YVK/
tHvke5m75zgEjpsIDIcY4b+A0iPzC69jAcoX1knA+8K7PsjmbTVPzK+zByUXYMDgtRScE9i6Cvrx
hfklsB8fOGOo7CIKxDFk8E+iPkMMKO7H78+YX3h1wnMnvjmXxxnQzPBiJI7hUPJEUUTdmnwkOPGB
2Wk9mobEq4tu9LgqmlWnSGxkp9TwETOUHoeJe0BTTGZZi4TkzIxXQ0u6o1ao9ADS/foGJWa4dELe
z0yh6xnJTXo4iBLJ2FhDJxmugWuDkpOMeNF6hbVqQ0vMGVz0RAxUqHHa6rzJHLMhNBWE/gLx+sxk
2l7VluWsnS4kswrYQU/ZGVsgniAv53k6r1garrI0JfO+dUK/zozjKSBrD3GjGZUBw8MRFUntlSPL
XZlBsetIZBy4jbRlF5UF1K1xG7aEvEAsrIzawuMByy/DqHPWAZBCXOKwiz+JOu3mlptUV6HmQJ0U
BWwtlskg6LVR7jh4fTrG8yIIAi+I6sbyhmgotMwQGpbAhqgVdcPwesR2MSN9zW8y0sWRrJlVea4O
0mOnEu1xTNjwriDZMHhlHBeDTGtTXeu4ypqZ6HLnQxzYDrQqTHnRhrnwusYUntM3TS1jp2z3cZ4T
dp0woXofxBdHIdU2kblmvPIIr4F5bLoScgVEynbuhGZ8X4ZDeVYSnHm8scdFFzRAkLk4PB6dRq94
iMxRpUi+KvKOF8Cn09KWQyrUiaPy4SgqEiZJiSpPhwpiBB2UBySNe6wwLTy3KpwFCO/4NgGyy42c
+kiNhZGir5wFSl1nWZW562WjVXr5UNerPqF6EdRO20sXD8zjgNA5h74/ADULJGzY0KUAHmZ/jFEt
ST8UMuFF866uCuZpyunCoDSaD1WWejDXaGZzY3wnSkK/j0Tt1Z2xvNA2qZKmiKyFTqsIhpOGaOFk
YzlPHU3k6ASokRzX5ed8SFog1rIo8xTpyEHaNdnKRulwmFsFW5pYxVdDRtQCKCz4g93szGLIWkV2
D/GLtK2WddcLI0vbbY4UjcURwa0OZeuO9KpiQKQHZVR5gRHKq9KwP6GhCfeBR6KXYYYdb8OBeUgF
3ZEK2savi7RcYUPzQjatq+eOGkcvqupQyRC55cJNRXQSVT0VUsdlujZpwZd2ScznsavKKyKS4EhZ
pkq9kZX9AbVwPKt12132OKm1BEa6mokM55dkyNyZM1BykEA5ar9pkLtf1qJ655BuPEN9qzwHseTA
IBo15dwAHTbQuWB57ucUpwtbFCqUtk5zv0MWcM9QqnE8JwDNlBXpurnuSzGzWd3NqzCKDyiu8/2u
M2IWqoB4cQ0XrDhyJU0292kjFsDVwyOh2CJmwmLx2g6CKJRJw8oL27TdPMF9dFaVrXsoWtd8qJoY
bk+6zTiE27iHSYF0LENYuX1MRJL7VVoXM+3y6KrSppt3kMktQkNg7LSHG0WAoE0MN+rYpOdVGuV+
mJTpeddBNeG+MR9iZflNyiMto8Tog6aub3pj7LnWQbfIsQtutDRh4ne1VbjzkLDxULlu1ci8oCyd
O0PTL6uoLi6zjvTLTiNxpXXWX9ZDuCHgEe8OWGN1czeP3YMIeD4gC9UIjteQ0Ss7V2cyIgbqIFaf
XYRFFp2oKFejjOyAXNhDp2alHbilzKrRfje0jK1UyfF+D07gCqV2fINIXy5j4IE/WVHNPqWKGuYH
tUpnCaK5n1EC1QtA2Dm1mGb7UNNqPvRJmp4Aj+qeCWEFCxUN8WnXM5hHjOJ1kmViAZx9vXqYUV2n
50nGYEbjMMdM2gamHdS4vzJAPJ9VbpJ3c1sLXZ4kbsWLWSdSDPwunGo+DjFtXC90huAk4EV3xvMy
WiVjBw+7x4OaLrrSNEoaj7qqv6RBihIP4IuuOsgnT7qO4I/C6swHOlrj0hKgUElD1EHSDfRdUrpj
JpOcqgOnp/SdE+NiP03VwD3CsnK/1lF03qUD8cVYlBdwhJE5MolY4dlmwMYDUj84oe0YXdGqcxMZ
lmV0Zbuj+dDZWZMt7hU7TDqjJa2GfD9MCEhjj2AjhCh7acdBAcI1wwgsAQyvgtShmEFKYD4kWtWr
2DXhbcKhPzGYHoJNr8jMDglMYoVJBQ5D2/SdaMA2hgJyCpmpRqw1rAn2qwjRd7YyAwJ2HavR67IM
YmRi6l52RdVfd6VDvJDyIZvZNrjqMAz7S93FYqaTEX6kphDwJ+ovRdrCUx7sCMqZG6suXZgCiBsX
dhsFfB6yuCw87bTWQZiAGYcMntVVQH5URQAzXGRVBDKjKjN17gHBmo1+QnQnfDdP4sOyHmLLgzOi
fbUUGdzRlRnBnrEJhvVdnoGbMyNUXLDOuJ7XY9/fZNgyo0cbgg+hAEIXTq5dS3Yawg0UFsiVKJvG
4xFU0Te+25r1pi8jKJ+ZQKoWTpp6pLHGIxjceMFUrQrwTqQ55oxEQGETFMNaOq3n2ZjYn8YybPa5
PRZYxsRpQZogcc6s3IXBlREC8VgxslAiS4yelZfOO2br7gO3O+u9CutkHm5OKEmlO6tcpaPjrAyx
1EkT2xpWiiWpP1Y5L6hsg4pdwKQG2rO7OF92LQTgc6WcfpjlVt6cZaODV6WtKx/3XXUOJaPs3NLE
vXPI0F3nIMFtH5nxlMA+g4/w1kn7ImxBKVMA40r1pl5GYx8vuwjbsVfyOLgOwLqYdJVNDkYndd6B
tw0Lf+hEBnE3IHgFPHV8XCS4Bn8yIPauy8bwAt7jFR9mQe0eU3Ctn7oSW6uwFnEj+6hFi6xp0vcV
z9pcBkkKthuFwSKz7HieZUUce7Ro0tJTQdYdaVI4J3kc9u9QXLjXI8yuIzW88uMQQxHG9uqkgQKw
bssIz7MA6qyoM93J0DN7lQVwa9Dg4n1rNxBNc9xbK7ePay8Owcv4uMkiT7s5u2wqo5lkdgcJDRvH
fT3ScT9qCVRHq4L6cQBJTNabYg6FpBpUqAlSKD8JlrVeXNl6P1TKft/oknUSROv2IdsYse/UpfLa
2ARntBmdVdi24SIGxx1CbCODrNMef6aDW95y2hdHTpuIudOQovL6XgUfam71HDLjLE/9xlIVqHbI
oMwH38MbV6TkA4d1WeVDpHVuBa9oJKsaB4ksElsfuUXMj3hWBCeplRankMU4Z1kSl/udjYaLRrgD
lo3dFivSRcUVjsfkkDlpB/VZYXMB6suFNU+0aD720ZDWMo8N19JCeUl9CvnCpdZcnEeJjcs5YaV1
1AiVcalQVV0HfZ4cDilyvLa09MxqKn3dRKP1Me0ZlAHLcCzJ9VAKs4+JAvALB3yAgAWAnepk1ZcW
OMXR7g9bkyTXFmwRAF+StNINuT4vIDm6JQlMfNkG+jRglC0h+3GPA2L1UGc2yaoswVPpQiNZC+0s
KmqyY1xkGaxVOsc+LXmYdbIsC7NoG8jjKPBjx05uScwzL+1H6itRxBdxnpuDYsCFj1XtLggJtS2L
bkiXJU5sSIyyzo+BIlyWSVV5sOtDHWirNx6878SCymoWzayIsX2apMQbi46cZCnEZXC9aj7YnVjh
sEphM4aTzSqhiR/0GToYs8L+CIaEF0Lb9X4XRtVS1TlaCp1eg7qHZ0Wta9mjNlt1GYS/rh/y8xby
KS1TUlWLiAb1eRy11lkXk/E9hI5yZg+QFmqniC4rRLHPTWhODYMSnK678TwIeOxh1WNP6FEvBlXa
voai+VlQi/YQ43TwctgAKx3YO3BMCo0XeKThZTRG9syBldkR6E9IZMWd7hZ1PB9lqki9CoI0PIld
bPks6axlOlr5rE2sepkGWX3MOpX5o5OPt6UxGKSzgIDvhivGKJ4Hpod1WNg6R6pC1WcohY93Vjwk
q8LKnauyG6EUyqsVBz8hS9rDbgvRVjcFGcK1oGEKdho757AbYlwyO88FOJjMrIbA6g8LKypXHCrt
qWzArs/a0VXFIsQk+ozAASRz7VL3U1o5aeY52FGniV2B8sWDC3xSXVnRdZwIBUlonDZ+HrUQkUnR
QXC3mKN8labt3ViP0UlCx/iiHjJ+ngRxkkEsp7TfH3KLLPu+p+cujvWnIGB9KanhxRKloXtptXl3
Y+m6hHVVrw9DO2y5F7SqPE0aUCJZ47KAvRmkhrIB1JxO8nSkZAb7GZqFGHuI+JYbLIHo1cRz45b2
cyMQHiRUrnkmM1rwQCZF1opZ6pbIlaZxk1OISXU1i7JNVQCpIYEMw5TFJYKdP0dtyfB+FeMSiiSQ
1F4j0uXGN7GGlcYAK9CTmBXBGSyAYeNM2Dj6vBx6K1xYYVgcDl3ae6Eesou6zqNSDpmtFhAGy3eN
yp1FPZr2g8DDGEg0KHKsgxF2A8DJGoykCho6a3hsHfVAnc6bVjSuVNSyYunUuphnsHFn1cGuoWUM
zoT5g0uqGDY/JdaqE3b0mfOBf8aJIIkHm1eDfSdw8SkkQ/Y+Y3m11GnJVhlkEZ8crMPjNi7Usm7y
ao7S9H7/gAubpUjd0E8N0Cv7pii7yHdH5R4GkBDkXlYh4ZvUBkIgMXlx0pOuP4PtUQJJYEqCNRbg
wYKhbm974rBMBkEfg9sYXFh6IW0R7cVW0NxAuueA/3VDEsiwCsZ4ZhWj+NilUGuQI0+iI9GNyPZg
DdgBY4vxvCIUQcBFyGm9pArryNdpW9/VvHEOYJLdZtEOsJCUQPTXZ1lXwNKYCgpB1jHRUR0Eyncc
hQ6QW9hLy83EKLPaZIchLvRH3NPwf8g7kyW5cWZLPxHaSJAAiS2HmDIiMnIeNjRJKYHgDJDg9PR9
Qn2vtZRVJtnfbb3qRS0kZSWCJOhw9/Mdjx9ONYTnJrR035lBXvSAiDs2bmtj2jdDmDBX0oPunGZE
b3eEoO5rGtz7QTtvFte0bw1Z+ydIeXUbzaqHftyglnwNHMhC0WiUe1aF7XGSjb6bwXqfo85rhprv
XdKTPXrYcqutj4tXonuUOHAp9obXnkd/aO6lcfSwQS0E8mm2i9r6tmlfMLxabhebqx26NsMVlqpj
3zhljJ2pdgUtnFNJx6KPVEHy41KsIhG2E+/OzPPbye2nXY06/XGiLXsUOB0Ize9WZ9kIMton4nGO
arl1qm+yZ3TvIdf7UFMzTLEwxN6CfzLH0GXqdpiot+WeKrfMdOrBLRR/ylzHnI1u7A5MyJrYupJh
FNLC3y4UdcoVJRl7nOSiOhaOP6TAM7Jnm/vL3Yj89TSEbBTAkhTp8OrWwRE1HfAUs/RHlbty51S0
ODNVV4muuN2WkN9kFOhpTAtNvMRFb+nkD0rtJyBuyVJU86awV75rMuNhmJhIvakvnkXo6MNMrGZp
WFL+oAun+YIkb73xy7q8ce0kt61Pw025ACu0dejd1EzrW0aKaRMG7jxHJFf1k5eN1dGfG5MWkrpp
6/brKc+mYS9Jq1OdsxoHXav2I1p3J5vz/qUuKr7rWj+7cwYbJCUHGoe85AMZU77XbV/cNytdN15e
9KeJ2mrnuip8JR3gLcip3YmN2XLRbtXtDc2d/bLw4Qnn5pTmttPPphvKbVFVE1I+I9cyQkNu+RHC
sSSjmQ/qWONN2dhhqY5gyMLTNLX9B4jJdZdhsuyDccN8l82I/GAjWz/Oi3ZOPafvNwvKxwvvXbbt
eiue66D1dwiRZLsurhNEfTs0D23We2k7UXG3rKG8oEUxbELVkF3gOnZTqHBiUdu4xbYhlqX1POXf
PTabhM9Ds1GgG+8XHw0LVzu+Rv+wRQ/GLuzd6FXgjBfNoVpGusvQXLqgcmkTc21IjX0fpMwiyjqu
sTd8WTJ0L/ryGzJwEft1aG5bR5jbipKuxqGFSeCJzZ08cbK23VTVkhUoHP38uctLde8xI56Umnky
jcJ/rjFOFOfDQvlX1eDxh10WnN0yI1u/XcpN44oxRXpVpJQ3SAq4nW6WVU572zV4xx3wac7sDzfB
ujh3qB0agFL9Mn/z2tLsB6+vnhmpyY6Jbkg5mqivpO+8D7CBqKpV5t7XjTTXd7K40z0NT4U/OVEm
mN3I0fNe6CCGj1bW7iZzZX7ycShnMYBqck+aXqOhpEuBHNctn8LSybe8tUpHha7zU7YAhrQZVf9L
KPr/R/n49uv3Dfy3Z+OqYHj0T6LHfwP//5uIv/78f4kdFAbZq1EEvLULmZsH+Kf/EjsC739chzqh
isRYOg5VA4LGf4kdDI4FD99DEIQuFA3046GP/7fW4cESBMAdv0lARfGuBPx/oHX8rmFCZYHSAaHF
YfiaCAjxV6/KrxyKGcJBBZD+Iwsq9SWcXZOsekZHU2g/Dde++IvIB7kIr+qVvf8J1XtXgAEpJIWo
AtSS/iTGf+FeLKVtg15ojgy+QCouaI/qagkYqqGxLJNfnsO/CDmfVBwg+2jrgPEDZeCDg77O+Pv1
4pB3Nu5Uo0peu0adbCaDZzEP+YmXw3IxPim2Vdn7l9A34i+C7afL/Lky7FwYxw07wtWn8PvK/1cM
ivtJeL8uFlyn6Fx3ynW1T8JpZxYTGgkWatGiwdXaSbke0nIkK6eunXN15uP6JEWVRz7vn0U5FEDd
snHyk7IiTbj/813/JLL63KWYRwITH8fGcl3vk1bdGV4GwpIRPR/u7guQsUeh2uDxP17FwyynEAWm
E+DCr0/gl43ESktK2eZT5JMuS5Yh6E8jrBv3f17FvT6oX/YrLgYjIvCWwQQPqwS6K78v0y9e7yKL
Qd28TPYYchkMUYijLtErZ/c0a5tIV+GYer2jN+HcumkQ2uasmi6M11C1f7m3n4EuhhuLr3OhASYi
B2hI0E9b2q2msGwXp44EsrEucjPHpEveiRwPnzgnydYgLXrBLvns4MDlWg1FWoqMpjlZig9gih45
BMHgP/eq0jdo1Hq3iADqbzTRP14AFy84w2sOfB538Krx/vp45JRNcJhkSKVlraPKom8xjj5PdThP
6Z+f0e8hjOMRBS6GFDGEUMQz3Jnflyp5HTLNoaGogGQJ6lkRea7udkhAhm1ji+7mz+v9y6VdR1jC
zvJzBq+4vo6/7DzJeoYsUU6gtpf1XWRZgFY06ZFSjH993NfP/tv2Y/Q6ZA7dSdgNr1Mvfl8rJHYw
DWCpaFpZv6HCLOm05hz9DkduakAuKR9ldtHt3EdFaHlCrBogn6BRt7OtaWLB+2bz5+t3r+L3rx8K
9zrkAKbR0QE7jejz+4dSIZRQoXHDiUfvYMd4M+3gJl2QH1uyYvcNAbCuLB1dlJg5/QsY+jmmY3FA
CBAxReBw5gefn7amQ14jqKFa9JD7ZOXjnNffSJ3v+wx1+lAilq9V+Bem8B8x9uey4dUS5mNjo8P5
+zX/P4SbPoVX7DlU6fCjMd/zQnwTwae7r1cylTNF6xq9/+5WO950Z0t0A6L/7Cn/XAdQo4v/MKPN
/fyUV1kW1bKEfewsY5cMfghnEnOqbdj5dmPbKf+yjD2klhW2Ip+D8ppX5+7Pn+EaXH/ZaPgIAgHv
Gn1xtmF6/6ebXkKzXToNm0GjCwLzUuGFQTTy1rzBPdN8MD40HD0RUS9/ufjrPfzHwhgSAEu2z3HA
fHrFO+G0Fr0uLMxZiGbERJK6JHm6DLS6QQFskhzGijsiPWAZqFb/ct2f9jiumV6PTwSYAOENEfT3
zSZXbxhZABEbharwkqWr5noroSr4t3pAkzalIV3bCws0+iuRl0nG/nIDPsW4653n/AqD4u67SEU/
oW1dYdAorzLohqim48KjZldDfzhz7pv/fKnAxcgSn8Ex7QHY+/1i9ez0MO5CORogJB+c7mqNYY2B
I2PyIQD+eUd9Oiuu14XFkJkFODqR9H46zoOubdDz7eFRC3v3TRaVuwM/GD7Qdsy/Zs5Y/eXi/m09
RG4k2dd0HVDj7xdXSHctcWJNMYNb71YBjUhrK6HweEEeO7B57f98ff/yxgQoJhCXr1OtwVf9vp5T
+S1rM7eOwrIXJ2PUoSim5psag/Kk68V/LwUz8i8X+Tk4/ryrOAh8zhhFaPq8qlY+IlWIAnsykEKM
1VWEPFUeBk8mfQNti8B+1QZx1jXzJvTnZec6ku/+fOn/smX/F1YGagzzbz5j37Kc67VqB1gEO/2T
FUD7ia8mKkOu/nIG/SME44WA8wzpF0Pi8Y8zyLblMOKZY8tOC9s0Jsv2oJTG1//wgn6mehhFAhCN
gZL7vFfVqEfJ0UtdW+vGcPmUG6vnMs5m9IX+vNQ/tg2WAj8HWs3zAdddK9FfU5phcgvYRRsYclfz
MMwEIFrp1LE2TZbqyXxj2mYPf17ycxZxzWQDIN1IqcHoBvRz2ubmbd0tFiYlaHLmbXRGP6GgwuF5
nU2amcaN5sbt9znBxhHL/FSUavoLhX69rN/CPD4CxXbFSFiMHg85/f2y84yF1UyCGUZiFhKVutBJ
MyAkjWg/Kt55yKc7kjXJwtD83y3o8+dJnXet/ssL9C/7Ca8PGtn0WoUjFv7+OcoG3Tep5jnWgyRl
pNREH1yfmO2fb/m/XG7owxmPyHcdIPWTXP8lcS1KVoqy1A0cyGJImar8uOeZ2Xq2nuKmt07az3Wx
cwwP44qR6v7Py//zVHN/W/5ToK/EwHWGnjr0RsdG+TRCYCnGgxdkaPM6NIFA/DKUiF3/J8v6GGSK
bwfCROZPlYgGhEmqqcM+A7FkIwFTq0q0P4A9q3Q/v0NuYRznQda9TIHnNn9Z/lNYQgcHScz1+9IY
jPBoQXzKYYKcodXoeTNU87BQX93Ft933agLb/EDBqPPvf75alL8/M8BftvU/lvx0eAsDhCifSp12
Q3Cr+oBqGwdF4UMTbGeLkLbBGTH24NlmGThTTPp2FPCjWrKMcL0aieI6hom7DbeBLTwYQE0WAFho
At1CjS6BQLwuVvYlYhF30MJPfVTiUDbHtVzKIQElR8wQT61x5gvFIcCenAqgbAmIcR4hsouhQ6Ea
h5nsW5F4IdjQPLar13Z5zHoLW20cCrftvBgYbqPdZCF+4+VbO5mMXhruw5SKHG1qNx0HSAOdbQ2h
2vhycuZN7ss5Jaor9gU3wc3SUeBnhpPi0OjVO2g28GPjSHSHacUiC2fv/dKMo0UQ8AFqlnZ10rkW
6z1csgrkoVZHJFhNUk2TOBsj9GZtqAMCdwnjUDd5vLqsPZhKe/fh5PTHSlmbUo83W3zJRREXXZvt
9ejUm5zPY5ytsCPAl2IOfkeX3VwHZN8jfUgVQt6RDHLeDK5nIloIdsMgHKA7Rib+nVAGmTYr11tG
3fogrcdxx/o2defcfes9pzgJjBd6m+epPK3BPG9QLpMnyOzuFLeogqcEeVZ3T0aiHmcduO9FM1SJ
Y68SHFpEkd/2VkJqsU6yhs50qtHpSEPo+Q/TyNVXUrXdjs+AyHKgTzDECxJPwVRBc6oKUEOD86Sy
Fd18l1RrDM94UwOqatsvgQdT/SKnWPU314oC7vZpHIZoATr6BQb8Aa1qN1u3ohk8OKiwA0Z9MIuN
ytaG795iUc4HjobJD+2GxBjSblcvNCfZC2c/un55C3JGw6oezlHWGXXUUKiiTg3D2SLdMlE+uPUP
0jnFM8+lLLFGP9wUFemWhBOkYpyEc+IQPkSV6CBsl1V9rAC6xsC2WMrcmb6judOdeGbRji+z4GGp
QFF3ECG2MBe91HMGidNh+QFqeTOmQZ1XMWsJA1G0+m+rK0EnB5D1wkyYhOogT+w81ycgWm6M5BCb
zDNjviFMhimdwmGJC/het+3A7q4CZ+oUA0/aJh92E9KNgxAwEuUsXbte9mAA1kmmc9DMmGMBd/lL
01zx6bmo4ml1slQ1YQCG1p3QEAIfHjmB1pt6Bk4aDW4+dlvEQPc+WyCbLnN5cf3itcntjxq6Acsr
mP/Vt7USO0hTu8JWN03RQevU+Hpk8gECBYZyg9IAnGC/m0FWxv4yQ6mk0B+Ipx8JG57aAFWEmiFR
9XwxBw6WGhJdF5GrVAoaWeKNF88kb/AQwnLf+tOpIIAz825KQUDpdBYuhHeoQpciq2/BH85x19cp
YjU2mNsjS8BqzsoS4ptXqBxPXNHXUYRwHKKGjclAZEKzfl9W4xFZkIlA8L0j1j35oKCABcsF/We+
Riwvvb12i7vBQWuD0uZO8OL7Wje3KlRyo1qgZx5QlKiAGybyAc7tWrHKeAJ0tsWtvm9Ys6WEextk
Kn28NOorUt0uzjv0XSX8v0lTWzRnNeZ1LDVJ24z4L5nrJ/M8lod1LYYrrDsdu3G8YEefeo9iQUNl
nKEaTIDFr3hd3QMoGaSEtoZaVd8PubsNcb8BUAceggYqdcJqf5NNXKYjX2mkpsIBO3UFpoTlAMK9
CnTEInKC0RcwLZZhAwrOIc51YsJHmcPt2uuwiRa32VhZ5hvZ+eoCKipPirAnkWoypqKuKrotvgUx
gE7rZSZxYWk4Q7eeL3WhA4AL3K6XeZTiVpNyBC0clkUShN8Xkt+IWtzObnaL0vMVYQR7WzDYJkLn
fpLhLgyQs1d6Ok25ufRIHWONlt52mDsOCoBt0Y2IbOHvlsxPqVPeSuEdOpYlWdanwvaRzWs/kgBy
8E6CG+SqRXoHwiTXq43XvtyiDfoIDO7N8vmw+jl6pKw8BksI4RRZkbTr0azzk2f6U0e7O7RA2kQ5
+HUVMbGeCQwQdYWhGd6Nhqo/InUA2pSnQEBuxwKMu8y+zzrLI4j0RdLXoO9Q96ZiXC7AO4MEg8NU
3JJyM9Uqj0Zam3gEPhnlI02blpyg6L/WU/1erXiZ+ioyrb4D0gX3SWNjUnrYSjUi1QDPl2l3TeFH
VeUkbgDnWZfPT2iM4WlKXUQ1X7/LjreJX4h07Jzvo5PFYzi0MXDKOEMjRdrlCNiUnnTOH1xVvbZ8
nRLYN8ZoFuq+rwH/TFpthKd2lSl3iPZR5uY71vUHsnjw0wrs5dDBdoQp50vQqONCPICJSAyi1cm/
OfmaUmAbwMO+rqvjbVto7mlpy7Po/JO1PahItvTusnWYKkTCLYEcywevu3V60X6rrJIfkov6ho6G
JiSnLwaoa4wdYqIGPxFj7x2HPkwx1uawduUa92oe3yt/MWk55X0UqmWjGN4uU24NNkghw/sB6efO
wmaRSDL1GwPmJhHEWNjOerjpXHnzk3tuQ3l28UOl2269IbutS68+IH+JeZtvC1GmXUGxjVtsMYoU
2l92bVkXmIPDr6dPdZ4GuhHdeDITrACNgbgNsTh3z5VTX4KGa6RiskoY5gvFYshkbHuvxw94Y2Ld
USdOkW8JqvZI9KA3enrBAJIUXT51zqUo8NPqAG8PCkKQLXrXt+qQNW1aKomXp2hj9DP6GJTeGC2q
OqxCHv0yhCEHLExEK/Xi1H1M9NhFivibHKTAWF0tAXwzBWIjeIX8pmLfZNPHCudksHovjeoR51fs
HOfNBSxSTfmTR/o+EkWRFsykwbhubNbEmA7wDieNBu9N7hbON3XPH0VLcRJcB0EpupNUbvs2Sxe/
THw7bXzin5syw1bO9AcYjq+S0WfmzAHOBwODbOdGsPfkUTCHl8wGL663nocCQ06Y8jfe0GPuDdTy
HjeMYKd68ilol7eaQvXy44D0l7ASxzX0aczcbl+E3RF8bxktTLxjLM7d5OepHfxEYoJLuXrRXADM
o0NadcUNUq8lMgv6i8qRD7ODATVKMXBA9GVcULC2VfYml+ayuuueSBZndLrDgKFLLmf4fqY5zif6
XhThmVXtu+hDTEzwwBHJRl2Yyb5DPULitdD30C1Q/OUiUYZcGvhhPMdcnbHQ0LT7Bf+4bRYdNfMb
k1OiM99PgOAembc+rTlGzlzln6Gdz62c9woZEbEfchqxfd1ThylSDsrWguI+L4gSNiNpWWAJ9Pc6
ZLvuYcxNKmmDDNC/NLrdiJrtMJrlB1og23w1UwJiDUQGKb+DZvuqBd5q6HtPldO8yGxZIl7T27Wt
vjPar3FRY9JWC3S9tUlocDvhFCBR2Rd46i6PzQouvCEuiSpXbefJghIHaNYT5Fe+X0Qz8w8UBNOm
9J2TKZYboEPhzhBxXsp6m5Pmpqjt9TY/kHXceiM7zLQHOk9TxuHO0qFALTDeAHX87vQsQ1jNN75q
H1jrXCpp6p2o1Ad4yhygpQ9CtxYPU6APrYfRYF7xw1unu3L146rLN5p0NxkyBIycg/j3FU5mpFn8
Ab3gd+l2hxkJftZ0O7w4e5OrZOnVzkqSFKVNyqJJwQMXgBCD+9qRCcCTuFrm7YjZSJFf8w0hbD9M
PPW0Tf1Av9cZL6OAl/cL89K5cm/y0U9ZJs5TZXYUbbSONhv0CE4z9eHgWBHCm2IwwCKnzWhV0pLl
JVyuK6FpFTkNNkvG47o1qV6nPbOgXGb+MegsdUeoMp2FSPwkcG4NlXPnrN79PAua0KYMtkvbvQgo
8jgszMvA8TL066Eu6goPp43LZX3wPFbGkxnu0E09Wah8EdSAGXMDOCp6b0og1yFs4BagdVy1j5jk
c6+9IHKyBpQezBseBmpMsM0sAhiVRKZktgwsegNgxsPP4LDubJhYmNIk5n61ytv7jUpl2J+9OUiW
RSVzZmGb+I4XIAULAyloxmgsfSxgmvSVFzmYKBCqbjPm9g7T1S6kxb/np5mBba/LB1ZXaQtglxAn
ykUHRthEnXnkEsestz7O/iuZvrTuQ1dN25Z0z8MQblpkX5hhFrXimXXvTv+1L0rcPBarqcN+9J+U
3de4SGBpkZrfsvKo5urZW8MD/BNJoEO4AjVIyHM7nUn7KPIQO2aB8WmK5AhTWPcNsW7reeveAeYD
nyMZ5S4j5S3G5WJKAnGPSHSidcqS0TjJ2H/3CycOStCGGPPkeRfSIFdwqrPf8rjgx9z5YjVNkS/G
NJQPdprPvZulpbaJgTPGwUCpHNBkqF+Bf6belXC8zncT3yUa8RPvU9ndKxMcJ9rdkuE5yy7VerVJ
ZWdVwQLXPGPKTDTXAPgkj1ZfbWaGMXu+SSpCURPAR4Yxc1X75vXlaVhgIYQFs3HvfJzJpYMksq73
vdwvg0VyQG6AaGyk/bbi/CxXFCbVijduvHFgxbAi28xZuV3wdyEsnbOQm7zicYjKDeazFD2GQ+Hd
+cOGeAC85Jh47n1L9m4B5PatggofihZ0YL5ZUN1ohH2+cZFOE/lRL13C1nFD/H3bnd3q5JcHoDxx
aPyk8kBcCt0mwiPxHL6PV5OBk0VL2WPymLvp5JP0bwkN75vhZai3GQDz0myW7s2ghuzzEC0HP9wv
Ds4Bi1loUd5/4/yuRl3bM7K1M8hx3Z4B1G6YzFOu9KEYzw46nNpD3VMHN8YPjgT2jwjkdGLb4TFY
RLzwl0wWEabDYY+NdjhnVf/ch1+hMKDFoVJVZF605PbQIOzDo5iW9ZPQyz7j6o41/sMinU1WNC8u
RbojdJqrNZ2QMhC4J3hoYzuQg38FcpY2apiNc3jP/KrcXeXGEryg3q9kSIHJb9Zp2bOGAjugYzrT
x7EH+SAfw+n74jVp7T907HUFbOeVl5Zf4BFawxWj6EjaZ/xE1JbDVdajxWw6hNAWU8Fkc+UqgKWg
9cTyjRd2h1ZPWw/TKionPAC5v6F4CFley0T5DywcnywGJ/IaJn4rU1l9bepbmMXQVVJHD5u51N4d
mXZ5JgBvdN85RS8Go5dg/kWnxyTCrMBcpxvYoB77zh7gqtrosT+2VRDXk4rAijI//EDG70bcny+6
E19GzooYDY2LcrsvldPeGz2jwM+vV9FFlJAKneriXoXsC2LBbqpIHbvZcOebITGLh1RfAYfFJMvD
Wqof+dIigFN0PIDqPLYuftjJ9JgsHj/RjO/CECZxD08jqMgpb0hcOic0nHb9hHcJpYGu24txSOKj
yrM8gFXprOd0coO0nHsvwlkWG8Z2rp3P2SI3LXOfCqNwwgRbXzk4bcZ0aAp883VxUKo7ArSU6KCM
SYOhgax7K5tLJtWjbcavczbFPdhQ4cwR7/oUxyvK5R+YIYqY8wokFZlbkXawTiacdjc2Q4aLDTn5
SJjN3u/qUyXocVjYfRlOG9h4UKxwAXPLbGMw+NHA33qX3+SrQlYNG2zFcRDYHxQOjZx8J3y9J6JK
K5zwmOmXZhPKislLgUFuUZ5FlV8cO7jFPIKqSz+65UeBYGEGsXHxfyzQEBvL7gczHwihUR5+08Dt
vVWdxHThMEqhjOvqGW0pF8TSXVAj6fUtnjrFmMus6FIw2xsLp06BOZgR8/ztPMzwlweHhoaPc2AO
yL4fmPdcglvXpTwEo0gw+i71xcOKqpk2bsqbnYcnunZoDyGokRbGlFE/o8u0qRpvT92ngHt54g76
4nv2xtYUrVKR1Jn/RXL6yDW6Ry6S0NLsSAHdyZPlTaDECbnFzqPdKyZbRjN+AXS4WyofDXw6QuT7
evQiYQSGQ6boEmLoxRR3QYYYatMM4DTo3JSXepNbvO3NN9qxLQlxy+FhRDCJh+DBOG3au0c60H3T
th9uk3rZDi6rxGZfC1UFuI3DTkzuHt+kk1ZwfqGOi9D83YH+iRqAPwPPkoDYpGbHHv6teBQTcsVm
12Lr8+LFtxZbZ4gs4o2/vpMMfqCpPjbdcCx5jtkXaFJwdA8YcGcMrlIwHzgA3r1nobaqkLBl7nL8
ZdWpaMVkuBXAS08/JBILB7HKQ8WPmvuQ0eYVM2nQIlheodJuZfhUzwEGmjjf4Oo9aJpf7WfQ0Z8d
jRi6rjeagKGZ571tytcW7ze6aBGMRXbnziECOkXJqxr+OsjmDPD8WGq0z2bwuFmf7+esN6kRi5v0
lt7rpf+R6wKEmlOeof5gJg0qY5/7H+Dfnz2/uw/49CAzXOkSTLfdVDyCC7j3vPocwvVHOve+7Eec
Ghhtm2/qcdiI4Cwd+2D5vc+HRDa3NHitcIaY/o3B9A/xNwEkvZcSx5onUIiXGLR4I9ZzL0LYN8nJ
mZeE9f52zGG5rqvdYn7YTCQYywiNVsUM5A56kqCZEXi+teOa1lObBvijD5ffhMMgJFHuf80zCmvr
mx2nHQ8BBhTJitNMIXSS4MeAe1micoBUxnHo8lwnIcZ+Og3cjtI7lAYhS+8gBmy5aw+CY9SANvey
uGVj/iWDHaK8+l4Idk1X7OAXjKix9Q4el+UM/xhaRuhEIUaJ+YJNvMdY04QJ2PamHZzkyby+KRiH
CmDn4/oi4CwBib9Fdb/nWuy4fA3gj1kqiyGmcF1bHTltEy9hsC3Kr6CpoJXQuMiDXY2ym8zdEK1s
fqjz9XF1y8PI8foVh5w2F8yuRBh8JJl7w/lFAXsyMEJlt2LGOYZ0qUXvTi4bqYddUSCoOBVMaFWy
TnYXFmjFencUuXNJaeQ3p35+CCRBov0lMzwKgHHW43OuZWzGB4VCvcWNVergFehRlHfYzpFaw6ha
HLBWiFX6paYDJs0e2eAl1qJcCRI/31VkZyHtNC3K/uV75T36aPFkar5B0yIaKH6B+d5gcgRffzTt
vEU399is9ZeBgViog6Tw4d8fZFrVXtyV3oCkwexnh+1G79JUlzp4nKp224zoY8LJD/2gF+eGPbEW
/YwWnfxsGxDxPgUdpgC46YpOeGfgK9MoYtFcqtlNOD7TWp+XEX2tsErqOkO/F1Bn0O4cOm1Jv8Dw
PZ2VP22VGg5khIJSFBbt2Wkz6PA6sBlcA44RGOS3GIS7aXi5Z6HzUA1sR+ETLjm5z3i7rSkcpHk/
nUzd3E81GJNiyp2IomtgnB6xzoXfgaFVuLopcSBAYQLBDfigXdE1JQ5vy+Pcq9UJQ2TLZGzkt1Jr
4EDypRj0PXAAWA94SolIOyp3yywPs+N+GbvgsqIVs6vz8JFVKCaFU8GXrnKc4OWi4D5mP6rRoF3X
hsO30ZnGfRciRy7GfIjLAtOIXbGdMXAiEsR2EZwMZhuS/tb1kFNTdKUn1UnY1tGQNkbfg84ZokGo
FRpujvIPU8iQlLGdP+e7FcDI/yTpvLpbRbY1+osYg1SEV4Gy5JxfGNtumwwFFEX49Xfq3NfTp3d7
y6io9YW5qASSHLXpyzll/6KVtDd6Cl+lOyGuNCtgwK7azXW3H/r+o7a8ezpIh2Hw7ltQEtEKn3lP
K7k4GF753QQ5bgEQqFsdZtdWOSmwdDDRsD1rhx3Hey/n9J0uAcgIe7VFhFjAJJ8ck9sTWeKLcb1s
7uxlnqK6wPLqp+VfVdqfMvRR7sIhv7dgdsfasi+dv+y60Tmubap2tzRBrIvaoMlly6MVZvludPQX
TT9oGq1QZ5AC/zG0BdEg+d222E1RmAzvQ9HdJf78ZPa+eMzM5pSTdghFwb1XTMSNhMF8WFCIdQg+
xAhnRexVwbRZKZOgjDkCt8SpPWA2TZK1w4YeqfXsm0vz2oeyDDdNOI1vboKW+FrySfOQ2zYNzDkt
t3UhVXizKoozV4kpfOnF7CvSmgpKnALrAxTAPE60RL5DkVQQroNMHoysEJRtate4rOMo6wd03jX/
zmenD35ao+0hiSqvRFLgO3GZxeBcu4DHCmZ1COl4Mq+ziTmRKWV+wCFOYlsFDKaMFVv8lQwezq0E
N7rJIde9Bi0ikidvzJMWkHc1XzL4Gdcyd7qYGYF+az0Nj0ZmedSbVnF2IJAfnLoYdqgbkIHXdo3s
ogapQeUKzdPpil21yjoOpvFpZKo95inDYthUzgO9ORgVJnLb1rDsLlo96UdLpQ2GgHL6ncKuiOhs
cVX2w6gghXL20Hgua885UCWYEmO15Nuqr8S0q+1AHZGVIH+rWp8xmgms1UH1AviHSdlEwdO6Rium
MfdYgDv2t4YImEYCf84uU+aEHPhB33C1409b2sK7wWOa8gjjGaNEp+ajK/WwdUu7ezaSqbnn+bVj
UzsAfRKB10czDV3ExdxprXraT1StkHwbKvKePxzKxOu37RomlzABrOR6GXMcULoiWkAMvC+3R3Sq
GKXd0ksiClLFQ1jdzrnZKOPSFnnUOIY+yc7vcsybgkE/tZblLK0hu6vLdTQ3fQYZhOscx43bWRB4
EAS3tcyyfWKbkAw8B5fV7MXwmoIROoV06eJULhxgpMG4Us0IEItJA3kyg8OaqfrSj421dzWct4AS
MJ5SqPCwvPDUGCi6ROF5oQSDn2wMDAr6365zTW0SyksaWniSzbwFL+Nvl3Ssz1N5G0kQm3dybcqt
o7kBw4fw34Sov2hJ04DF1NkPYjRu0qH1IoTuI5s69DEvdflmK0LQcdaQycTNwsEB6V5vjUZXT65o
s7/cB11uVUMKIUi2O1NOdWR3SJaqUPqytCMvepVaz1Xd6EPp6Fr2e5obE6/Z0e4q631pMAHXDZ5I
Nr2ug3Wvykac+Lipo4ZGWnoyqoD5lJhlmXTg3NjZDEZHUrkk1+ZYrS1TJMMqq85OBTn+X2gaBFpf
M0IHKRZH1VQ9lwyj1tV719Q3pHnmrPOwc91Vqe6YCoi9uEZ+070DOqHdLwuj91/WsPf4F3MOvYrr
Dr8I/e77tSP+XFsJIIOqNCwsvGBVwXIiGhaUj6Uy7PBUhBOtx16D6totPu/Hy9gb1c0aysn/wAeg
AG4EsSxJLWCnCQgIn5YE8PGbutrxvlsj9ef/VqOwGROcNlzwnLxpNm+tckfDGdpK0LJsiJLr2F/1
sPZJF1ti5ra2WQJlrA9569bhyfK6CQaPCNtZvpul9NIElghxN0QeF3wLD1E/Fa0EL+9CVAf63ib1
Z+kOE8IHB082/ho+vhmTemYO5n88bD4qMbkSfqSN9HPVfQLMAP/huXoOj4ZbuP17Ag0jPFZ+aid/
Po/+cr+0ybx8OMIdnFPhtYmKCKmnVJ3o04pD2ugeXn8i85zIYNmYb22IYXf2XIaLLdWiQG2GBZzC
Dp+Dbw3LC/z2UwydPTxVvp4lFwGaxCQ7TSj5NC1Z2tAo23Lvhq7rnXjqXL/a0g1OHDIoQerv7XQx
PhcCNp+DG/hMLwJWfL4t7HXI8MEz13VQIYg/1+YxoOCCfKhc1ptM+0QaAVcI4ETl+MdfufO2TVf7
uHJlZv6N5jjq334OjSKPVp3q/rMmZsBl0p19s0Z7SFaVv/7/Ho4J1YJfhyml9xGEHPjIdP9btqHU
bHIFL/63RaN1WCsxBPbcnf+3IsN3w9EBqAMt7T70erve1i06OKqf4xj9EsmAfIq/afLl1sK3h1Tj
5xr0Ioc49UxbfkIE4ljtkKB5VJFmGIY3rZRmtaEs1wIio41iMYGn/nJO2tT2n0H0iJpihzZ/yQgv
6onWCjgx1YUOWI8SY+5voRRD7r+ouhZ6C73KZDPAzCN1VSRVzpBmayOS6Qi90vUHLt+9tpfiHCzS
6vhwxtbovmUdNPmuNelSnY1OAHrq57W3/zrd+nPs9Ikp3sLUXJMfpy/11e/xRvQtrOf4uDhpmkCR
WPMczcttWUVg9m7ZZnGXV9L4DUQWBG9g8eeUm66Bsv/dKrkCoZn0mtxlph6zS8WXKjtYacEiCPQJ
e4nHla77v5V/anz4TcHxualWnfSRMcL5A74RLt0fZJywfCbQteaHwBtTkBYLpY28J2xUyQa5bKrM
8X6oBJe/rPWL/H2UGMEf6ezPYp8kyvEvQeIH+kWw2kFuxZLTAt/0dWXKLyuf/GhqqJfB8FAdjBZ+
Jf9VVjake/5YIILLVBZF7CYoNmtizj9uGWY3Vpf10Qw9ezEGVhQc5iqbXPanBMF5LVLWFjhV0m/y
tCMOVQxQKx6qpJ1buAFNcJdhjd5xUIqnue3sjzDHnKYA0wNJLHX2pude7b2Uu2oVjKLdTsNSLhtr
6BCAqgxiQhSMrUtsjT0dd4TVuM6EiXkmFU6izV3KvL6HTiG/iyFwPsBf4EcYg+//SisYdw1fxUdR
uOUTNLj2Kysrya21R7AtA11yX2HDROxqXuxKmm5yZ816GY4tPAhm/DGYn6UZGi7zSJDA2YW6VUUj
4RYiQlD2wPjl6fBjq6mcSGG2M8CyOnF249zbUH+W4a7rxjzcG2UVPHpK6vVFVX37xKzS/E4L1KtY
abcQmxxoyRBPi+Wc6nnI7umcdfeZZfRbI0k+3HT85Pr1Jv2BVRsDSIimY9VF467txpqmS7oOe8sb
30S9kvcTI46SFw7bWjlBVAvj3Zwx2bzUe89Df7z0zcKWHZuAXav9h4rKF/Pk3JySkjSV2ZQmt5sx
fUuE6n/QnNOHxhiSbb+0bK6pvUjY+ljVgwHSgqu177fZuYRJsOdt2FxE4vRfDBcZF/7ulJDAi4ZC
Ak8pIEXOuls3K4sr9mliWW8dtMdDLyfjgTUyphmZrKgAYFMmFpVmzYdYuXgfS5ZznTdwyrQ++q5V
PQq0uu/FqKe3rlvq7skxS3c7iURbx0Dx3YpgvNVXogRke2qeSi8GUBI+QaB1TmAmnDGyvIJYExGX
IYb5MryTJ1EbQJ6/uWq9eB0kZo5exz0//p9upLErwnBFUG9RV73bfaEp2bMkGzsa+HiPsze4MRSg
S4aw5dU9VPuOIcmwkKaWsTy5dL74zw2ds7FEYoD0CepILTrcWon7Lvoesx2Q5ZXmGL1dXqZQjlAw
Jqd7szskTthz67m3k/RJdWt+uw2yKMh2rqqyz2ZYMahQJ41k7dTRnLHiRnbh42p1bOloiAgkPudY
OK9v4xgQBymWLsoSa9eOfRr7sz9FvLD5nroMcdbMJz7a2cO64oqXWrgRPIl7ty+p+nu3KsAtqTFX
JE5J1Xmk3fyOimIgYjn69lmP4oHryD+j4paU4jnycNZrRLSUdHIpuQP6XOg1QfKNECuDn2nxqRZc
35zJo4dUBLFqmvTUaec0pi0ZoqFsAKOF4GOqGpWaoAZf740VlD4sNdM8ze3q7YQEjgYtcubdg3JA
Z7ZhwC/baOLLekfV1sfULbOo5jVEsPJxDuG7y46vsFHezng8o6Op8nLnzSYsC9s5Y1Fmkb1aCS/B
et1K3wxj4K8foVKollxft0HQtFGVdT8TzgF4gPlilO6LO/gDZvHwNrJ/IhrMTESL7c7b0DLBQflF
F/O+UXGZSrXPgV6eCaMbe2IB06vvkmimFOVuyUmcpZ64dzTUeruSkzQbZNTzUo5kN4E7glVG+r/d
j704dBnWx9wSHyzq8iHNcvxJNcag2IgQ6ILfM4C47epZX/1AUYT6Od5VwwdMyXqNSreqjqjrFmEB
+D5WysWkLqs9SQ68g1xfYABif6Ff48f2FzcZ8BlL4Rx5qoyoqrkklVnxbpP2J/fACztdX7K5lLFb
qXNbG8++jZMuIbk6SOAY5Afy6UDY/OyBjNfr6KJRrJN8Slr3I+MGf8sq2HD6Ov2Yth3ZN6fWD0UI
paMabSc2e+vGl5qjKWzeOXLhU+Qc03kpmi3ISBktAlvFTFV6TBcbw5r/bYNXIqM8L130E6aj+uYO
V0v5O1osqCnZFxfRzXLiTPk/iT3egw/6JHn7IWX32Y/9vd0Hd3k23qNiQIgQ80ZRwvEa44a7YzeY
32AgBs1CYThAIxrfrD55ynrT2fmrdW/pBdUsH+a/dgIT6Ygc9XGuzYI/hrsKq47KymSCGoqj29vI
HrYHVc+oavY9odJuWlGkV9+F50sUmccioI85KkfsFlWYW2XUDWrDkD+hkg24C051LtJ0eUBw0E8m
QeW3JhzW19519VPhFs5Oh7q5yiBU+9abi8vM7hcf67wlBoW3JYJtMxXd8mjKgS+lN1lwdUMglETE
/FcQMahRwQLlkynRU20M7chCIALDmUedOVwH4exTxzQ3qy4JJliuuivnznhTpreADjGHmA/yJzUF
FqDfM01SfT1qRi9CftN6Uma3RGXOENoi8WyhG+axJ0aALYKH1lvyLKLWgmWo2E/G/G0fwjA9g1H/
oENdgkEmLVtDN97CsOyODMVyO5pef4bQiZlbZnFOqmWXs0HQdfq7UsxuLCA43byC5cGnn7llJdK0
Q9k5pKtE57XUMU9SUiDoBkXQED1motgvjW9uGqdmodhENkOE9T98qfVuHFPONaB3VbtqUFlBeFxQ
S08m3eLrUPKx8KlatFqzEjtpEK9pH9rg6DBNWZ51D9TzDo2SWLdR8L3TPbGHNHt017nZh6lbRQlo
GYKtF3J/zNsmatjcTSTqaQgTSp+duOHX9VuNA9L4Oj+voTOi7vk9CRa3P4IJJnSiwJrcpM8WxC5R
RFnwnivvuIijO00MYCJcNskkD2KmrZOoY2nqlYJA8DUo/SOHBX+Xa/OeXAZpoCz9VXl2zbviKG8A
m6rfOQbAPJdJYq3xY0RHI8XnqEeQJ8iDBs7YY87pVk2305NEk1inkmpZGPVO+QTV5sQZDc/F/ikG
+V5ppO1qWB9Gi/+HFCOjQNd++rV0AfqJX2vOy+3iuz8QzPBFxs6MspkDWowwg2/0T43VpG8xkmR6
SZMs3DL0uOVG9NZEfCR7F1AGo5QEJxn2pnqTwnq2gpoAWRkSWFyWi6/L93IaDoBjiFOP5s9kllsQ
dppIXZe+eQkHNFGOIhZpiDyhqoOaq7Nv1cbJ1BwMdJ3gj7oVgKUC92SW1SOv2LNKJ2B0pbpUgXFq
HO66zULZLuwx4OwhOVU5YlYQfPFER9qvrjaA7GUO7qHgvVnL9DBWrONzsbuXzPrnVAsy/lRiKVUI
p5SqstiX1HyLAvS+mxV0vyZAcXULD5yvUxHBkeDJb8g25RZoNuYdpDsvg/Vakd8QvvJfZz+1Okzo
xD1xu6YZHxIYGPvu2gHjYfVVm8dlQyo0s/1L7Vv7OTPyuJeOwSjPT1KW5Rv65G3X2oDbwsYa0imS
QGibF9HKe9sqaoan9YzEJEkmL/fANP9y+xZHbMlb0ivQkTcxQiVyAYWbepE9WY/UwJ2tqKy4u0Hg
enf+16cA7Ciou0SJx98khLAJS4FSUKL/LY36KmssG5vwfpQqBtK+sx8r7TymVb/PkqzBVQyfc7NA
0RDB76R98im+qqKcFEIE/rLgd6q4tuTDx8xAmQ8AFzLXiVPcomPXJzOvRrCRmNnGZhxs0pdVt9W+
FLsprGFnjuoUGESqncRatya1nbOSFmZs5f616LWAzexX4FHsVZzw0rLmr7HZhFmIq8RXp2CBqJmk
2WFcshPT6L2c0/sh5SI0oK4X/vQVZMkTkKdwu3b5fw13deTN5tiv+tNeq2SzdiyLEgq4t9Wnj0A4
/wuM5m7Q/sW1rb85XTxADsY/UnZHzkFCA8LdVcDGyByH21kkfjQufdRnoAW7/jsNiMRrNn+07NZ6
8lcQYEH442R5GOHFs9Cudd87UTw4VXmdQ52eh1x9Al9KQVtYHwVyGUYJ47zXrp+0KTSfSnBIiM4/
6mWadyMIYXhHrBeq88vELPFI3ce5BgzBaL6C1ZPzWbXNQnMCIz1FAwxTNnVY/m6d830/OlXM0cTn
0jj/mTbRWbMy9hkiJtvrvMU9s8Tjv8IfPtO1ITAp65c1zR5aZ/kwG5oWptljrxnq0bgt+zDHfF/Y
1dGfi7NamzP90CGiCmA+pHV4bAxl4/LlZLU0dw45hWjGGiauifa11R2RnVIWpwJumNtadlzVsoro
RD9lyY15aQe/STk9M7jvORrvE8uYqTrMf7Rsb8V72zkMAiWOv483EWPgXbV1Sv3La/iuwQvahhV3
wwnmvAPBr3KNJ6D17H5qm0dfNayJS0GDy1v2JfnyuSCgffMEFkbLCTodLU0O1OiKA5gdDweoPaxp
D4ZK1EHUGYkd16v6BVmVxtbcfSlj2nqd+0YXjPSYfQ/x7417ztXvvG84HEzFU9lue4OwClKZAYQs
qTdul+3ZW4b7KoN8j1tEXQXDWwdZs807BQeNfZBct4praTonkdrEiKYfa3Y+0obRORkS3AF+FvI3
RZQiud4irvCRmc05OJGxdKtiHzGI5DyBlXJBTZR2+VJk7qNOrEc7kcNGuuy4rCweX38RJD4KZ5Nx
MbsFoetG5MesCBQOMqePWzP2peotc/0DnhxJt7Q6WnXwGhrt2ejdg68IBPT2USRJXNYBV99M7HtZ
km2rA14NbWxDHDwEq/eJufARLgMUooKvZHZccmT2FlYKGYoVBDzDJTGW58ArMvbTJmncA2Jn6j3k
rY1FHQKU5ioQtQ5xhZFIhOrFZfbErVGyoCIWP21reRs4R8emh/PHoh32RchmX44T+8AKVr8GlfHr
eiN1nXF4QdjpNvNgbxLDOw8EUnXnUBIkTeeAdqumC1+BrXBMVr5+J5l8tJWMQzX/VKwrNgLFV86+
G+z6SSPvhkrvpb1+5GG6RSDbzs2KWT4sz81oxE7Fqcb61C9hJ1nkT/lpcsc4ZL3EnoH6EUIuzSp/
37UFQYokwlLdGqW9WYl7QmYnWxoQC/HjAPR46uSA4X5DQE6k2Cid8ep9aYP5gyWkKtKzeFZi3A/s
rahycHHr+zgsV2Cjd3A0wCmTBoGJRkth/qNcQrkRJzpKi/W1KZb3JbCfhSQ+IAZxdq3Q2E9t87Tw
FEVjbhxaiD8K3Y8Ch7hniwPeWH0dUrITQUY3SLlfQeN/CyU+IMihg7g8LLQPt3TXD7ZDlq1FHkY6
NuuDyutjXyOHq77f2dL7W6yar/RwqjHBCtc8NKu/6Xr9GlTNoZjcM7L6FeuXh7S+y0NA9Mrbw6Eo
Cdh6py7rAIxaBtm3NIiE0TxYo9tsk5QMR5hP9+GSnJXVHItEXJxbpZNgDOEir/8SBL0IY56aFKG/
mu8Q6QYyPsOu4Ik1FCGZJmufAASzAVU/JJZiD2t9Ky8lkp44Kz9Hp4BxPRP4a7m2BK+C8IC07/xV
H6qAFFILOL8ghZ5D+wYdeelNfUxyWppdgLXuPzqqiPPQ2I5z+sDFueajDB4zOe4NGwh7QPYRMg/Y
85n2rtGIN2O+FchyigXQmyJWA9zNIVzOOdkh40K7hSMarQ6vYA7++zKla2mGNdJH8eMPPFS3YAm5
wHAgYM9NLxkqVlRZYNr1f8Ckv7wlvThu/WaY+kmskMZ14BuxlbbH1Z+eHVB8g+aAcOsPo+xiNP0t
DSju6CrDGrSYqC3HOdTwS3p5a2Pp7eK5hHNoOphB8uB01CBXiJ1l7d3pZPq3htMLii4TcX2Wdn3C
4jn1ip7lEvyZTHEbG57uZoDSPi76Tt02RjS1f2f65tZzPI7N9Muw3b9Zq2ePztDG0d47mqWIHDP/
W3OOSNC4uN72UsUp6cJN0+ltOzjnfiDd3Qv/5CjRbWvHPXazvZN+uVtWgUNZRpTVDplJw8DVn6lI
jlDhwYSzobZDNhQ+AjaqRbCQkurnf6Z0TvbMphdL7XJj/bPqIWbSv1jcKPrSjtmfc5/azA+Tp9ml
rE+FufzhKwo60sU1D4DhOiQE0+/pliarW9Ku7D6Bif602M9eVb0DnOJaHcQenchb6Nwm3S+GVUTD
lHxJNrA47XQGTb6zYaNwjg4vgcV1kJgnSNTxxPpS2L/oOdNNn0xSQsJ4IX5EjIKAXEKWK5nGIdZJ
fUT++i6Sctv3XsYmmuLZtROqEAMr4JP1IdTW25QBB2tWeUhn4z+raGbGsOYpNJNLAK00ZqX0qyiZ
AFlHtlOZjL3V4yKnvWuwrP8WTzzA6CyJ5jWEu/j2SXJIm3laSblZFmJE4558Sx/JFjKnNHu7ua11
SRhTqhqdD2kCOj56ecOVvou5Gj6tSxFnBAh0DtN8Ftdstf/J1PpOW5KloWIRnbo9wfvcI1mrWHrK
Zcbdl1hTQ2BtgzncV/i4Rd3eVx7bj/lyXny/gp6MgaMK/ZPJ+olq6l1BO44SQXec7SQuWj8e5uGt
tesjawR7vqCZSYSsA5Gh5sM8dt+s0b5VgpwDhStWd5iUVu3hzhybS0DD2lFPegBcla72MfOWc1iI
R6OGn0+qpgtxSovgXqQfcw3hKZHnmjKGc/uLeu4uneR5qN0Dm2PpwRnPcA1OAFMPlk6vtKGzjUcJ
WGr3yfbNOHN7Lr2BceQ63EXTFCpaduRyrNosdwPxYLW+KSxRq07OQSqd7VRXf3kZvHgAbFjdUnux
r4tlZwe0QRkLmqgFy1wI+ZtnsKRJ1OD4NNzfPKwX1Ns+mgvUQ1Y0P9N3pvhNayBvSqpOLo5Cl5S/
gQzu1hDXZPVJsXPGVKX1OLHF2l/l7+gXn05Tnkyr4TuI++qwf1137+YIFajTD914JQizWYijT7n9
CWgYA0OzOanS9dYPKB3Tj8czhP7GrBgyDpAXK4z12bCGhwGIKolY4gRj8mdOhMXmDv4OeVAK0WEg
Xvnib+vsXabmvrKDQ+7yNAVMU/m0R5GM6HmS+aysTcJiASyas18X37ZD4kza8eCwD9vwJuyJRNBX
NNkOM7kqdpopuxtWX+y6GX2WmIGHdcnAZkEw3Wgrme91RqUn9BT3sMZvgWzn4LAprZ67RTn7wINH
2wGRfBwk5Uo6zD869SRhyyaNrA6BsDKh+frUK0EmwSWDIl3EJimfq2n3FeEu1CeIDB9sjCc2UKdb
063/KqM9cdEDL5ts/el7ltNXn3t73ay/fWFFPmpGWu/xjI897k9DcoDaBLkJ2oqc35YvuWqwAqGw
2XRexiyfOFkoeWjm10xVfDnTMRpm+0Ag7ChpWJQlF6CmIi6V9MNeVHIXWupuyWlekmnPqBwK3W6F
v/DAmg+NKbYJ3/ekltdbHZ5FpDFbb7ZOMD6Y/xs/9VVl6K5spMlYyFPSXGrKmQ1E0xAbRXUkGcR2
DtJLqfonzWQ/aRAUgpImbZva9jZGlb80E+OgyoqLKIaPsPGAA4f0+Rz2SHzYfktBhv6Hk55SlZ9T
MtUBA5fxoyeTQ9eNYFBf+bAueW0fpHtbEmbHpO0PASjRPHDe69T9Ca3u2hTdFu2Da77XFjEqTvnT
TO3I+gGyTP08bNkRtSvg/Lpzz+/Lij3f2zHYRlVfE9TNLzMeDBWoxyZ94KfaNTP+xTK5f0ZhHQlK
RUqNV5dAY5LygxnJW5dirCH3+ANbhqjzinl/27vRI/6EXvJWGB5Bxtd2YrnLT1gQh/fRCYfqoUQY
whZ6cfL5o/Q0GyR/h9x/STsPrp5/b83q1SvULlmn31TpnUOOXOh8q0c6xzjmX0ABsGQplyAz6Fsh
IX/y2mY/WvXBUezqRl0oGqvkUsdDLMfPPL02UIxH3izDPP54rbrSDY2rlLsCdjZJ/lZEa2PufVJd
N5LnGjBQhP4Jn+Q4llDQg1f+3nFbLk+abu4N6bCM/0Z/2Soe5G7Mz0Ev7/y2PrcpE1qdPzdreg3H
GS62cw7N4NKuy5WubOhkXBWRulExVbmcXd+81GnLr3NyTtz47s00385BEJssR6Zz/EzllXJbcZIh
70tD30PzhvQgrqR2LPKl/nV2kbqN9ZyswXeVepuUjT8hVU2DIuswmy9s4zkn1h/LsY/26p1H7tUS
EbBcwHx0oCzYk8MR6OsvvgS/oTC4hLJLzgYGsBxH7wFH8zmz62vSDddCNBGg5QfKFvjMpxDhJABu
u9wMxsTe53gES4gKN0kHz9bY9/7w4PTOq+0zJ92E0mDyvxuV/8gqoQEnvAY1oDnWwrqUY/1dBfKF
gymeq5GdCSkd0huU0YKWE2yH3Px3s0tZkXK2iux5ydkzSe+BI7j68Nrq3S4DKyIWda0ScqTKeA5z
4E45v5hl3Uk2t7XgZ3Y3X4XI0sACNjCKKj3DTqCm5N3lLAFZ6nZvYZWUZXtuoU4JWcYB67K4I8UY
K9FAB5tfzwOPz6Wal7/Kq1xcLnoJnfnWsK7Jt/q/lCzEBmg9eIXsy+aik1fj84Q+z67Gg0rJkk7+
+pII3luZzZY9L3nvbnKeGF4s8julpsPdsZ+DhBYxDXsvhUlekdpdjh5PWuZpHIxHp5sfsH+3hWs9
+uGXdlfq7ezuUeLNy4Nbw5xETMnU4AhOVwqB0ID4h3HI1K8mFQ8FlYBpyN4YZo41rZG6f0rG8p8s
yGfLx9uOsSqtThYKygDR1OyX2Ej6rSR2X9PYr3FdvWTaeTI7O8S1x+A0FhbjS5fczR05LT0cfKd5
LQvntFCJWHJeKuG4M0ilJiudN4AQDn5wL167ZLrvfUMSU1DBRifmDoO0s4z/6MlEyCL0xfLf2XUf
5mK6mN27BiKXliwrH/MHc6hOFCUPTJR3hrkeVl3faUpi4eJQRAYd63q3oYPQDAYPQ0PIzpQy5fIL
eX2jB2TnsvrRomWLoeiOIx7C6Aw/XPNOtcv9opO3Goj77lh639uKWL3xaNrrscuaN0/NsEwo0pHi
ZQfJTMLJ7vxHv58PtLoIgh2p6QhOypTzBPhAv/6trP/Q67rr1byVDZDRlctsdW7nN14UJ14Sfwms
EVsam8B8zYOQ1ChJwYUZgkJa2IWvAS8uBue4CBeQ5oX9Vs56n7HGpXDU0RvLnTGws3bmLYGfHXD7
sOg9LeE1y0Vc6uDRRf6YXVz4/l8h1zhPQp7o4Mr95SgGFkYkeuvW+T/uYht3MCKHzK1LrFYimnXc
BMvGiBsWCwpp7TKC0yYBXmthzJMz7DkzfFWG+Us+ZF/VXJDZVGRtADad7SrcZSnSeTc9kG27KIGo
I4jaDEAxGsdlZ4AT97lP/1xDD1mNS+uG74qI7Zi11EO8/+aWfv24xsjTx8JgJw3lUHTkztiu4lSW
+Iy9uc3CB2NyP5ycCHAwUvWkgOIbO59NaQsUiDYNd3gdMT0wVOJfpgLe383eGpw/PSbnHsnTMF4D
ICOxLacHt15OLvGIFqmNtXHES4ribvL1RXnysS/cbabKS9ESyW+d/25WCJtuHibXep+t5tBY2d5u
nf06jJj1RaRhRXnzcKymkMZg838cncdy48gWRL8IEXAFsyUAeooU5bVByDW8t4Wvn4PZvYnXMaMW
icKtvJkngxSD9SKio5YUxy78CmcacEabNR9MirpkaBSPrqZhxC4D/tpvhpncES0/lCltN5GNkEYG
BsHfDHKu/81cbO2IDsfpRRLLmwWIA7HgwJhSUgpmUMn6pDcJrAwde9pIKSlOAzx2AHgwmWYY6iKq
iWQ9eCWKCpvQgnVMkhqvM0BMSowQYtcMQvhRlwS3h+vqcmqJ9UidR9h6hv6E40rVPSzGgYtQoBe7
UrQ7l4l0QGvzQ+eisxXo+oshL0n21XScRE3pGc4/AwSSycFkhNUXxcQOTiPNX7T0SLbuM57cQ4GI
zvg7XYvOeKfMh5kOS0OO/pWo8lzR8m1bp0LRt6K7DeQzTPUXAtJDl5vBKO1/FdEHYNmwZdilQa8o
2/48md9mStw+mwO6qTYyDDfU9Ay1xCndswz9xyWO3G77k6RkWkP7bIEEVLreL7oGBSy+5EzjDvZv
7v1xaTD6QrkipnUmYbZH5AW/xpnXZ90x5H7l2O0uSw8hjQg4GjjBebKEfpLde98WvtISzsv14Zm9
HqzwZH4Yc+PbankvL0P1wBz8EeG7lpwFHAkEXx2TEdZqhq9ctDdTWYOXjSccii608NsqsayJuGEu
sipvgLjlCkx/Ob9qlQLRaEgJLw6Pc5+9FKnwh3aVqzPoEPhdtASIVBe/NfyngVBeZVFT4QJjTMeJ
TbodRwuaBqdZa1NT092j8LtOPngzeea6wRMOS39K5ASHy7Dwc1EtsRNFvP5S5ducaJ8x0vsGGO6f
aFScs/aKxiD7HkeMU339Vark63X91ojmI9GcTzG8olurgS7DXZiq24J6R1S3z9i50gH2r5fypaTM
ixc7QQuoHR9AybY6NyGKUuCDfahTeXa1zg8r7atP3N8urDnGTiUHQZuHf4pq7EuoW8Ju9Z3agyiy
QPF4Lgx3n0A7r7YCeER2jkLGsVKRDwTPkrszy/CzXb+SWdHTY2E4mAlZFGIcow/J1ZPAyZ3qsa+V
wmetIX0htRiPjq4Su+yck6gd86DTIQIzBqdGnxknbE2hzqOwdrDScLsvyRH6jdnD0bC53GMaBy9h
APvIbGrwlLyJTlIVDS5/+pxmzSBSopgS967zhS3+a5EZOxy3/rR1PrxCWyVtvboXDR1UoS2/JkG5
IB3hOEYpGCKCZ5ubREYvQ2PxT8oATlxvLstM90tjIoF2aQ9mzJhP8aAMB6Fg/0FiqLbKCnTqG4CW
yHa3SWPvbQ957kUlCwqLiXIUyRbnAP+agk0WNsjrSAGJMyY2MmphMIo1QaiTOYwHLdmksqSZLF7O
FsohJy0h3aEad2NnfeG/75g4+xt0k4JbPQ66zo7QBstvkI9ADKhBTsx8W5BzLlg4UZes3fTMfRwF
4rWw9lnNjiudSVL3Fmt1Z3hyaM+pVf4TiKp1om8tp/XpSDmAdPpyEEps9JC0C2+KwupUrrGfwTi7
7bAurpTnnIFyaWyf/XeHQtR/Y2VkiTR6ca4j6xCtMssH/tV42fmdRqGRbIZaEFPpl+9s5oFpl3gO
loK77aQBUImdgm3f2u8WqjdTdw58PL+gqSwCmMqhtPLHCRTUaMtHdLIyaG1AV4Yg/Y/LA3U1q7dC
z892hTDGWvN5wuMoMioXOwSHFAOiN5s5NjlnOBTJ4rKJpamYrozvdlysW1FU6F5hW23H0Y48sDL+
wnGUAAqjoebkqEyt9N7+hikHe8wd2lvM/Fnrs79kmS9p3pFQ7O+Drj6pTvVrLnJ9DaGLuZpJhmys
fyxDwT9fxgfSBX7dmp+hQwjDFMTg3ZQtVdKYWIWLPy2xNHyCZBW6ismgKpGUTbyEZWsRVyTLYbnL
QafpFZBOPx/mpLnWVnzB2v67mJp+5Fr6ze/1RytqKvRyEtiafsMn97mKW9U6loDJRX9qvbiBzwAM
O/GkrXkuTl00VSfcpIRCvCmeYmp5pk+tX9464mjzsnzRugbrLBy2DZxTHx79Q1VlFz3hmOMWk2zG
IgEUNCwZrspoCy6xx4QAxrDW5nSrp1AoNE5lz+TR2qR99dWH+tPCw02DDYwnQtler/MwxoahHQYD
MXjCuM8uEPNbaQLimC31r8C3HtB+i5kyrF7durM3+MiwCabwZLjwBr2OdA1dFkgYOTTs9X9Jic2m
mewGRBtRL7uBplVgsEhzse+K+Q8FYNq3nU4cKx0fofju2XRzPcoOCu5EsGqT360ap5kriPP4QgDN
HFl8feWmE9T8DxJ+WFemmfHTVFhU5PIS2wXBdw1GSTiqjN7rTn/StbMAvOQvJS3Jia2T8uXmbKcc
uEambNnubONR5e2ci1Mqon4XSlog5/zLcYm3FrW2oymZ6/zMgDlGD0bDDc5oBGWZ/OoiurmGNBu3
Vhi+LNK69qX1Uw4uL6nKz/PyNrb1Z9PjfawU1pAFXsQk5Y6j6081ljI4OqXpT52QnhGHCjb+6tQU
4QMm/HM766e01faGOdhIyx+m0NRtLq0nsHMvo4PxAuvPvZTDTzbEVzn0hzK1L2mKxFNgel/jW2as
3doELYS+w11SD9deMz+7InpbpvFVa/Q3dH3mUCpQ2ZRu1V5BY3Z/ddy2h3jqZl9SQuUlqTbsFwdH
fL7sjFj9Y6W1ScWKdCS3TeKZBKfYyCpqSPXDHZy7CD5AylzDYRmaw6GrZeThF/zgFmaQNSL+ZxnN
V52xfFJTzkm2Yg/zVNzTdB0PF+ynqg6jL235cqSivZaZU2xdNpCJXqp+ZvPGUXAYqE76gEc52thF
YXt6n2DIFiZNM+X0Dl8n3ZCi/NAjMvoLIA/RdwX25J4YkT3a26htCk9WRhO08XTge2p6bOifGt3B
+ICYKkgN0ULIF7AKJY90T8KHCHYkoxsH0ZF2rG96qM5zRiAAEhEMpJy6qLApw21cY3xWdcw7+nxK
KODQnPrfoiLOS5tBFUIn3nWwLYcwkpeO/3/s2Ht0xiGsLblXRhjXtoDvZTSQT9dt2pLCs2pSdHWl
7E8SjqWfiO46Wf3RAAm18MRjxtlBwkjYQI6nwrCKAHYZmZ20feBqwWpWce5ppf9qRhf7Fu0/CNcK
Y2i4ak/sCva9tfZEjpyzMus5nEoYQAivSTAI+x7HnDPwI/Y0X56w8//T6N3L8EwxG85jEHfuB4WS
bzYomzAJL2SY9nZCKVaRHIXClqFScta5IK6Jgmn3LkxOE7DSzSi5qdZW7ud9BZhBR9JpUIOIGeGS
Sj4b/BcLN26qF7/VEdjQrHNiIW9jxNQPTOFsYucheeod4CK5Xb6XBaooEbWAxlq/WE26chgRa3J0
WK6HqSVJtssx3aouJps46vp950LzJKnTUkw5cgWvceaMNkYxMYX2DXO4vW/D+gz7/VHXTW2rldaL
mzoqKWnAaUtvQSSkcNGvElCVY0nJaF+YKe5vLve2utQATsJ/7gCqh9ncw26bbVMNDZicJ77GZuUi
oILWgpNmahVOsv7e1hO35+g1Rcah7PazpklpY2LDz0p3a+JW8Iy8uJR59oqRio+m3QvgaTHesUHj
emTgE4g58/GBL7Lf97byvDj6bbTNVxfToWDv7yzquwRfRc02EGHdvqhSBmtN29RmwTIOvixMpO90
ta/bGYtG4I5NVb90IPLqljSkiNXPvqYJDVOj0djvzSQ/bNqgIKkMbOUV86XIgJGaqa7tkxrJOqfJ
DJynZCeiGWPgTDrwErc+jwb0i8huNm1bfbBsoLhy1GmOnIAUjOpTFjMg1pZ4WaruqWMqMMvuoNig
Pbplv14+0yp5VmLlgcT2Sxxbl9BVuN/3JzM2znp7tSUKFLecFS/gaXV10hQ4EKPYES1dNjWqrdcB
NwLStzXb+WKVZOeSYv6Kqie661/qsNizyT0O+XIvq46bDpCNDIS5paD4IscVPbolY9YQ2y98p1pv
woqqE0BD7wpvi5DvTldOZAfFP9GAoo24g6mIruwlwCinFld80+OrHZ0wOTarS/tlpF9WZuEpZk84
wGORkhtRhMNl0F8ckf9mMt6GavHQoyP0wxdNVxcTVBQFrm9IQtc+d7GtsnPpu/0wfLEB3iS1yhzH
bdFcziH9jCsl8rtCyfUVXbki1OGXTd/wfXh5+SltsFdSexHs3RN1OldNf2xt8j0gwDblgJsDbzUZ
sXPVqd+hik/G4SVsGv3zUFmAlGE1QiaIJgZSt/uHCt2O4oDDcm222+p251cL/rM5t08Kh2lNmBkT
10M0Ursx0V/olrtYNby26iyOWxOOS1i8hvXwZijWMcdfE4/KG0Q9OJviOjGwoOc6PKsO40Ex4Fkq
O2iPbRv7oany7qdhcNcLrrNlv4sNFIE2fQuxOXRleYzd3kcxQYitPSWsd8vkwCH8bDRxJ2a2J2L6
Ga6eI3zyB1oWrjbIX1eZn00sfmb5paKmaTUuYhw6nbaA0bAMUg7YmIton498U2TEn598+gV8ZYkQ
Rcp3u7q5vHGpm/dN2sfT/qciocoIXONkX5K3sTe/UGhQhuf+m6nhiTSpDwl5R1jv3tnU09v2rcnt
X9IXgD3ksR6VP8bWgPIzhBPnPsESHOmXLSyXD7z0RTh7BccwWd4lsBbzYKEfcrVkbsLrFGX/9Iyk
tkwwlyJjLNl0tOmUWi+DLw33KN7lW80ad5qTHkOT5Jat3GhxBAPGUjgbMW2qT2NprJIwJwS8CS3F
tp6iR4A9E9OuDqdzbzJsVtK59Kz0x0p9hNZJttXM2BsvZ5uTnuV55jcp33h+iN2YQxSpDNCBC4PY
0k2ffWPtTGVhUlSWdyIhSLX6XmmVMznoxwknRESOjG2spDzW4Zc/jSdp955M27doxj2mFlw+xn90
k1OxPOMfaJpiH9fhRcNNRlLsVLnVqXXBtFLizF2c+g0WF0NK2xAQ46wAGm/r9l6EFFYbBI8pEush
8vae1uaeMhNFYxcCk6vl21ySMa11BXpReZqhU/q67N+jqn2L84EjZ2bCofplp+S8Fq1iOMd6emiY
zGuAio0FWM/htWwbWN01hEZYzVmAuP5aJCqYFVt4kwvsocikHuSxrp+4tT4LzSSajwGNNw+JpsyL
Cfl77oJ7vho/zbK6TbbEzN1uBkd/wKfabfQS4l7ctI914n7Kwp2pcw+fEwuYTs1VwI0v9YomJ/O+
5/h+QZX2Q1tsNFseu9G8MzZweadZvFU2bjE9VBABCdPZGtRZ3JeTMp1MTGPc1f2KhdlUg0O2vgWA
kboABYIBZmG6q/D1ZZAynCe1eAEFwVPmkN1vT2XLZZ/9pYrFK87eSN/AR0LRhscG0ajitlSo1X5c
upNj9U8udri1qgoxW7Y3pJ0UWFDMjQ1a18w8hRhrubxt3aK6o3hWmx4PqIzTU0kBPEvEzkcxICJY
i7dQgYFbQQnrNRtgVvzCsOppvRGMmvzQmHWxXnKyGS7RnbFR5AHv4S7B6b4prJiojICkE/fuI13R
npUpb3Va3KEmTwya+mOi0VAcWz9SSw5jy8LNBgvLpntiFMP+EVPXvnOcNhjqYUU1sniZtd2UKYlX
2H+wzTm9OGVM3qZ1lh0HmldT/ZPlZNC1KergL1h9nxeMF+bqeW5A59FjEoztytS2L6FI0a9b5bpA
LNq4GFT8MJ5pMNWHN2Eb12XAnhPa5s2tXS7ilsJ0loZHwYZ5wK/r95qzdaeG83fhVmg9qXr8VFjI
bXXbARex4BdKtWZCm81vGl+jAFOyDxGEL/ZCg6xutgmzYnVXHQNLtvbTItMbzhSQTWU9Sm5pJoHe
NsS0M/OhTktnp4TOPZdlFDCK3uLc2akD3iv2Br9RQ/4Mnv5zq2QOEIY289qCallCFddpTB5DIR5w
4e/SOGF6wAiGutbtzIyZZui5tyU1+Jd+RBgp5Eulu3+1rLgLIDp1mI2qmBVuJPjJKhBfONVFRKYY
Ol0lHi1kW6/K0E5sc8B3ET8TFPuJ83zbAhLra/NJL+wXl0vGhvJ18E/tHkjt1V43tlwxOZ3zD1fR
nqVtfA+q8yApb3ft8LQQK0MVIew+kdKwamoVQmTtXkAPTvUGHXScbskgntnzsT2IiQsU1p81P5C8
ACHcEtygng2ROUzfrVk8NpVxCZP0QPDSLy1shmsD+jjh2+dnULW3MdH2OQd11K9bja7l4sYvR2dY
DjsOPKEEuWNu1cmCbgAaSMqFcwkrSukvhfZcL+QN7LDbEc1nvg/9WHCdAC6sTu0HVpCZr9aHZoae
0zl7Fp/mTtcRjMYoOseLxgsxQtJmG/NW8ipMtBg2nzzmYYF8r99ts+ILpHLpaZldZofG5WqlsVrX
zuzPQ4PVyqVOoGIlng/zX8uzXC4pxipN5e2pvnUGrwK0h3ex0HKh98oDd0k/VBW883nvzSSwpXov
Jt1D4KhWI5OnTKM/8VJLMQqH8XhxEuNsTu4eK4SvmYCPdPsWmgpPtsXRnLE+R3YfRzQb/IUJ6neC
LsDFQqNcGQhRNWwd4x7j+I9GQCG6ziwb2sYrqdwrMll6Jk5WndzO/RWzsSdUfyQESPgwzMhMYMGz
foxG7uYQJjmNaIepSRkJshtYlD+cH7zmlfB9NLFKkklZvD5p34awuy/he5PIS5bOb1E+3bU2Lbc2
JehbRyluaTcHeoTRLjOYm1mDT6p6stq5QE/LIMlU/7eeB3qBVZ0wgR/KcvHlQnRKdR/bpQxIygSz
afPZTUlQyPHJsEjy1WXLQsmM8e53xT/DGu5dRAl6E85MErhhyWIVeKbx5SNzNdiOF4uZ1bpHsvlR
E94G6HTc0t3Y2mC93gqjPEdO9x3pWMpcp/K6yC64hvD3Z/ftjv1HM2g52Eg94OK+VzWt2ChYHOlo
/iQDxrDYME/yDX1E/b7zm/BAphyHdfowWJw5/d7W3NNqw51KfWta2FVcEehu+angj1X74TB1zdnt
ky9Us0NStSgibLuEqcW+oUw72dUPsK0PLsD3NhZ3/Jeap5IAZgWvqFu0h78GL4biGBUTbL0bDG1v
YqAs2XUqLVvfyp01sCLd1zAfSp3girbw0Eb0mUQTeJ/xYInqLZfxSgnBTC8pSMnY+CMaY1CBLJza
7bZpnL1ab82IfK3+o4UYBvkbiT2ikOMprQBqBfxVTgoGBsCVg/k0T5jF++IhCsGnpe0zqz7MdfB6
idZqYf44zvJxMcQTVtudYmcHO0Lpx0w98F1xc3mWE4OZSIw/8rw4hqfrEHIh5aTfpnxV1RZr4Drh
pWJwPV3y1uUTJ0IhlIppNQ7UcuFlQEeL044K3POUH4guBCRxi2ijQ9h8ab5cTS88SiJWLHDHC64u
+c2xpdaZbiG6bFw2p2wFILAVHOdJ2f0JzmXWEPqHrgHK6MK720cv3N/2/SKuS2xcFOJKwPMV3vCM
WgphHU8rx/d2vZhiuXmzSixA5Kw+khGZRcufapdP0qrY4djjBhcZs8qfwa2lSyOxSyKiT7PihQV5
JEOx3ypJLwrMu2/K0YMpmfycrkpixwnVFUpF8B3/DjTBYJphho3EfeMGf1b8Xej4DFMF8j5bwJ53
sWarXmRrzHx1YBspvU2sQeTSs5/G9id6F05wyxYs42Wr1ul5ikgK1ak85zIPFjPkVsYbuM34kCf9
0g/mwYQTo8fU8SQZ5MewyU69glVQmoyGBvUp6GLOV0NMaDDHEx6jGvvIAJI+Xq3eZUl3E2xlZxJP
xejetZpjOIrxBFNIoNxoJ3GZE9ozDKqzIABYTe1xMMgUqA3Wm1+0bE9RUbgz7ZOLOsYshRwPFOb7
rPc/1P61pIohTohIeXdm66moJ0afTgRyzLdEfvHOlTjYU2vnMnRuCJ5zkRrtXyLAL9USvhZa9yND
NDEUlqM+/LQGQrCZxbuFFX1ISFIf8VkkiUWthj79K8sPZSGZ4DhPJTeQ0s12xSJOxvRU2LynNOzj
Y8KV2Ha1M3/gHvbM8PhWbpY6fQ6580rwE0sRDJKdSGa+h4n6nmbadZzti9ON/2I6cDilneooQvFc
O/XPrJJIr9f1l8FvNwohLsTxqZjWAnl373DZGOD3Ny27mao3tnGpv4Lh+CNme8yMB0HOv3RPcIPe
S3QFvbd/w0R5KPklt/N8tFLzba45tdvsEOp8ADYSEaTTLlJvNo21g1JckomFK2Ps4nQ+vGS+gAhc
Seury4vFZl3VjJ3ZI98rJxlfG/52GpbHlBnKnYhihHsISOuRRxDS9gy8mGnV8KM/5JAoJavHCldq
gS12yffkdciUzduOvP0Uj4dJUfyo45aGsXnUOLKWJtDV/NldXTIccho3t4VoXI6oXHbsLFkFe0bb
e0NkPqpI+GWeBhi2puhrXJNb1YvOeAKmhOdc3BtaVHpYinxhXtU5PS6rk1ApdpmFEd+Yo/OQfImU
zTCPVUNVAdrrUCt7ey544zm7SpQXczEvjvlLGoNPPt3kpFulwQ3GLjet/ZqyO7AEvrno11lcD3LV
s8ytL1bxTpSvZnpokvSu7MfO3vYtMXOnR5LTv9lC++nc7zJUDjX6Lle2uTvRIMqau38eUZ8kb8BK
sfdZIhBqMq4m4S4z+L6XzFWq/mXxlqF8hx8tJnLIIgNV6RWAxaUs662kiLWrtsK2tzNw2tXnjdMd
7EARdOh+hckm03ZXLOlmRgt3Rt3TB7K9TXFUWFDkbXtoWPNXK8w3EuhLymGkcqtFYhucc4ptXcPg
17uoJYC7Jpbt7PCwrHA3YDaqy+/SwN8QEcdEMIrCLXY80qjRrlWGo65+iBKDwGJsKvBJiYE5svtQ
jDOMUz5+IADjsyQJM3IYkiBn/DxUElosEVEweRC1OZ15xXdat2vgbkJVfRiq10IhNE1fmx/H5641
sdYav43ktcdrpS4Q5OlLHljkyid9OOfTUzntVYJt7rRfhkM6N75QoFiUIWoOrx0736VjFlTRj4M+
kcEdEcudYoutqnBvWKHp1hEIyYNjllsLs4IbR5+OGp1lafwzIZFLF4KzopXeoA9+NETgSrVnUVSo
yK1L8YKN5WkYf03OzQhDkjrmAS2MnOu93BYNwv2sE81taUjgEhoRD6yPAEvOhuPcRCG5QGUkSqvf
tpXXbr4oAHfEGJ50SwnmRPF00GMJO9xZtruOd685PXFfSI1vh4rkCV0Oba6eTKYwLZgg23HHBjnD
PDs15DERuQsebJa5y6oDdTRY1MMBOZL1hxMgjBM5qc+QLHtz2mQRjEZF8x3yRtVSMFbY+6X/6l2E
T+Eepukx6WG6YWvKSKczMKGvL81W4ylyuuLckRE1H6IYql/DHV/r7UcS11QjXPvmOKrPOs+ilvim
suXAQaX/SiNox9pbWx2UmA6e6XFivIhuc/dSZg+9qVOcsO4tfnAwbWrWQY4WROvSwDEDrcfhJl5T
tjNEIsWc7/WJNX0BFzhV/WQwN7O9XjqplKj6bReZwQIwVsdGXmCQV6GdRSwwYBTxuPyYIzCxjKjy
SpWOJXWJ6t0sqTqwz6q95Za0Muu1+Htp32ouRNGCVMcMOcf8dlOAWCTXFLxWzcHhBWFg4p+M7ap/
asUn7rq8Odfyq8RHXZPxWqJ/zmdYE/VMHkpup0jBDrZFjZcgyAAQQp4ATmEF9vyZqIC2r2xXrHnL
dhrljCTdbmp34Byj5mKv4HCwYCnUMuCGFpdEUW8L57nLn63WHzEgW0B5yH9zTziL6M8k+GdQSdYt
/qhggXEfKBkO+mg+ChwxiklIPiuPFW+KvnApL2jRHOegpZ2nNVzOCWI8hBIjg4wPy1gEzaCJedcz
f1LVxxB3qPTADX8tQWNe9qC7xm52FK9Aw3DYX0ux2nyp9VuKs+keeOYQnkn/NwiBhAN0682NAbLq
2R6b77FLoD5b2V+VKl5ftX+DIuAPqngA5qbHxEeAvCi0+6pZU+0RcxmLY0ANy/RtRuDsK/ikVIbN
W+BNR8eNXlwdA5Kw0xv7fJgCYGzgaCTkQKrZ3tMq5xfIBYx9vpFwd3O2NKLF8rEPJxDLz2aNLY8k
wlhuFv0pB1bZqmkAt5rUP6zJwTrGneGpbX+zmSTZQrzR0Qt4VaDeJYdCvToqRMfnXtyi8YIqtdG5
FisLdTXL58xGajCVS1Z9jBpRCLyBpLIKkbx1krO9Btlm1ScxPimpEjj4IOEO+n1iHy08jVDLuDb5
k3hXSRJgRIFjtCm4pKG1mNW+sN4BgtshaeTWL1E6y+qjV946/CJa0gW2smCmIT8IvTeihEpdnzLe
F9FTHb8K9V21Tm34ME4ReuWDhOLcE9ur2YL5KfA+TR6ZVy2b/R3qsPmT4dVeVxwQMlngPVP9ylIg
O3Sju9Uznl2KcApyr4Iintx8Hpad6d4rqo+gjGKNrA46Ce7R/NGamfDrg5nCBtpRZ3Nxl4+JRCsW
pAB+mJ8AsR64gCN4luJBYnVMXmznkGtPTvUOyFRYVjDBerScfRo+WXwBRXpYtC12HWQITB2O9k4j
JtoF/hL2qsfVf7iafKdoP87wcGnBekncB4uFOmkWd8j9edgiu4l0a2DoNVh5JoR5+3tI95LASerm
57ihWiLoKIzhGzqRnw0ne0v+6FzzQoUZsb6rNzm4BZr10OzEVkvl3a0GBdIzsDHL4OXlRM47MsJE
oQLPD3JkmBBdxpdLstZ9WYzxUQWKqY2IdEp/HNrs2EwEVuprVVTc25/Y1B8B6N8KIDZxpXpzsnjA
fBAU6k3M/lPL3M8CR6bNBAz8EQHf9k15YREIdlejJoHPoYOYmbRbQXsfUoHRvjYAq7pDR23Wotwm
8xw1z1N3nYlD5rsyL7eOnv8kMV9Upa9Os0ImC+Afm13PwHwZ5sYOSu6npAaHCjVrm6nZrsRgb+Ob
d0fMiql27ovsn0NMohPTI4PdUaHipiW+zmuebZS2L9mTTajjUX5u6+k4dnSpKAhzukOwXPbQiBvy
UrPHv+fQq7+mo/pqYoHEYgiq5e9iqPexHF8XJ7lo3bKzFAS1seHUrYzviIruCNDXUoiNqQC4Zs1O
RgVacMj5YtOKM4UL9rRUJ0f3Fyn1bZCBhkzRf8zsei13k+hwAKhZZJEiD3lDmOQlrJmXpN/L5mpQ
+FuiRnJZBmCzD2UaUONDOeR+KaYvShCxnWB67spAscdjRi1B1Bdvjiq9SaOIcp92I8frtGnL4dal
IKt5Wi9w/1DSChXlT/U73J4sTN8LBcO/IXaDCkfV/Bvr08KUbReXZdF3FqKOI8+KVgdjc42AxkwK
RViEG9hdj6mKlbV7yEk3UV4Q6sBjj0q4rbgUZtI442TdT/WVnDwnCm1TPeaoBXtAIqYnrOT+SFlU
0yPFZepNs6bd2DcvcM7OAheY1uH0t18ISOZrWyVXXB0HhjCUx9pVXs2BpRYDWajH+wweWDndSKb8
mop7q+qZEbEATEKV3hx5hg3FS/Jlhd3CxARdBBNb6DMc39mjwgVYkUDxzkjgTLXmAQ0/oIeIHsh/
A6Jk3L2rTBAzGSe8Ym58NJX3kt1Nq/xMc3nQ1V8LRHA+UduAItHWl7F+hZPPw82Yb4bHKbHOOoti
srU7OYFHR3EfHc5M9Mtk8lxb35Yr+R1Udskfi5cURIbcNiZmt6HfFzOR6zY+0E71nJrhPekvQ71s
9eiXEwgLOJmLCRvgwq2KlmIeDW1UzsI0DwX8nGF87HlJqE9lax949lXnR2UYLPr3rn2tBJ9dfsja
l5hwfML8mYZEeZroOcT9m+PBxSIRZGLCPD78K1c2whQzQsHzZbrF8JQDGW9zEyZq4HIvt+oavXWk
bcHyG4Oo1fRBgjPWj22k8SpSDmSW5hqZFLO3Wb/J+HWJKAeKuIvE3AuLGxVi/CeMoOFjBrt5HXrc
CAu2eufYcYNJiLUlBsHG7E5wjo8nD0IClOPIb2qa6YukN0lz77PwZfrS64exlFzUH5WK66mm7ICd
BnipbKW/FDFe3oKruzDeQn7V+EDL8tuxHx1gfg0ehrK6zqwF3fy1az46ffE7i2/2/D6lxw5HVU0V
HMsGfhr5h42cYIHgBLH36zvXSds97cnrnYuphcJpXmetLyeszdO0ETDTWMl6qgtyijhWIrttDXa4
l2z7SJBS4EhEb6HpR9+vzSehUm1TXOZc9blKASJwqlPm1Lu6tXYhcX3VUC8YIZ95S4CPU9gTS3xf
yWEajCDLQm9oUFvi1ivJY62rK0IlPvdQ/LwXexCPCfhtDfePI+Z9wQNecQItkO4WRackxjwSV9uD
XjljMDyoIWNXnb0SQHpKqAeE0+vNy+g30oUHg/ALKSumOStu+w31qkGSk8bgaat1FEyLWCuPfTX+
qoy7vFzwF3XhAUS932P+SRfCBZm2h2B8GAv3UXU/RZpcY8oSoknZ1wKmeMuIa8At4A0vzYK7pwpZ
VvUL0oVGmoCWCokjSr+JnKfU5mxMwLKE6Y7I+Jl06sEibe3Z2K+uS8g2WCtxtTB2WUn6Plo2EofN
baGRNGKwroo2vZODJ8yzvwb8bDkAOhyTS6bPLwvGqswu6dpsrjphy2L4j6PzWG7d2oLoF6EKOUxF
AmDOpMIEJV2SyDnj673g0XP52ZYuCZyzQ/fqxFVb5VeIMPxkj0qbbknyqjIfsVb/OfRkEkvKwcce
XirRVgz8Y9/X60az3v5gfQbsaKtC5DuZr48TPDXbjy91ynGpiU/2J69G6pamLtnt2BPyV2xg6sMr
KpEelsgAHlmOvNCap6MmRVs9Afs2JreKWxsFxtJU023XtYe8KR/VWDF22oFlhoONswVklqY7AOcF
oYPakm1M5kpBPl4DJmlk0buGIZ5bwkEnCtda7Jj7KhdsNS4MNkbYX0V66nTW/taGAxu90yjZAMsd
ve9tlbKZ8+QvDvkdOXhBx72AGRzjADMm5npV4Uln9hDxe5iUKEmXrVpT3cfSbCvcS73VYXOSqZEB
3Ql/AbYo3ivje0LS3si/VEAJyQtG+hwR3CaRsAyG5N5wmARS9A2hk0MQU4noGx8hcDmd/2QkfyIX
YsDxajRWxkZCIxnSi2n6pp0eAPX+b3jGAfOhFB8Cz0bv+/L56PtWXGhcYtjbAYhQWxta5FYYrXI4
KnkmgZL/1yW3gWizTi8dGUtb7+lIFgkeUNlomfp+GPNjlSfLqNTxEuK4zavNVNfAMlVAlYRnDM2j
wz+Wid6hnwpbYpbKnbQDPbw0KuZrRXCSGWmYqfBilPnQ4ntkPcPyHgngTT2NfDP411JPrVsv1ek4
FhpGtgZkEUQ6VfwtFO6zGK26JuEe4G2f4HxqjA8yxBnGWC1zI3NKgxwVK1pxgyz7idDAuNuFobyJ
G6x1/Rkxw1oN7nNwB0mTfLQh9VlsI0g6hgmC8paYmeorFEEKtAPhbw3chnn44++EsLXL2ELHI5/9
uFzJjOZnDpHX0RmN4CowCcvCpjepHlplo4UsYpMA0JVFR02FpoY1aTeUAjT9AH41ibIpMx2dm04g
MZEAuTdwfF6ywk4SnRiTKcQ6volbJO6EC5W5b2s+JhlAafs20bDKx7ZVKPA3fQfBTN1qUC+Y2ZJV
PaRnJl+X2GvwCxg3PZkPIXae/MQSAVutbTTmerKlu9IkfoveTJnR2AACaREauvwILV/Mr9AIaJnT
VjqLWrIR2/YVTzV8o+4vxtdHNQ3LKBiQNQwpZOFYifWPrh3/QRM8W0N76PktF+mUIN7A+Dkr5Cno
hWnmRgDDSVPNqYxq5EOIkxuKuPqYjaN3DMr8bqpEd0uqTdo3V31aXhNIWAQeNT+tAoCBbDqOiMxD
qhcrtzHwnxjfHkIQv6CBPBhDvIYpoPaWOD3LHkRMSOycbZTUr1Eh/fXtQFugsBzKx761lbLHvdxP
NSjzWHOBq21HkNgeX3VRtUiitaqgc88T19KwH4TDUQ+iGm+I8FSU+ETQTehO4cByy7ukdC/Lmg92
0at5gcHDh7cSq3e55/Ade8yrgD0l1xpJe9Bm1bSSeeTk8GcmEpp8R8lqMRhxQJS1/C5iTG1+oqBe
6fqDga2euaWBpUPUhUWXSxb69OIqMrGep0InGULbAtIkj4qmffvh6Jqxd2qzxPGnfNNU4iqQOX0z
+WZSUkqZ4sqDccDWbywlCZCNHqMVVy+VwvieTK4PtS/fuQiU3JcfPoxX/PQBfGl8o5oobIIqu9UU
vR+pAjcCw57S959iFEPvice7Iob3tFL1ZdbqXOWwCUPoDbHUbjGLQjdt0DEabjaHjMeGf9RM1EWW
AdyWhWkushPUUoGhuIHjI951JNuGY7/Tq27DwmYF0jp3o3T6DHPs4WDvsb4Zy84XFugNHdPsLn3C
6NEr0B9rv2ZfnjCU2UpkncSBodGAIAScuhcP3yhSdkVeM4FBzMtIUgkMQtyqB/kI+6SpzppEQ4rp
EhO6aOzkYWLpKDsD6dnVzJXiiGMecu8ZueN8ueRqAy5BlFZlpa96lW0DMwrus7LgE27Tq+n75y5E
alLJ5javk78gZHBck8jUMgIIpje7kB+1JF+5b5eNUnx2GrFXgcIsLdauuTJdx4FVGcAN0ij0eCd4
nDgk41q6IlF/eZ/kk50VaWQoHR/1NH10SbDvG/93Zisp/bCrGH8StrH286lwlLZ1PJlRQMm2NxPt
mgwxJZQOhey/mbvC4xrWmqiua6SjeEHTZT8oxUfdUFKkFDpBKzAKFA+xZHIKySvgMlgX0J4V3K8k
3laVuY7Y1KbCsAFptaqCeglABWFgQ43KFgEJ004Q4AEk+r00WT7IMaamuY0paOLS0TiOckzrFbo1
dAEiBAnf0FnTZmtvlDYkdDhmkUBbh5xkwXNk+cPWR4wvk+w5WQESo/tXhmTV9Ss0CfZQ4Pnj9iOE
8CMxkwXYh66i9kWNyPxij9TcJSppnZvyUdeaG/Cn9dClZ9KdlxpVpt+mTisJp6R8hcjLOg0VON4c
d+YLB152NsfkyMm0ksN2O4ggN1jHCLnxaGNhVeVXY/rSMIuI7U0UBYcwgh9TmHMKjUsvnyAWH3wF
IkEXbXs2fX2Eu5KWABH+YhqNc6nEdqCn0PUIitSRPUwohCKz2BjjiPQ3X1jWbsZYERa9xPezbAzM
BtSBmRW6smBQGBIFUbbc7yoyPn3nh3/yPKYTyo2CeQwRTm39ZSPZRQ28NZYPQaDYxkiBxcuYwTqM
LHZmFr8PwxL1Mvn0SWz2cutTZD1cMTNgCM3zTAC5qG4az9tnpkLQF2gUbtFWL1xRxt7gvdLWcoZE
dUpFcElsWhFnYWcGbm1VZmiET91iDh4zuZt7o5xbknqfL+2tFPlvIqDDakcTCe5eNIgVwSMIMMqb
4pXvMZuOR17s4k3tuK6ku5xmKzIrPmod8UNgl0m8qwC9i/FvnD2KWloIo/qtDLsRJ6aP8Ukjkz1G
9U8m0iLrKaFLBpFoi7haHNB1OGpuIcTwDL1sKBJtz+qlqbElREBDcoU+kLExOMZCBtaVVO1FRlwl
SvDPk2FjjQHuiWEhCSldW4WQAMEzBCdT2Znpt8lEnewfJqCZDXrBT87SlLgibZ0y48rm4JCkZ06S
U6NBQcxhYwxUuVktO7PUpuo5wPFQjJBXmn96d5eY9bb6dR41tSYhjiTD+Zq1I15jpYjCYrKCbUXd
n2Mj8Yn78tp/pbSNe21ZI93Tpn8kUi58UXrKZNZ/RBMjQ7ZrpcdmuQEzoqfLUfL/pDi4SFpvZ2G0
C6dyn07Q8gbu+spbZ1Zqmz5O7/CN5Crqi7PeVf8EnxCp3qIaiFjl4lNhNEVaxNY0iTfGr4VPcG0W
ituh3BuMqwpuCIABKR0GkvTB8VBsWcT9IKN3DN5iI4Y7VPy2wWdqkp3DfEVC1CvDiAjmqmWckQKM
wTtKVBV/HlgcVAA7QRU3foDhu+NYHccfjrAlN/gOH/ROZEXdTkdf+bJEW+g/IZ6y6oNfK/rOUBuP
Mhp+M90gubLAcK08pFF/czpuwChDcBD3fQpRiY2VnJ6l/q2jV/FpZaBk4q+etQ1WvbcwLhjjVaTS
yuevNc9X2ejZSEDtRLsRt7ToL6Xgk7m1TxmG67xcTQHgFoIcIjpZug9C9vAq8Y/wTIzUeGDQUvIn
bfGJitJnBsWiby0AH3xYQHNWg1y9e0H+B0VjjAZWUwHDVMIbOCyYqkUxyU3TpsYzzTwmEY7GHBeL
SLlHG1YyfKwF3Cic16mIpKpOVtM0b3yGbQauflQggbAZb3BoR0q6F5GdmYikurLCglQtibRENywR
XAtnBpL+O1ItVOHlxmQXwpPe8AimBEy3GJwItuFRf8QTvmC+2pAld1+GswvoQZQNryXTbVx7xHwT
Z1mCc0jcDjqBpd7r5IIRvu/31IYmimVhW/irsNlF6H0BWEzWKqbLQQNL/Hs57gtEd35kN+KK0WXd
rLmoezgdRx32ivUll3d9+ko7RHVodyf1K1VeGqsRc6NrJyOXbKYlnF9hsmiYheL76pUTRMhJgNoF
4OtXwnOnO9hIWRKCIgGcLXGzG3AAEl4/JAAoaijn6jmka3AqTkUFD6H2l45fCdOT+gWXZopc5gDS
KW53Skdcic27NGPo638qjHaAmKzuRnpCfbzDESB44DppAK6g2CZbT8XORq3ppmzrQj1we/8xdJQg
wd4A4KVB/L6ayt8QoXBYStYBqd+qNn5QOmDAlSGkpVa79uVJs43ky8zuDRcmyVN2CI6MDZqGDWBw
fX+rpG4rbBieEwBu51FBM+iqsAE7cyRN6kbltVADJHMC2hhW3D9CddbDdz6cSw3MJTA2IHGHsv1Q
048ygUH6UdRPAUt7/amnriHuKQvT6Z+ZzDpK2EvQQjqy6HZ9xuCyuBF0H6VnFAKRgI2lf/QFomQ7
055hSE+000C6EPqGdC92w08IKKYJz2mWC5VbqPqVtiZwJjGXaufI5TfdqwjJ0SshLIL1ICG6yh8Q
Foz8YggRAG36ljUUU1AIiLNSVGpAxCC82xkGx+FtSPZwKuipjPKQQMqRrpn5O4vZDWM/Vux/vxLU
oGJvy7nTmsdEfjRz7uQdtsuEmQcRztTvYTAW6a84x2SMdsiGX4a+jWXCp0mAky1i2XeT0Nynnb/W
hVOXOrmEkcVXT4xRuWsWHgDvD6KXEuvUDlCaSTzE4ElYV0hl5Wb6z6CSZehDbMs3AVOKhH+oYTYk
sNCJGm1hKT4x1OwnztLwhTioqddtcCXUg1cLU171l/XLDiNl57YlnjZYGADXu6Oe3zHsc13mKJcx
Ufis+InhRYnN29Mwsv8qPjOyejRO1n80OdinDiPqEg/1nULcO25Wpi63Oj7xpBg4aizlyNA5KgCg
zZkoTkKjo1G39XD8sMrmpBAxQA9sudqK6afMbxcH5zh/tUAPqDaEk1ZAiUfGEqROIK+jft3U5344
4c/b4OkqVZdFSsclHnQI+J+QPkNjpYAqhtrPDHqHA+wGnV6eDY9Dv1X40i2K/7ie3bX4OUMyCZBS
pUBXoOiJfFYRHqql8g+skOBvIOxI02Ew70JH+sMShVFwFFCAJdDNeXFwzZYEwrXQaVa9YJJBua/H
s8L0S6JnqOLpMQi2Nx9r2J6LdI8PEhmmq+EZsdpl9+tPT4JSwuDN6sQUOlvEW0HKIr5zn7yg01iv
Uqa8ENTnJwu1wLKfz73iYaFtqyTqQvldy/4yGBG3oRnxqfXFga3DDY9BN/4owmePkiZXX8q0RspR
hU5m2BkB5aO5NKnCan8vtWsIMTFqQCJuFR6Q2DxJ/lbKrylmqAZs0/gvynaVvAOER7OwB7ZYGP9G
pu0GL3RwTXoHFys/PdCPpvXwE0fAgMmYtH/HvP8khrVXC/6puNJZaLe7FDkUhZalHBBR10Y/ozyg
8sN8oFRCMTvuR+MRknsucRI6WQduAqbIJtN+k/rbKJzOP8bRt6Y4oUfDDWPuioEM/2GV/o48marL
/5VPS1Ilzx4ue3MdZCxa0mWsbqJg1+G+E9TVgFxhkr4gMDQWi1yQTCTgmGsw70aLwZqZmiiPjjAr
X0lOlDEQoY+aHhn0wkb8J2IGrLejtidjnXDRcXz2wV9DrgF3J+SC3HJHeYHwLOipzvFpEmEwu9F/
mIfryQLTcE6vRCnJ+acdTawW5KXQ9F+7cFu2K1IC1YiuiDEG0yqSBA2Ovyk5MdLqpl2rLoN5pfwv
ahpGqYvpeyjRl614Of1ukSo2Iyt4qoisdZ9FOdLAVjim/iMtvoqAuTLbmi6dDtjayxpXLTNDDmjL
/wnkP9G6ZQlwg/k22sbsSa27pdwmCJWGPcOehAA2Zugk6aWavnyWUobQ7eQwWPrRec4eCnOum+6v
pjXzl3GyHqO97q/MxAXF73TtF1ZaFNPfCeR58Rkqv2mJnoNOrfY/m+IbfzLGEujpScZkF92PPfhr
uXYH/0usPwU53JiyuMD5x2NnsfAflHuMjLNS+VN0fCD5LXiyIK8v0dBvzA6v5/hRd7s0/6MEWmra
7xR/qSxWERel/6LAWzIqAe55rEAbymDBSzgjkNY97TjossMmUYcejlS0uQUQbqRh9rt9+9231nX2
MA3LJsEhFjA6QeatYT8Aq9RMt4yDC08mcEVOZWKUStRX7AZ7gtcMCgjZ9kH652g5DZqoKkOfqAFn
P0D5mtCtJPmqvyS6fGRtkQvHTHMECfWVctfD8cNQ92wslC9D/BfxHCa48TIFoBDqWyDM98C0scV+
mMKfgQQI/Isc3fR0VcfrNjlZ0V31jniJUGYk4H+ku14vzWaL0txiJdRxXHIost8XES7ZPidvCH2p
0pzMurQtoBvlLfHVMNABGrqV66uI1DHTrsAb0du602B9lP2gfjTamw8viI4qmUeqbhMnQEX1zc8N
dy1Zk4h/LO/gpWfPuovKudHWknTo9VNVfKY9TF/HT7/UaV9BxpcJMic3xOc4hLuAloEGvch3AuiG
igABUoNFLueVPC4L454V3xJFp2+JSxO4pcC8ke2xTGwzMpSGOxiM1kdgbLqGVPJqHTVvofsd/DMw
C8RVS3DesPpbWDt2p9mofWKskvizCPld8GPG5KyGtmjtQu1TbUlEIsk8pFQiahNd2rtmGQz8i8cJ
/VXJt1itBSrpvDYO8cgwF4JevhDm2KruLgpn9j9WdpxFrh5j7XnhcM5gnYWitldMFdwyRiA3kijB
XiLiveSnNQBAsZeb/qT+12LzHWiKqzdbs/jUGaGINhF5JcYyGjAKQvx5jGBUcJvRADJScDPsODmu
HKwoFcLr6OhFJGyzgoZeA1hKdQNujYlZ87UJvuRPmCOqzqaCtAtNhrSJDfJW1Ozkm9eUXsFTNMmm
QhrHvCcgpSWCy1/gBH6Okds3e1P/07iU6lM//rFQXwTjlzquTc9OLMpQ7glWqML4CANWOTSci14A
3MFYyYQ2Rq7gypDX7bAVUehHyhYVgjW8M4gGCOtroiZYo3mCuA9J1WBSjYhsSa8Dlna0II6sSub+
IVt1Cd09eky/OggImkcRW9i4aJUHarIwWM35FAPz6ZwA73ze8VQFvQEW1341So6n333pO6V/RUPR
or/p43da/U3YPyUDFA0oEZa8zJFbAZBxx6RprxYnCYRyoFMt8FhMzE2WjfwcgERqKcia6KdnrlLK
bsnpBEdZA8obraLyZrZYwoqtVHBr9lQw6trgfOo/cRCMxGJNn4wFYKtuePZYeWbKOWBaV6708keH
xmcx5wUp9C1JmFfmvwJ+Eq+aaBOKvBgZw6LCrcrfOCLh6TCqztRjZ+++8SfM0jJ8rDbsYJ80qLrZ
EXnBZHtYlIC/PKr4JoNd+szR6bfRrmX6WTmIND5GHoMaaGAcH3LvHVH3SXHiGKpjFCcFXRTobI4N
nX9Zs3ufsx2KNjZAduifTQR29E7u6tgip1UeZvYt09Qi1wvKmyG95eJUW5Dgi485qjovcbYsamTk
8qfHvAMbAhs+0l3Ss06ei8VfsdDN+M8Uhx4E8QzoQp884dPkDP0mbloN8yWry1CELYmhoeCwTMJx
kYAcJw2hMlaZ+SBBnnmhzkcfVndl+JeClzT+0BNgwDqb3/DMdN8pk0M1vfySSoDAeXMRZj8Jgtai
efgB1ze/BU2/NfXUj/5S4ApfSsG17phvYHhxukvBE1AtSwQgrYYZcuNryBhC6HRLvX6rNTlfa0n+
qvETaxYKwvqQGcvhgC1xMas3JTj80DN9rnrAYa22HTgaPVoERhZ+ug3BK0z9U5rIj14K4y4i24gO
B+4l3Pw+fEUBj+w7z/4VSFjI51rH6sucfoJ/GuoIWVgnyg82LkdLI0KM3J6vrZof60/knqZwEQq8
vQY3Ckvk5hp1Px1iItVC3YVdej+OR9KyCFPW8CQZHvlujojUGbYyx4okvlmdJMLeEzalQBDilTak
Y0tdTYc2wnGWEIkO01cLVm1ZuFZEdiwUEh1fB92BJL10YsD4ZzCosbtGtXvUsaZhajZHV/fxgz0U
htCZodo6xz0/inMU1Jo1/STYsqriqQbbTtr1rbcUqUrCZBniS06Dbk8qucgfKI63MTi9aQ9hr+23
VnES/a3HMsN7aBeUc03/pQvM2+4JVDptdLKApost7a+KIspEGqcTQNXE1/JJ+BwMi6B75vgImffA
ANz7CFxBpcoP+pEWaIK+Mj3mogt4h2k3s1E+BvFH0l9RQSPMimahdQ+jeFbaTYnW0AMXerspeC1l
sIBXbTqAibciJrx7iZWAp1KGzF+xwt17NbrfKPwlaCPAFqx0jpY7SM7AEPHKs0Q2hkefwCdYiwHH
ui2Zi8Jw+nSvDQt2yTWDPm3NJT7p+E2gjSAEjDlMeTrGfE2/iv9vtJZtfdHM8aMcfibuJz49kYM6
3gOKrlHHxixj9SstHlErMYN1uWOstiGV1YHxiHLuwwoIaDkjTGWiq6fbKTx4wmeQfwudwyRNja9B
ikkq++kS1g9XUUTn6BJNADDSQLlaqY6nnkz10Ek2VKYwOdfjhZVYF+Inb14x4roO8+U4+5o4IKMu
JFJlRSWuyYe43o3NSyriVcXtDtprOREsmv/OB2CcYqYPGeiVj3y2pjPCVMp56Eljm/4YwV8hxRu9
+DMZsWJtY/1EKZEbp4zmBRMYgYps1LmgkGJUjmDuypZ53yrt91FLTjhRDuS2EcuIyrj9hb6Aqmwd
pa//i7a7ZN4CPIMq4+tliimz5sy1OJp01NMguFou7i6nV48eqoKR6TAT53u+niDAUfsRzOEY/0gD
R1W0J/FXSVdWfqqFY8cxTaRKx0Ez7mTCg0kQMDWO+42skxu3CbUNiZj9E3JPW7wmGagMrDygG2ga
YYSjREABHD9GthLBcxqfBqKAlmIyLXeygiB1IJmJfWfLIpVXlqfSrfOTQYcZaU+fWbUYYRd8jPEp
rq99tqol5JArTzlnFioITOO58iFEkJS4BWN0rmAc0P/ky25AaUqgYoOwAatZhdHy1fr4W6+a3/Hb
gyKYWzymGgKUK7EWCWbw9/BWQsbvuMCsqdtLD7ZLMS9fu5nxsyhY6Hxwp+oodlkqZKmjvuZ9hWKG
zgzU7Ca0QKBQbrGOQXKhxlsWCT2Yck7n9kur99Dsg2lNkl1hPpJ2A+Qa9RKQqpJOOR2gqCsf4gnn
F8+FeWJP2TY7EFQjEVlKe+iEt6Ecwofg4ajB5lQhi2EVGgFSSFiZFzV3zQE+F0EJNu4zGiuz5rr7
mPGJpgL08CO/1QzLmyhcxBK7nLnDI+MUhQGBR3BRko1ZrVik4s5EoDL/A7X8KNJrLs6uPtwNdiN8
6wPZQW5g0mcAjB95aKYlgWAZ4gLuSehugo9w+1Vqtj9s/TpAiTtwz9iSTs4H5u+rF5s4kGBq/6rK
tRjckT0BpkCVwTV2JZRTqARFgipy3gtUSR/jPjJvRJZQQyxJXVXLO+odgj3q5CfHEgVPqAbUHztT
QgcCpNxVLFTdCh3CoaVlPfix03RnECFUM3tyZAteoOzCnk4YNGDbtCHspCUnDNYFr08w7gLjJ1J+
A/Wznv4NwsXq/+RixRy3RY3NVtNqgY+rBntWzojqR5KvQeMxYFqwBmDgh/DWqcutrmm4MCDVHVW2
ZFq4yXDyYvTRCAw28S0b8tVi/x0WawYYpK5CiOFv/KO8EudgADTLWPndONyIk3JtUUdK0oxxrz4w
2HzI0jaFZ5M8cwy5okOpLaEd3xhXA+FPr46r4J/Y7cvmkLMB9MqXgvW3Y0BKEy6yPVYQCbu++ui9
D8rWVH3ycbktr5Nu/oM5EU1YgPsC5fiZSwTr/iRt+/Yetbji+QLQ9UEaab7r37g6helhiI/Z9Kci
blDYdBXYVTYBwxVjq5Xn0cIsym0csRNC6dJtazQqjD4ULIanQr2YJqVZtZK1TVHbHgyRhm1ut/KL
Uxf8ddCCywm4ZdvZ0LNcE/x61j+1eIVrozMJ5xZ3EXoseGAkeTHBgIedhbeGAN8kfavDthR3QcKn
ZX2X47oJTfT0ePqPYvFV54UNgAMFvWhyY6xD3rm8XxHoDlnlFEfugGgkkcBbEP7Jr2AlBwGsIJ2P
ujYJUKYdSy6jhHlGO6rPSMpRb57FbtNNpCem25QoL6/gjdvFbCjEdTqRg8N1NMjnXjrRzxXxKcTF
xRh9odNByQcFLUJsG7FCdFS/EKwbZm5sWlDxcqpw7uTJFjgSC4wdRBRSMQVAQtLmkXPKIMtMy7fc
2wjTZDrwkUO+rWtb5H8b3D8R0T5qsEBB3RC5lfJno0Mg/7xAExx/UjSJ7G29/295m/evVdj0SVwX
3GL1PP0vWJPV2jnVlo1oboPhN4X30EEezqklW1R+NcruezfcQHY4FukuqriINRtYKtjDp9j9adot
Nc46qlVkb9RLzMaqT8CVSnliRdLNbLQF++iWVFKyNiY9XJL57qYxgwq0FrUHgzLY42daxUQF62H6
61U7LbkmoKcYM1ecf1SL32hXsJKHkGiwkJlE1VEP1Sum3R2Uaa4L/63jvLQC3NA+47M9STXEqhjT
X82wIvG2UvdWn8Z4lHRHl+06xb/Ap/KCfTsCskxiN0JxPJ4p/hSGLepNr3Z1zNPu6h1r/KNerSSl
xzFtN5m8BkRCy+n4EYY+JNx5Fa8sGJH1VN3QJIEsGENlyY04kAQY1Vx/VYiblrN8XETZbxNt50Ik
SKnXe+kjkzd99BNlbkQbyOlD+s2oPgjT1Gal24Zfr6Zs09S1iApuTQZnDQVAMXfDFwFBmrKwtB37
Ia/7M5MTABvNAPsUXWPzKBUPlncIZVX92IvAu9CL0WPwFWyt9FR1Fzkn685hfVQkim12Jwbcirnl
I/bCi6ldKkSvAcbXqdkY4kkQDx23PsIfdjcm0zo5/tdLmClQiqEc94t970PUjoCutke9PsQM2aX6
GLb7EcBXx6CBACpxPpMIbmWINt+xH024Zsysm1QzCD5g10mkkGnfslYwdAPiwd6jij8lEKix/o9F
JXoxwgnXBB462ClYHBJbRSbuNjfhbDyado/fHo4VS5ivApA25KkPVeOrPQvKyTLwpTGCytWT3p21
5OxTJcjyVf0qtfvU/xJyJJNMSQ+TX4LkNi9mPWyZ6lP1Xa+xg/wvlLxVpgFALj7L4RFkl560PGIO
dRrIdVNeR48n3C4sgul67MgfU4CxgaBfmmGW1ALqYRRQ/cljoJ3ZU8siE21BsvaYvprnWNoK4763
ONDutao6M5iyAgqZUPQ/I5Oxi+Qk2SsRlX2jMfdi/I8afhcpc25Nb0sTsH4clp5K62zmaCBzp6Y8
LFUokO95rCKPK/bCWJ4SPgfOjuRk9JdIWo7iKVSPhbQDFUYxF5Hhy3IlVZAzEg3RLCLlG1W0pyzL
DsDPKzWdlKEvJU2LMlxlpFPw6EvFJ/mcEFnXdbDLqK0DsAVVHX6o3k3XbHNa1Ggg6/DL4tQZx7OW
PfGna70zIXVjO4qiXi6OrP3LPEBY/khz4oZcjxqJ87nm2pidO4dM+oPPgO/SbyER7bvnJI0flj5t
1IJk8tn3++DvrGooCDXkBx3dRIZaAr83/neTSXb4jT6F5x9Qp+ndA2sr8gVxWwQwOKJ3MR9RvOVV
9ErzHz5U9sKZ/9MwhoOsYs5aggJAYbqTX2PORpabCO2ogq5TZNl81+lGPZltFysGXEtMHjYGb5jK
NO0MQdQYOa7wQgm/PJnx4JJSYuAzLleWfhEYWFbytixdkZeuxrOayys8fDHmx4jAjHgehe4m70Uh
AkqaIdFCyVdljKZxiRJ7FLj9GDz7ABLarlwpPe3T3Sj+KbVOosBTZL4xMIrof3nbIFoo6pudQ5lu
zQypAyIN3tQtgysrAuv6jW6Efg1ObsbcLycqYmOxDsGXFssotRmukh1DdLd4MfiDAAyWrGPbMpzu
yODiJuxsdg/yI6ibrWX9SMl9JpslEqhfM1qMhyA4FvTbQmoxKytBLbd2JR7Dql0OxatFMCAtFWMd
wUCeUDKgKiTieCFMj0h/RMMJootVORkYmfrRRJSP+TloGMLGm1AFwFr8iKwnMjI59KbZNdgNI21X
GZuiCFkrXauYJF2FhkW8GuyOo4cS3PBRmyJL9kMtxEtDPBYT+qkL0gCrwvF68jSnnfsM+QRVlIp3
J4a3gaPJ1Ok/BlstRpedoAlfLKcrQnZLy/sZGg+ZadwIOJGkgbG3jehT9A8WlpuyfFWkwvAJMCfw
trAF+Ld0k4MHhmVL/ckQLl9AwF+F0SXAI5d2Xwb7GQ+5i/4w0SkiIcZKyQUbU+zEP4J/lsuDWj7M
4RyPTmGu+0OU7mlgwIP0oTNxP+XvDC1VHq/xMjLl7NOlPJ3ThrK8tUXcO6CU4w3rraReyXd0Z4q+
mnS3yS/qYKcSzb49KKwKagbPyCzz7jdFkeJnV0JScbSfM/3ImopRZceKY5MNwHCX/nCGpiAPa7W9
9e2PDKQ8+JXjg5esFCbXfnnvNYtp8bTgorA1tV7r6mnQbyIQCNH6zWNMCZc4pZgYbG1kfI3fZaGS
HEq5Vr1HitvCvCfFISb1YVgrwzP1VrMxRRv1pRSuxuFl4btLEYPyE/DaaIdsAHfG2UyujoxPOvb/
UF6QvzDoCIxcyl/BQvTdX5QEuTuJkzh/lHqdBX+oYEPjEs/tjQuswFMPA4U1H3AUvavuD31VnK3n
Oaef7gfgIkyNAsMpBvpv/KV4RbvkmJk3sT97fLYpIn4VKb6NjpXtDhuebk0cLf4Xj9xabd+wmouY
KVeQ7zHB/zS0pgG2h47cWgEUSJCcQlT+kFXV/MuEYpzaIP7M3kVt30YXw99i+wuLP8H4p7HERjDI
ql/luK5DNyCDPlyo0UpWr+NE4digH7ipIXZfp/0uiG6QTwMa4gZliTjfbC2pSE7vn0sY2pjklKcS
469CycoAHP0IDWKbXOtg37UcIdZS9K7MMFSjJED1kqLOKbB+OWm4wuk41Keu8ZZWdhh1Bdv+Gy2U
W//H0XntNo5sUfSLCDAU06slUTlbcnghnLqYc/76WRzgPgxwu922TFadsPfafYGKq160wt3AYF92
jPqn+ObMEvX6U8xeqU+jnMe2pMfFjK99wR3+W7XPwgEM7fD908qyrHkZKcANCpiYKirlu2lU9U5o
7XDIKkIGGZZ9yPijp+Qow4tis0Ul7DEHGMjgMaB3LrSP6qZLlsLP+p5E6JHJjuAlpefk8hOtp6iH
dvhUlHzDFUAxr3KoNGuaZggjlf+nM0WyF41xsiae701lwaPwxu9w2ugBJf70CU9FYW/fD9/CegSg
lYgtIL/rxbHPinJwhuecljKuw26lmN4IkxuniLhP+Z4Z6Sg2NT+I8RP2Px24kjkDPOn3vfhIo602
vvuwR2pxlBox3xcaIQWPVI8lCOWY88wRUpbn2YSd/qs/ymxYVCjAWGDp7d1AHVLwCNJ0JeFqso7C
Oo3GLrbfU4Kd8w16buQKxoMZrZ9B8V7i3KCIBdz0YqMpn3gvnTls9ZmxJbW57SdnNfG8Whn0K3ZW
8E8UG2MBU4G3uHoVNkO4rykB/+D/M9KDau4FwgTs0B0qwuCBJ8wYnrqxzxJqUR4BwhtopqsKZvfR
5MWILc+Zf52/Rn6o53lcvcdFmQQ3AxuYTuEyUOHELBZHeRvKexGbFLBfTnrWcmJs5zHrOm53SEww
/6bwkVu5G4xPrYdnmC6tbxVRM4yVZjxHmBfz5D3IviP3auY78S6bhQuvkgkyfDaBk5ZxgJYiJUdk
qPN5UlhWQ/ACMkFaN7WZqVnotBIuaDpjX9/3XbDrQMlFnLUk02gIEmdl/exXbGS7bNXNaHgKRLP8
maO3HMXVxBMQofjXs1Wa7RXcWVAbxEL/1vWNRhuX+OcY+W+mnOkbU1Taygwq+ynbJTvvMaMuQMTH
quHsgiDryTslPZVA8Hf4S/ZnE1yTSSUKDOAmOi4QS+RPtX3qOWO3kNN+Ug9a91sqN+KIQ/3Ax4oC
ux3XOD5eqi9l3n90aGcZ/DHabHkQHCxrZrh0yp/UX1k9FY78U4ZVL34ZHie+ZwJwMDR6LjqcQPsp
SvfFQnLTMoAQ77G+KAPmCo+EKwLpuYeBQDuKDCDYYzTQ0BRPW3nrQCwk8ubUF2xiDCLN7hU+cS2f
sW0z4KSBaDcDygath9KAC066S8lXRiY4n4ErBSd3Z3zZ9T1r+daTYxcfQYP1OMcTf2eU/3B0Wuq3
My4FUbo4vPTW0xRSuCef3+Tv0J5BNXbdswNLO7ivA2WZon+GerG2kuuI0a5BlRvwrRAUsYgZbWkz
gW+WK7LHdCPcPEtVrvMoW6n6o/E3MxvKXonpfWSWWaNbbKle80M2eK6JvSM96zBl7I2odqSecYLv
7XgfiBN7Izx83yU5YpPBmpiYl0m70AFa4pi3x57U7HQXF0vFWkm8v+oer6HIP2sGmbHzCMy70/4D
6lDYlyG/I0/kMCjTA1dyFfEar8aK8vnSlvwdNq3QfQi8hf26rMtNFhxK3vM6TZeBfhNoy2EMzhdR
EWzG5p41d/TqQDoPZbltvrhWOYcU4zNvrjKgq3lJNAjMS7QhqX3rhitDfGcCXH9L9SNXVP9h6aj2
3kBQLco7K2ZWGqwwQ+6wnLwMThtCE7CbNxtET4JAFv3W5XftM41vTdstmreMTafKp0oSyIfmcLe2
xB6q8Uojs4vjGJV9GN5REOX8vIxy2I+j73XuJr3ZnPdQI9SOcbPqqMsTqEeZa+yx3vFgf1gH1V1n
5blFNh/Ku99ufW2Z2fukaS4gy5YhE6NQwkOEKUwIWIuOW2cxvMaqXQoGUpM36/LHZ2VLpNY3vMxq
QtnjxdWKC6loV+Gjc7o73NQlo5lsYrsWnUDgwp3zuz+4D3VFMkqIbpCALeOoTFezBS6W3tT2OsDd
9Pdm8h0DPEmGv9y8xAV3NKOkynMQ0ADkJdG0YiHaXeLgwx/fGyTsHEjvYfBXCUSmzh6wXUFcsTss
y8JdK5R+ygclgjNflVh8IaamFC4qix1KQfz0ORIbzLBsvNPuVfbb5BmEaGKFAFB2RX1Ec6wgmUUf
NsB8RW1TmW8j3I4OZa/r/g3ZbmKL4fi/vfqu6+NKQoe32g8a5bEAsekgL4EOFaDFEAyhkpBzNdop
5qp7WDBJ8XEHOxxCDG2LZMnlXkCwQ/GrMc13yNxd9dM343qz+9VQVAyEbzNpPcTaLrMOJeXhYD76
eD8qm4FfkD5CBtPYgOTmlmNmMuNrnDEG1xa8e6DiDX66oHnriftrGgpaGwrUXRjHgnVVdVWmIzij
BU01xhJOwSzwLNAt8JTI+vbVVcdnMIulxSoCVVwXRx65jL0hY5/c/ksps5giQDaqLa6Q/ru2z0Ny
EiR1tVHB0U16DoBj/Wu0YaAwfm9QzKVHvXixqbxG1LBIE8o1D7iITqa6lfT+BFPSlENPKF+Y+dTW
p/YIox903Yq6isyFKt+N6qOM/gQwZJVQ2mleAOrNsyh3LjzX4lXnRsbc3+zFcOGXDFFBuKeZdNKz
rydunIa/ZASXMh2ufgsDVudeRzACyNzdWDV6TsSCmw4UFsxDde+bBO2hRsOLghqK0575wiy5QPfP
+VLwHiQD0oPuiUVlWcX32Jo8qyMpZGgeuvWNkc2bTNxIYGHlQhE3gQ5a5M3LqADkH5Cy8WczXbD9
559jXh6mPqLq/N1GzEB20qV0ikUOw7ojHJ3Um9ZU10K/p9V7pFRbs3niza7CDz8zubNQm9rXzv5o
QxyczKSM7j4yj00oo1tfW0/IBbTo1Nb/SDZc1YjqdAoDVIKDHDdGJNBiB5eS9PKKj99lcAiaNKgX
CpCKAmGioDyLzc843bb5paqOEutBCJnYiLJHgvXfxXxXap7iXxL0j0a6CinAXRg7I1HdiW4xV5rl
zYxaxHMAr07M5aIHKEfe/TJo9BcBV6XtiEH0SvZuKmmx6Eg7SEhYwrzJ/zeSrRZ8udDgWBWysa0P
DaFaSX1PiZeQnIqO6Q3Si5jZAgN+6Vk34niAl0SEDvoVhz30FFnssVgMYfzricMF6kn/sCFSattN
JFT5K4cghZIJRtRwhtHj4G1aiB4dBWMWgywst4zXo/gNLYuyQ0f/gm5x9KqRVYk14Xxh4rLEWZmx
5RNjiGoRhz/WKUaoAwwFCw+sS/WjQyIFvM4jdMRGtoqQd2XDG6Exmym6DSF7VS6OGP0PBgPE1VjH
dHOha9jyyUMTdvsKG/SMzGwnDBcBZoK+tf7WfHgHVR2/sK6Iom1KAMroevVsyn/I8a91rhiscFde
/YpzkM0tbDKRXV3lQ/G/UucAZ3ExjI/Ovybahyg/KqB5dAfTKctOQfSp69eC9ErJC1dx640DK0iW
K5QjEApG+FgB5w8zw1JPuXLf8EwvIu1VTe6i+Zyid8091qzRRuepotZh5Rmx6jZLfyFBfL7ozKl1
zseAe4vASPaHjFymyTmlQ7kOmHqF9XH23xcqKq7qL46c+zirZANiGdPwxy2oGeETZnTV0BJeKu2s
Ej7jXPukfen7+QYD6wGeM27OgVPsyRx1g/cIsbxuoDtUiGcK+ArUBl0abRJmhh0+MfLgFimDRh11
n4X9ojANwCLzL7R/qnj63Y57Rs9Xg6Ks2CuA6GYVbTVMMOlbSrEh0IELQ0Mu/tNVrMjqRnJiG4e8
L1nclv8aIHM2TwWYMi5qgOpGCL6qXJVttYHgvQoRKg4dRU3oI83cmNWxjwShbfFdq34iYh0T0oiq
6q1sJDFAN6JCzGbTDzs/K86hiPHqOC8qy6nSoHntxhVJ1IxzPvP5W58/jLpdja7FXZCxC7dcFKtz
WwW0JWSAoe8K3eQX0QCEbbp/qRGdalP7U1AzBf3/ApVFy+xScV4N60x2ASgaLhh4IabRIDwd8FG3
ywQ1AlNTy8VG53HtBQ3uOxYfEdAoPfzFGQFUk5opQJ++FeZeZ3OAJNUXV99+d7qDiDhu+7Wok335
rlPbTCySc0yvjW0uZPxpd/+btcjyVsD2HMnsLpEQdrUBxJikljjyQiq3XglefJqeCTCAW2NK7O9p
zAWxSZmmWQ77wokIJEHxx1rzUGtzb3gV1iXsXXbGgPGg6PVrFw1Nly5S8ZPnv5Ma4/yf4A96FZvl
uvhGzXhSovcA9bny4VDSUZ9Vjtei8UX/GUqERSxFt1rFY7YvGnBAxk5tyE3Sj6r8UtlXF6hU1AVD
ukthmOfRTJ8ZqzoaEZHtWtD3CXK8SSNIND6YgZgzERYqmkAH246d/9jF6LXDPxAzMeaICoEa4xj2
+jNk3jgpYt2pO8cy9nFmY7jqqdwNftkzGQxoADWZU0GrHG6a9UNE24S8B549/pe6+TbQ3ZBsy6p+
B7TFYHQ49PdInxGsL43B8M0k1HcjWdwFeH+WvAQE/AQ/9nihQNaVt8jBSMQIxEEVk3SPooT0oD7y
OAI0Rq0FJ3dOd2IC4KeHtH919RhjHqU5QhR9mfM01fwStPC9dLhOiDvvM4SyDqRQL0q+ET/L9tYV
V1EC7uNnThYOcgAsci+NjRUerbZgY848cmloYPaXvfuOnCDKjKXBRnQt/YejAAzUlyrnt+J0Hpzt
l4jhFgyVgGUFR1bsLDMoVME21raBaYE8fg4+4jMInWytWMf8Cp71Ej9CbteeiUWShE7+pRGAP5O/
Ib67Ft1nz6d1R/1a8V+lvxHqRR33abUb/qXg+pxRWZTIReZeli2bVl/Ir0T9QfTVIc/QoF+mCUkH
ezUfSc2JpinqNhqGoY7B3xAyNWhOcf8rzBIQMcaBva0TIq3x3f7kBXvpmVmWULH2XsVQS6QDiLgl
+EjMULZpv0jMU4k6rWynW8ca9RQ5wimMQdSU9WoEre9jD5gpIp25Qf6WIg2Uar619UeIdH9I8uX8
VVKGKXmDjym6NxAC5bpsjmO7UxzmSdv0kSlvrfyePQb8r0TQZawqf5fCy6rBwkyvSugh5ZTsfgwe
gSs+Hae42SHaSZjmFZGO2rwCBKllALnSsXKMyJHI4bti7jz6qFVy9h8j4+iYjjeT5WmK54UuLNN6
VD3UUF6A5T7Be0Cc3ddIE9B07bZxE1zqzJo0hrFBsuWdIpvTZFJZXmTerhFdJjwakni9PVPcUazn
fALgcaRS9QB0zpiWAsPLyO5QPcK93HibDCsruSQkKMoDDQQhD7MQGaO4JNyzY96Ou5EQVgdNJjPM
YWkyuG+Aar62xRreixmvoTVhGxlZwBSbUfd0A93GU8HlftfLc64vCrw9GYkyfhTD7LlzhbYTqohv
/p2ujj5Utq9S9QYWLeyA8b2gzHCJgK6N7xwXadGcrXZbZfcGTcDwV1NrVyWXUf1GmNsL3SLRA4k5
p2f8dEzYh2ritiC1o8mPCYv8mgNbtf9Hi47Gx6Se65o9hb7WpXugm2ZCJzgrpmAtRLgsq2mNXh13
gzEoKGSeOi1QHL2NUefl1VUmbJHktiBjK2Y7C6k3Vf31YFI5nKWOZb/nKhmY6uB1bW4qa2dBZjEf
oM4HJsjtZDOeMi5+FN2/CbxtDR8cxzsROaduWDXmvUTk3zhPR60ovy+xPDTh0aYO1BWXAvsQGGe3
uZg26xV172bPwU6WI520VXwYGoRVlcRtzK04IcsctGIivRm6MiTH1LhWxr+AtYSiPYsZZd/vXCyP
Zvol2pQZXIaA+0hmM/nXkUEnxp+oScEqvtKC0DaYDJRLJ0e9JiS0Yd8O3/J4Q5IRUxiEvJsxKnZM
6TT/kqOHSLBTKfavyyEx0kxW9b1qPQOsMA4QQOYobqCKgW98jWyvreUyC+J7To6bdhnCYzB9IBoI
3Xmi3pgV2WRiKW1SS933drxK81RShcOQ96ZsA4sFM5Nh4tBDqjor9Hx86ynB8m8TM46WF4+ZOl5q
SbZqvFKsxkO92UEiCJmC+xnFMd4tVGaajuQDjrX+TwNNE/UO7s21VmzDgO28lDs1vAT9T4zqXy90
Sopo7ZhsEJS3hoNcw9JqydnLiRRg5k+z+Wijs5pQ+Ho4zbZdeJr8m1PdbeIgrAzVD1jQ/MzADGoy
Ck/a2YYV97cU8xwJZjoSj79QXybEJPlvVn/sMqRDCIJMF6AYSvVI3JR317WWrvyIiPEseVeEskCn
RTybJbBtLkoWfhlbimCT2jsb6m6u6XupsMA2aSx4t6Oro73GIBug6HiNMhH03HhJDbSr0pghA5hE
gGczmNWMal1GFSu2X4dGCJf+i41ogd913OBB5QOvcJVgZuBOQnO7ArRjoVG1PgT4nnDY+tau9N+G
YS9K5Y/9+T2rM1bRFj57LhFiH1RyUSVHAeFqG8vxOV+gf+XI4BV+aB2/troN4l8t/GhZoQ32uG37
XVb1NKGdR9jmutPZS1DLh/guegaDBYkTeQqRu03rz0gJMT+5yyS8FK4DbdC0kaYzodKsbuPo7nZ+
eovPmtkAseVolQumY9NDdWi81Y7I6vRtYjesx18twpoCC0+KCkZk1BtIMRIfxVvh/jndMRpatoSY
2LSAFY67Qtz5FTKG87Xg0BjoyiQDPh/yb9Udp2ZEWQKQn4l4i7FCmuSXAabxXW4qY6j3vfV/t0oW
IL2Y9K2lTT/YkqmlZBXienw09VCvS/Qnlo5PnZu3Y89L2RWL+j2DmYQ/YNg6xKLpmgBLgKNj4NuY
rJdEVOtielrMeSmX5euELMYlHUjT4VxTIiJvjJjjGzouOJ60xKh3CGCWdm1twgkeEmS7srHRS8+z
kUc4gekO7JU0iRPF/613y0q9m0OwIqCQVv458PjrTAc7YuIIQ2usPwgMwDrCYxYTiB6xrUmz/h8m
OMZptX8P/HRZDJY35gn2E3v0pGV8mjhaEzZRzl3Jmckm6x6racrhEaO49yVsTJw+zcD8EbyxgeA/
dHi17S3tGNU5a1eMKz4fM2a4hd1wFNXVu4ImrcIa3vo7u/3m3pKIX3IMDElGeputPkP2X0DRcFXY
q4kUeLTmPjm2iiiu2WQQLF2+4axNx+antCD7Dzk0gxx7EhmDiCLj0F8qzdeoAtoQxkHydmbOrB6W
24SDJjdTOkNMDzyyZdl7QcN8nl1FxHXe8dDkFR5xuW2YoffNV9peCA46kyq+IBL7xcb07SKzMqvx
lFnPGbKguocEHUE/+Zh224WTIHRrYlhPLuESAqmHdIOTxXbDLn/4g9c2N7bq9NnlGDqZT1Wp15BM
5+bjA6MBa51sJhmvQoRGvsbIEidyXLl7J92r4Mus0l23SXguO2ZtqfLpVKP+0gGstb8C1qMSL2bK
ACsyFgbIWiVCVJ/lXowp3e02VnboUFQM6daI2qXDq6xOG4lue8yPCtIRl+GdDsY5638KOvcRjY3W
4fQGDs5lzs8uVq1+hr3nTRUGX1IYbGjPVQL6Or83cN79+eMd+CdilOnmiIBjbJGPnwoE6cSYv0Su
uovUlBSZaJHp6S6ZmK6gFUU/lbcPPoYtWXcwrrhMUBcYmlwr6YHQG8ZrcMyLcsISMxM522WYaIey
Cs7ViPsHm0wLpdOymo3WM/01M0re6kJA5Eaf7bx6ckvtYVNgEBGIGnMWt3pzs7geXY1mt6O7L4OC
uDGFlPp/6ZiML1XbncOANEwYcq7q0sKtYRYt3Tpd0lmsFYMqiU7UZ19EbdW1rMcCKknz4WMt9GtO
0dDpllppHOj/X+OAab0D2eHYQqamiFq6iB+ytlgYtKkKloKU7JuxhVwL080yQMI2zlIxYLZjuAK6
1MK3Ngxlq9D5thwgT6Nft7r73dOk+jzLkdD+TezGuDvYtoqFo5tLduaYbxYqFu7coD0w4vfILJ4B
TabGYrdJdWYWnddgxUF5+dJ1fzb8vqmkcA5KaBHM9aV11vpoOSD7ThDqQHD2Zmc2czzPkD27T+oH
bd2kuza3Vmb0ajPWV0hgTMZfM4TMa/yMJbqPL9MBR9NCvDaio4uqWbGTx2ANH6NyRNg36GgfnYRk
NwiS3TpTiyeJIsja+x4no5A/+RjvO+nO+thlVhSvlv3a5CZknBowdi4hYcD4aa5u9bCdo23kyLc+
3Yo4rAHPoYTT3TjXoumvJmJvnyu75h420Nq1zxqNFWEoMazr9NHb9j6U7iY1amQBnGrpeA4U93cs
Q8h5SJMHJDFVgHPx3rqYNXPqXuBOBAPrJnJJfbZS3fNOYbZt7sLG3vSRzyYdZUMJOo6UB8y7KPMb
nHohbY/4hdW6yCNa11nUwPUIh1qYER3uu268x0yn9Pi7tRm1R+Yf2bJ0TxpgG5adElNfWG/ikSy9
JiCONaJ/OGs8920LfAF3Ry6/JsS8vmxHNjQV/nLQSEFx0zMsN4q5RDGCnz/LfpiVDyVZkelv5To/
bjhLuAhs0fqlYJnIqoB9rbvKGa6NWNj6GkU1DjSrVQgZObd2xe96o6D2NXh5DMYUeZ/dkjnr06dc
I2ev658FR2XZcQafWWOqrN8C4w5SvnQPhUnlUj1c3EER3UuwN1qEMYQB5IL580eEPdyQPvEj9MFs
v8NWsg47uva81Z71RT2q57+x/K4ESFV5SWPEwD1WYM7rORYjH8FUt+BBCALSmNQNtgfnnnY/ovMF
olGGzqrXjbsCH2NCQAWje9mxrU3xq1ncy34K0tMPNxPb7GBe/vJg1PzOKpB+aqg+fEwBra5CVe8R
9opNROyYUtqHKYx28AoJFZtfbrK9wb6e05rgD5+jMkJTL3DsSRfEGVeJKztPmyW2iHLYsxt/tdG+
4Bgt3Wo15c5HFw8p4yx7TeVHEFzMkhVyJxFoFpxpNKqueR0ChgUMficbVRAPo45RdghuNdt1/iLP
5TfJU9uwgQPOc81EFsP8zoFAVDUAztV3QV9Y68setbdZkp2dwc65V+SQ1FgNC4xIZdPBvbRfiux7
MnG1Mt6tDRe3G6loRe1ZeBfsFLq+s4twIGqsh4a09Co80WpabUczomUNVwqL7ULfJ+PVl82+Jk45
rdSjgT1D5MkiNY9+km5CItIh830aXbNLHQMIRks06i6ec+jMW6HqrALRpTKg0bv0n8JWMVYVbh5o
6OmcLLyvec9KE5EXciQdR0zP2DGMxaaX2bbq0M8b4zpFMklmzCqm3rOQNOpOuC5qyFpV+Tl29lti
jYi0fnImkBrgWtvXF1HzkebGMTJZP3NYJW5zI658abD1biudted0Auj2EjKgKFVYCH1+mlXxMYC9
nIEDuLobxA9CcF4dkya5YZvYaEsuU0KDjb3utB5YgSq/DHo7Z478ztnJA/Vspd6GqL1o1DzZZFPU
NevKtbakcb+IpHw0QU9f8YZ3D/RqsrKpWvKyXGmi244UJ27jQ057zlIzharQIW5Rp7rrsK3Fhdz2
1rgXqrMuumxdzl0PzDrKeRJiyA9weDvYkZNOHIFYz2L1nW4LVYrqRQgL1T58DeVTptrZdJEBM9Nr
RhKWrglagJL6MB1vvkpMDh4qfK5bVwF3xtk1cqBFuP4yX3/q2GzZT4Qt2Z/sy3SiYAn387I49/z/
eaHmiqKXF71biwKFhU987pSfIwZbolo5vGKF8tWmF2FFQKPZUpFv2oeAQXAGjuqprBkHVum/IZ68
gmap0fy9G4RrJ8nOfZXtSuAMDh+35IAowBxl1TuKU7qB5saHH6GREojmuna6ifzQCUoQJ2R3TVGl
QCFzamrFzD010j/6dny2W2eZDPRtJCKWmF3Z9kRxtR5Kw4tILEz0yBOIVt1Y9XTN3skQjBptsMpA
QOMmwQRvq/oR2GxevwoKCfcRhdhHfQsJETkOBU1Pxbf5yzLH0cNFjw+/RrbFCnExlPm5x6kpAfJk
PmkNbA19wWqAothmu7G1WB4UxYBWEP8+7bpqq8SV5Ous3jnoWRNMVgXMLBO3O5APKMdrHy6NZcNj
yd4CGtSwirnqGRVxP2VFvHdIpbIreaSQRFHnn0LMLqLLVkHIvkqRG220N3VTrArqckD7yHXrW+Mr
jwr3bcNWYMAAPTEqGVPOYr9dsejvO2YhagBnTlv58FPUrOcdZiu7Mvh/iARb2EayCQRzld7fFWQd
WRakJr4pS2Ale1oN+Q1IP/kMYo13BN9dgY7cwYwqfvzyk/xAP3rTmDhkUl26oBgy4FJuvqEyWof+
9OZaZFsFPXdnupRYvU3juwIUFrDN79XXNFvGKjo/+ISdKBf9RHHoW5fJVBgREEtjAv9BwTFrReyR
IVcGjssAROz2Xsvg1e/kR0PSZpyia0wrXgWkzrAhfOAfFcIK5AYbMSFkTyjF8OuIKNmblvtriO84
p6qWyt01rGOvDeveGDCna6uR0n8IlFfFJZSiaY6N/68df9Nw2XA5RnKuj7S97Sow0D5r8xFN7kqq
f731p5j+TaW/mOf1dfnPsPqFRCYxJCrzWGNXOvQ5SbUCwbc0cJqozAlSflTduOpwyYeUzTHtZMwR
gY1XYYcL1Q3IXosuroY+zL4P648ogWoiTaqmDc3QqxW4GMKw7jIlrt2ETt5fxjXQCqef3m3kTh2m
0VYLjyNOmCIY1oHCYLMUO81otkUS7E32qkP1EPWpHdj8qIwBfV/gyGaNit3BgjSEx+qEA2+jqQrS
DfcKKxDGNuZKSnEUDZtUdAfJ7tiJ8SyEGGd1BzNRRj6Kv7XRemgqktE24y8l9apKqq9pHLY2kxWn
K9fWhCbNbrku+LRHchUAIQBDP4xd+bSdZBc501XqzNDscCuwgecQmDuVeeUU7jt00+pI1KoFksGK
13CY18PwJp3xlaKPCam6il1otQZSCJHDgQjNDP1CggPd2bmwZlTM7xILZuuTnZFXYBYHBkESVSrL
WQTJeqwBva9vo3Vq6ZkTUnpVP/tXQ01/ySPjKlnytQSX1Ew6k6lcZ4V6iZE4tK5OJOpPKB9syde2
gl0CsmNdVqh/590DrJnOgiZn7Cv+tFJjHQUnxppz37ByEZwRPSLffoCyEmhIyuNTXYSvvPSncQre
HDPmntCtbDFoT42pvF4+GTZt7BzwKoKogh1VilhLKX9zAn8Ic94A7v0bizX8bS9A5Bc0H3SCVK/y
hUIfYxEy03MfUGobFoqYDJQRnlpcRgm0+8je59pPKbcVdyPP3N4cnVeNNPYKOHQ68AnMUYZ0Cf40
7Tt3+G1iBvbY22KyWQIyKTXJKQm+d6RucczPpgjXOZvhMcfZOrBY0l7mOJza5jZCzxdE5W82kN1p
0XQldeKN+A5UhtRdQD3C8eMAk9Osfz3jI2WURx8uQgXpoAi1u6rNFE9aaqBxprgjy8VTGi90MPNN
S3eKlsBEHxypvyaCL6mqWC1LrB3wV4VxGdRqPU9hM91q1+Tdzm4ssHUS9sXr0LypeGtDeED+uNNK
6l2Vy76A3cJm8xDwppal+SQZ5IGI8+o3eHOsdD60Q2h64YFG52JHsPBY/DXG0qZQVQjtYUX2oqnM
rXRGBhnDTT8w1qqiHQfO43AEE9nb/8JsXuHyxUwsEIK1M7CMD8lMYEDYV5no2yHvjIo3pPmtdJkv
BeM2Yv3qYuJNo2wnBZu5pmLXnC4aosFqHAeKVW5TjWQ+PKZjT28d2D961j8rjptU0Sm4BPo3w34m
JQJH6us8ljPrhQVYuTfkLYNzksnukkxi5dTBuwTq6OTJfkjrW8fGQB2TrVLxtM35DyV6GSN+8GXu
tf1VTsMxqGwGQsUCwP4q73lVGyKn4PHpw7jq2f7rs0HIdt5EQOM6FLsMUESZIE8x3L8mMUM0qy2w
HftGBGGIp03z02fFcUMUAYLycDqIGKwfn2EuVYK/slXRu8cWr5g6da8Bhfc04puKwf8UQPJyj1dm
aw8S30IzrYmup2Bn+q1Zqqcaz0ZQwWkS/0HCA2HV6OX0Sn2LqitGMze2tkWfo1enJEy05EyKw0X0
30Xy7LtpXwrOx9I8uIbK3fM9h7mYQPkKsdQGLH9gndXG3U/DuLWLEpicq636hrFSgGVfdi5ZAegU
1QYqUXpqoCy4iYvtgbK5LO96hqAlC9cqEXt1jDTCYX7atHvDtrhCJEkmLYUaTYOJYtXvstditDaW
iuDXAkBUmrsgfao+UpQ5RYQohNZ27zm4pLIf8RDMi74KCyITKRRc0jC9WD/2k/WUVbOpDePUhc7a
YOdoZsFCU4tdaQ+eqJp92uTIgJCYMbL8V/rpvi95DudLsK/xDieeINTKGFmI2JbXF9Wzj79k+j01
wE3K3APwzTHElinrPGOSu1Ttt2E8XfyiWLnontkCMfmOF2LC9oWz2ZgOBjMwv7VXXMzom1LYRsRc
ap+NS7a6u3Sgk5aqfdJr9iSxummRq6TJMfS5TGRHfu8vDwWGHtLzoBgPEy0UdEbS3bmDzZOMwFRC
cu+kue1dWIosYXKIIaVmo81hbDjGOmdsf3PY+fdkswRhuNbJWsIsIey5a5hdrrCms3MaFKxEWAAG
pNmqeY+7zD2CpGm6/OojHuSuvY91u+wz7ASmZDdC6VsBDJqU75SuVEeGKWR5SAJnHUXWj+zRbKj1
RhMTB+LKie5zDxKp9Tv9FmuEhGVbi5Lks0AZNyD2ntR+V4QVEuM/2aDIt/FqzlKEBu2LVnTnVMWe
oqlnw3bWZlXg5Bp2gwlyPw5IgmD7rdjasXL9rW/YK7Orb4pmYZyD3MFE1R4lhrSTRTL45KxbDazd
R6Z1q6TgMEWpmDAx7DQstflG1ihhKbnNsvpO+88KiXTmfpmMttt8enUn1tt2viY8jhTnJPmMuZGD
cMSUMwT7oGdAGzXflhXcC9bvy8Rqsfj4LOCF1s82pBgDtGo+7e7sFNlRuvFiSO/2bKnHlOiEB7VM
dikO4Y4NEBAEJmy8a33P+WjdZ9JJBucvjjZ5+Z5M0d5urgKCTBiPR8we6xJPg2sN5ySasHT+x9F5
LbeKRFH0i7oKmvxqZcmSLTn7hXK6ZBpo8tfPYt5mamp8fSXoPmHvtXECIBq37AHTt16lI+XfAhYY
/I8KyYDVDc/TVJy8QT5JYraMqHq1Y2Zko7tp0QPdTQY8QaCu7oAaksIydIrF8T/f4ngGplHcTK9G
y1j9iTpk2TcwJ0p/TK0o/wYeuq5zwOak4zsqO9KQIuZCOvEZdthNSAxVuEsTgpRIs/SAV6gq2xlo
Ueb6Uk/l1TLJuEJ9UqbFYyDhEHjnLErAV+mC+LtMUIzY91XyG5Ue3SyivpgtTe3kWyZ4xxGHZK8A
udTmW1wwxZz0ojYGggHx1s4KQjCQ8o+/nc00HVrdxgi7ozG5TH+qXTZFGOIBgbfyXGv8QoFah0Mk
0dFQpc3BOS77m40EOOVoE0Z7iXz3WmXJxTOmrcyc/VB23J8dDguP+JoHR73M4aOYKGdG76H1Taz/
uAiK6poq6zTF+uDj3prRGGspHoXvYZVkMEzUpdV3DxnE6SaGyR/MwWGKkDVagK2XmTPZC5nAgkk3
JZruHEFWThZaIJA8iNFc1MUpG41V078HebuLHK5I6HGD16xaUhETjiH+PJZMiLjj/LQY0evKgOwr
d9TnC+Lb5OiKdllXHBzhXASX9RBFPPVEnYORSgqAkmQEOSOd4aJX55JPLfS8BoNJtBLjTIEXOytd
LFpytHNWynixxczOAW5Gh9r4nQiNkOzV8tQ4BFBQMoDF8GdI77YOnZz2teBHFhKTBfozB/5F6AHs
nWLQX8M19vzoqnT3DxHeXifOS1wnmukCvRimXPSpAwpHqL2dVK/+EuudItbskFGlSx+Me6kNhgcq
P7QWmMucgLOLj/Urp0/Ti9tFsNfITftTiva+D8NnofQfR8nD1DiXKVX/bA9VUIk206BXdGcIUhl7
U0VGfO8HkkGPZFjZ0TcW3BCgVEHbejP3tp9YvNDdt1oE2LrA/ihD99RlFYBdH+diXMcvDJLXkYrw
ZgELvuNOu+sqjEPJZ2++N9NTXc27PszY0xGUOqjDEt1ET3lnWfHW86a/Nmo49ShV66Ym0hMqullS
HXOf9JDQIZGjgdH0gHNC2ExaHMwqf268N2nxxDQUD5btAVSGjxRCZfKQiIyahNqBzlX4bMOTxr9l
AlCeTI89Z9UE28EbopOdW5eCwB0wTTZqdn7zBBBfH9UfUyVf7YA4bNp9UXiHvLVBkMCuDE1nV/hi
zwBzRY29d6BSpb6xExTCjPe2gxye01Iu6z0cDBi6OHFFro9JOrHAcBk2les2Yp+Zt0+aBd825s0v
h2E7cZRGSA8mbV80QPzWU19dOxxNl1a7cNZzXp0LuHkWy99S/AvVc0YUHuNZfNqYdGRJzO+MwIfY
I5ovBoa4+W3UnqIF24ibs0xxdFbpc0eOj6MUYa3lMYuHvV9/D9T5nZ5Xff/kUtvQreAsR/jWZrcK
/xaeVEA0r74a39WMFmgg8tx5ouv9UHj6ElPuLKzJIq+Y9mi4x7h7IriS3NdiASrQYfXJfdQiJUsX
4cd6ANQZ2uSBue29jqpblg5PbmneRAl1eLaAkoB7NNznMR++nKjbV9Pexx5ZN2JdddSADukbIvyo
tLua2c36DByMAbMnY6p0MpElTHzTrcm0If9NhE8s0uITMJJfgshv/YT/vDP9l6HqPzXcsrtYL4B0
8wSLk1Ypgms0l9YN4ezNS5HEixFHn0OJYqJXqywXfJWPe8v4rHFI53yABX5YZY4w32Y8OHX1qN3s
aJJuJL3wBwL8PYt4uL/RLcAc0tl8m+VwrS3vsbaIWyHTSCKqRiFy5WIYmWQx0RIoX5PioXDUzWSu
l05aMCkPd3ajTk5J2mdFe6iQRiMzcUTw2Vhoqw3jWbTm2bdwsA1RS8BRsrPQxMyWfbFLfxfF6U4H
SImQ6zgDlVYqn4H4QzKCTcbE5jIaTDZLl8Ohi9l9GAk1BMwbqZuntLa3puG/qJrGps3GbdNF1Ig2
qjKyVgrnM0ARgLfrL6E8IX7k6naxi4l2wv0Mc71ITYdaAQlLJAh7DwFUR0vuUJcYS/I2tBFqI9o/
1b6YOnq0g/5poAlloAl6UQKGGxUydshpfPY7DaSpZXBHL/xQIAQxspgppr4P+KorUcx3Y0Agnh8p
usN8Z7btxqWm1am4MrUgIrCHLYwVcBrelKZnxhje0+AnsgeyRNmXORyKbRrTswxv9Jp/dKj4hFCY
1RXDsRpiPgp5Jo/M6D37tWZdkeO7zEf9K3t2n5IclXpejTlK8mi8l+w6BfxiPhya5eIwxePWLYON
YTt4DL1NHPgEUwOrgDJr0q4gkl7PEABEJ9cu3h8PyquNVMVl3NUl3tPQ5/268JdYMLQqVfCuLHCB
lB2u1uyfmi9uWHdVxP6hM2v6C5ziyRik+NcXJDVt8QLS1pHx1Ododiv3ghOP8NsQP5kCjPFPdzCy
yveyrSjZrPvGnk66ck+Vni9VkV+LPtuFBdwx2diHxHqOYQFZLUJYl8EFEnSbbexqaiQCBU+6eyYj
jzq2VmqZMwbVmYX3X16BwfXAbqmEZLhi7s4oOdHYF+mljkGolwQA5MJnT4XwVXF2bmZtP3mcs3Go
kFVWeEaxJGO4K1IIVQo1dOo1J9G0117pC0F324pSAmiU9V7lyCWqtGNDL7KVanz8uC58DblRfU2f
apVP7sC0dagemIpd8LtgFDBfG9kZaLI41r2O3kmlLr1k8dVabkXGhc++1qiPjujf1FR+B+mwnkv3
1FrJjRE3MyXwLCRMAveNtrjff/qAtX1bE8aoeQ0xa/MPHkQEx1PvspqPUZf9lVFBmJk4ZWjTncrl
UUiudo/0n//I8oKJVKvDrekxKiqik0NJlPrIEmvBAiJm+K7xJXJAEjMiobrNZAXrjIWTgSUtiilp
fUoxhSvbrMPvrijv0ffvG3IMIgs5rIz/jGx4rCTgXyXmnZmhYA4m+zn25VfvgM9MkXNNlGlx76FS
pJIGNT41zGPIkfJmN7gbOyadJayY0unStW/Mh8EaiKDGVOZoFg0BfGL8PCFWtbotLzKszu5Y/Mu8
nqxv8LEqqjaZbAn2c+ptORAvJtJjQSwx1406UqfiakD6YfqHkp7GbT5ytIF6jh4aA761BwmL+ZaZ
k1qfByvbS5/rzNgR9EuBD+3ZJq271s0zq8ONhOFNuBKupNh4LNglzna3FibyINO9SIP6Uk1YSmR9
4MNDRCY2w+KMyjq9Zbx0GmZ5CRPkMhSsTdmfpWE9qYQDvyjPcRZsi9L4lwl0PTVqIN8lZF3qCFd4
tQ2gGSK5wStqslujRhl8dEQeGlWmWRIRW351EJbdTexDC49FG9M8BIh47+f5efQgB+pIYMQ3/O1M
dT0ilDLT5OR5rKMyNn+GWSMoHp+Spr2kwZMp80Nk9KcksX/IC9soNz1VBhdybZxly+rbIsjKQx8H
nDKqwtXoVx9xED/X0YQqzbnPAvb0Ewt1Ym/RnAAoQBxul++FNz8vH5UagL8ZastrgD0Waw9rq4zR
ZRSNGG2jf00IaKES6qET/UOMyVIEXBGpdXagOKf9vEvjgA5GYnqJ//UK3La0LQuD30jNhhYnVpdR
OM+aPZboWJZInIWjD3kEDcWdynNm3T59Ui/RI1BogV6Tp8k0dlaHYmgiAM7mJolb59pNGdcUsJTR
uBHSe1f2zpq9+d7NSWmjTr4rieoszQ5gOlUMCvK+M9/CAIE++2QiqgO8driVIA0XbnMxHAYbCrNb
6NDfjtTpmK6JUmyddVxhRpmS4l4bGKFbB3Ve22OELBcBrI6Ps++9FCmBdlg0F48TIpWDxuHTGOZ7
bY7PnbsoV1S4M4J50w/9p+cK/ux453nxJYe3i27RXDe4uuD13ETH8l279lMZ1vt2hr9lRke309eZ
z105qFIKYNCxHSPR+PEd0FfJ9ORYPnWXLFns5S9dxcjVDSjZhoc80JyA5bWjV3MBw1lh+dRF6bPh
xsepm1+KWbCIwn9TZU8F2ARlA79gdc0WhpEy2DoD4D1xc9g5ATBgHRmiA8GENLiwZNBn9TcHuz9d
19aPFqq72vups7GG/OwQGi0DoHlGF3z69CCCQz7unAACHCrNcfjR/htnxrsZdk+mz4CYgBDHfLJn
d5UouvBB3DqgSBOlqeM2Vx8Hk1vKd3cKHmNGbgWh4DVdCgqAg2yuYGaxTzQby37JwKdw9cCpYl2E
NlBO4jKPiCl6npiq8F4Slkcu1hTXrv+QaL3FXopv88UZ5BWXzp/FSaySJ7bVlzp1Ds4I1z/5cHLe
T+QgyuHmrSEH28O9WaB/SUp9Mq3xTIgh7tIX28zZcCboyzK3u0+9JeYFlXiUkCdAellgMGy3EYGq
6bsO2QDhbbWgtQhMgWyAH8eJh8pzV6N6FY7GdZfTS4OLq+Whl+EhEr8KPmDbqv3kAkWXnaZYhQIx
a77dFlZb77/U6n3M+Iii6TXpUUczJTUBsaicBGXMpaPNYEvF5IwQ3DRxi3czjrqggE4ELyQrAWGA
il52DfNHkiL3CN0/x+SsLAFYZaACCRQEjO7buMGMr4ZueMDjng0TsdPdvcpAjbfBGcPjJRzcT4tr
oRrku1+Xdw0ch8FPXybTJq39Z2jUixcBuB5aWJnIgdkVmWW/E/icvOTenHscSFjJrAAFRJYrZqb5
UZmCEVWw0MU2FcFYfk4giEs4zJieUwNkhGiMvXA7UIusMhKCQscQEtRMpQqX+iFtUKM5fnIdIn1x
IiSkZueQjtwRzckOnh0MqpadTPQpwV3r2T/zsmxx3Qd8G9Rn3/Xo/mZ++zCrZUyNwiCPnYCOCK9T
zTxlGH4mxM2zR8R5Iuxr5Tds06d1CBnCYk0CY1qze7XwBrV18qurEqkkX3nQTRdSN7YjcjWm/YcJ
6XWbkJzAI2K0/huo+HfRkIuFL0wh7yycYBX0IFVLzX1RTO793KO1bUv29G25Qz1lrJuJ1UnKJrpE
xH3XWKrEvwFmOisSzsMS5A3sdiG+82hCehiEe2/q9kbSngKDg1kK0qOLeXwQYw7uSFOpFT/Cd437
smJj5g6YgVWJXjSLyA/sA03mYIV1w9Dze2tYtybXh6rDQSspcBv9D9PGLa5YszJzJ+gpQMuTNz0x
DCpAztLvsITimcrlnz1hWJs88dmgiKcEdIu75eHw6XNQPCBbGIGJlD3DTdNifsAxeZtLTWygd4+o
BP9BnDw0C1LMrNmAGcPF7qub1TFqZywA2qE9DSPkkKGQR24b+pQJEfXgsmcYZHYBOuYBkADdPhfz
t1DVgyz9W5UymK9rfmfUf9e0qO5lVO7tinBrT19tJz4KstSdNnvVIBkGrEQFUWtIA4IPh2lYQ8mu
BwHwK6FP9m3IwLnrYjXDeU+23xLVYMJ8s1o+97SGDjAZ1WHOEaELTyHLt86JUTwFUf0VoJIfPANT
hIWnDgyXC8CLOC3XIjs4T2gyzPwXDPF6zv75mq9U+EcAZbdxKL+YHjwSBLFPcy7nPv2BiWRtO89G
bgbYjx0So23uk4BFRZI7h5TL+24IvmwgzQ6kggaTludUv65tvnfZfGQSeXXGahe18XPlz9tAjiSq
CuZdUe9jT4uOWW5QEQmc6iCqCBNZhWn77NT6yXKKh1oBoaRaRZVCaDHKsXQmih1TwIjeI+D6zKT9
mfbRus6dp7RB+TxRKUxgodJsQFmHMnU0yc7zyT40sYj6sn6WSfCSS+jUfhU824b1QsTD38CoY9Q+
5FRoEV58AOJx7049HDO/OzaOcRh5+aO8uI+q5sxqauMb+Fw9cRlCf+WbuM+Ndh8mcO9Szm8Kayyp
tNGu/Z7bwE7aiXA0DvkqLBhAOxi50dyZbgIRL8U2bUFADCvy2EW4z1R8kkb2MEnzLSuJh9PmlvgD
iFQLDhGMq+UxBXaRGVR9cwk6jKrgAxMzXQ/egwkPcWT+48gliMForl2gdlz523h0D411HBzHBDSS
22fXhNhWxo9ER0+rnqyqtuy2cszJ1GKqiTLVnNCgOShwh7EhU2JKt5PlEECjN2Ne31sZa2/+miS0
xo9dDssytIwN5s+MCC8Yl3Kkc4gGENpzt2C7CEErmDHPAxiY2mDwSb0yITiflHi2UPhMZnrfaLDF
ZYTYQlALVmQjO3SAazlB78vEfOwb8+ak86E0Sd6ZTNQ2OmuIyXR++s6/tE33PJogWHVpfEhtvfsF
fWC9QMIHlKWuwvMV6IwjtULxPSZqr8t52ygWtjIp9iFmwrGI7O3QuPO6iOOX1pc43jjmJZyGcHxJ
p/zF0uSJsKvnEPLFQpvhlNKqOzix9Tmk9GQgfx8SqvKtOQTbmYPIFTZVAEQn5hJqo/AX3Gkz+1aR
+/P/lF/O74lFZmw0i39R4D5XRqA3SmAtJQbz4OfjiZi+c5bMX74RInKZ/Re/wKveNvGRfNXdCJmU
mw8T1AjlTMXeW+dPn9UcXZnx7XJSI+uh28f0aggruydIRyEY03DdleUIix7mkYFpWVnVzXaLF1H0
3OjT+Gm2Xr5fkub7ZjBQXQ2HqOEwHfylt06RdrQjMy3IxWxeGOUWWYFJ0ajQzC30unJeVTLctPbw
rIoU83gKK6Jv2TvZJYbCuLBu1MRLzlz1VLgOe1vkTNo6JYP/1k9YHMMsG5ZoNc621nxqdMsXGMMS
q6Ly7Gb+xc4HZ0VBQVTHOLCsmPDJgNY0DDa0Xk8XkS4m2Noyb3FQNveDD2ScP/lnsNjt1r776vbs
J82B+rWl078TgXotYFAEA0QBPfIhGEI0W5N01iDLCUMe2l9RYMcecMAA6AFk43f1NyqR58SY7LWo
RyiO8ib64bNMKzRgJv22HcX7aMgYJpWnJkZ2kaByn8koLB66sP6xbUqYTOL8DtRw1qbzwYP6TZWr
WfzUoJH41Wgp+FpHf8KB4AAZrBKmf5AQnhO78y4OUnj8U7ng+s/BoXlpiKosAeokcw+Cc2f0xvBQ
mDG1+xjG7A4ZoycFuJSy3JVMe5Mk+9eDmhPkeRVdRxYDuUGAMo2KBZMH8dkni/scqVeSHzeOHxx1
/90wvQgZ3GKnTUKelvQTiD3bppQl5SeImWtELndQ0r/OHL2C7r3rNEucksckirZlhYU5V2ejm748
EtAyrwIw37GnewhM4zLqYWt06kGkuFfQH0V8Yfycp0C3j0bt3EHKr/S00r15nab+5HoDlOkvyFlr
Y5FusMSepfdlR8U98cG7ClN8T7bAgPB27ZA2cdSxWexqtHSkjrbfja7/KIpx+FlksvT4yTZdAqtS
x7o8jrXLehQgkx909WnEzfnYmwhMbA2ejJkSAgjg4k3lTkevzdNb7dYVBmKFJisnvzR6zGbwuOD8
24ppLaEELuGx3QLvGDlgWlwrLg1nbAQ3owzxACv5r5jZeWWwPRrIKECu8BxNNwvJGUotVqt8pPcj
3Yx/qRbJ/Senj1HsCoAzzbs7rLv60s4Xs13kJzQRzj4l+DxDpbQCq9enOy8XG0imq7R/Aukfs0mX
bFPql9k7OPrd8g+1InahUBu/Kdeh+lIR/FGxlQC0R5KgvGgPbHJtZsUm1PABgjXC4QErMAk/nffo
D9cOlYL+xJXJroStz101vGJKZQCZtFv4aFV3BmllKRDv+5l13BKdsbD/eYYQvO4lHgFWp3H5ZE0s
UFGpLikJl6Lf0bTj+c1QhZTRWwQNO3TRY99GvfE7OGiwe2ZAC/B8VI5nFhlncqFgzOn3Lec8VV8J
3qo4DGg3/wngkwQKMA76i/AS9X2xStHXuVbywGiTV5aun9PUY88X8PhaUbpKG9bkgmui5d0V7SVH
9ufiOEz4MxNsAiBRULMx9AW7+dWz2yKdsL23GmjF6lAHfB7Qpz9j69iKNzb1RIKJ8GRdMY6u2V4z
fyd7ldX9Snq7AuKpHUMFxhQYHRRIcxg4ydvkuvuxQYh2Jz/5esyaAGR/oxBc0sKhhT+NTMZtLlFW
fHRaKnlYlv91/VqRHBCzmWbLqIjsVdSHhGUAemfXdsjLTWKjTqJeofHG3cKl0y+D51WJytcoXmE6
m7wLRJb5zUccH3mMu3bH5ITkM6c/jv0Wzc9dwwYtvhPUSmX1t3y2+lSV9465wLRU9VGmB6t91FBC
OuwbCROuVT2yHqlWXnnu88fYHFdosMy/hoEu6ANpPRByYXTf44zm46KHa2ZtbblzIoOEsh1Nxp35
69HEuwyFTW+vmm2PjiddtjxIlLOLV97wuQUABWlpY7ivJYEXmh/9lqFnaJPjsqfHvIp8tnRe6/Y2
1X9Vhplk/KtIPfBpLALmPUSLNXyFWXVo0wudWYMtIQwQHoDSB31Zlnc28xf6HWQnxSmdhpsJh1El
4ujSFOCQ4RrEnHDy+Y3mpzo/lQFSUloG4EE1fw/4BB5+YfcNM/1s3xofxsGrxgYpNlVwEN2haX+6
/GHWt9k6Yf9AHspbEVG93YA9EadQMHMT9dqcOIND2KMzzMT8WRJAAeqDBSLTI4w/HnCLL8wNOn6l
Il7m4PN+sDdJtB4Vgu/93O7GiEqmR519N1TGHSYVulT07rtFmMXWI3e5G3j6yoS5MvJFuZaaWf4N
BoQFvbz/CtMn1zsVpsSvaO/LBZlhl7hguo3P5lJf+vRD5PluXqD8ZndHUAdaGan/t7Uusbx034U4
V3Cg6uDcLI8f8xR3bap/lnFN1M0YP/BIFjhWUSIAY9txqBPykcVfWb2vrRfmgg4HyWjzLIEIyB75
t7Xr4X9RCB1p4LB2ZGcjgRDb3Bch+etrg7VSRafs9v420KhRNiYKU/Hl9OFTIXedww/A4jfZAK6p
OnDdsXi6S6bLxFKKNmyjY0R0Pbj06gm/7bo2cGDYLJESsqY8Mhx3zvgBiWQLMGDl436LHAoYl17y
sXGuKtlEwS4FwjDLqzUeeqYe85LUpl9CVLLt3HB/7l2xLD0+uHjj7Cv2t/UIX7B61farQuAlnots
oUngcVgVfnVXRy5t8Dc0tKTfpoA/3fbkcscsRDNiZdE7WHsIH+TXSLGR8MEkkAh6xykBswKf39+3
6pLIt4R5goQtk+UX1mIoTI5ihmVqPHRcyGNH0pW97tsfcKF2exrjMwvsTKFS2nQDAviE5cyq5Qkt
rjG6a65HGfw24308/WrrC2RqjTZXMWnJxvtc3YZBoqzdp4sTdjzWE7C9+DJ2zTWq7qthXpHotstS
YPqwGMNzm7xF8W+Ap2FMPyJeK46tHtiEUd13cgdsoI9f0PPYD6nzSMpNwN8cCFCgtib+wojPp7He
LPOfQSUzrwPrnRbWhpotT8b4AFkSzUExbqccj8zjgCJw4DjiFSPacsreZMS4kOS38dErqWn5RLJD
TVtFqkiuIdi8NcuFweSX2ehdxvOtwi013sEhaijeV0h0pks9vJiM451vgUEr7sgtfYKAf2c1C7wg
B9hQBddIP5bT1qFiDwHXwQ+23jXxTSzIG4nSExG5c8TlUjT3DQpAAQAQGGnX7nOsycUccKwfY/PU
Oj+N+PTEoScOIyXfzrHZvGzMT40zxkDdqA9m8muCkemKq9CvnrDoeAHXOFweuF3YvZa8FTbBmXF7
0OTDChG8ZRNhG8Ay03nvuWCjGdJSOsfR2rRfUwWH4Nj4ejNYr7mQiMsOpfve6seKrBLjvURiE9Ke
N4SvoUnridKZFh7E/YgIErd8KUlwuTlJtragW7rhUfDywgqiUVtbXDB5dwklmiiGXRwtxVYGzU6X
gOx54pLbIq3g8ZSRhTFhv7CkOjiOjAGxp1cDkma8DoCOi2NNTy7jD+LVVH70AHKm6S0NXioTFZfx
IvtlZMX0Ng6IXLkaIB5Yo8Mv2LNH4uD9dIwcmJaFiv/cJM9j8e4Fr13DWmhvsZTzOcicgXt3+HSY
pBeg97F20O1UFJVnN68QIHVrQuG2rd+sECNyMkC1nO67qWcbU+3ajG3o1giig7am7cTklq6UVv9d
8Rw24x5k+27WxW4oL7aNedi6+KWz1wIIuLVvbYQ7wObTve29L7z9FHod+rHGezezZIN8caVRw+LG
nQlT9BU7y+7H9C8OFhjk6QycUM1j8eX+wyHVAD0Ag9b5TyL6aiWOLYyYQQKBY8QB3AAoxHm9iKHc
4dWD4zTE3l6q+qbM+DMkMcevJQ/PYjRD24SOwEQy7vuEILELDpXCHy/vdBec2XISbzEeRS2e2p5B
eYCbI1/8GombHOBe7GKS58wEZTGQFIi8Hyh2af0K+KBGCd5WhQ5nt7N22G0YxMDHXD35kG8adzGl
EX01ukZ1Vo2S0ClD9CxB9ow+BBAvMKjCkKvEC/btIi8q4/gJzTJ7U7QeVoIDNvB2E5wGfOf6ZDhA
6caFeyBYGK/q0No5obfL/ZBAszD9Q991qxQPkN/m0aFz6uepRuoWMBV+7BwdHmQMF3iKAgLtq7FY
i6Sr3tK2xrA1QWdH3DpRawVd8j0G/09AoI/UU3A/BN5htKqFfzhjsHZ4AyybN7oiP0I7cwwNvnMO
USkePS/K9mHR1cfOQ7Q26RIhqWOcVe2++aY5gizikRuKihFb5Jqc4vDLIQ7oi8+ve5cN7htRySwZ
vcHeuqMTviJzYLFgtSBUR3ayEBCZ33jHuYDqj06Sem4eL4HAsFNUlrd8mo+DsruTIaJ65dnET3kD
NnpXmheGvPRT8znH6xBYDdXGMJ0SCr28kJhl/AcrYJAYU1qtZIOfmsXivsJK3KbGl2Xhouy4PxAO
0KFWK6OR7rqoWdQoth+FzSsrk25gkA9dpAP65xKeAmYgU9Ox9MF0Ts6PL9CpA8vkmm3xiuva2o3S
sfZN1OzHZIkmSo+O4wEiCkasFTZ/n7roL6OVvSUMT/D6+oeZZmdCoD+ZNTs8nGHTQj3kqtVsyJUP
eLLpliyDjCVVBaXRcF1yLMglwCDlY1qZgMaHcfoPNS6pwKS4ds5NksQpUkjMSQvCrCRlbUJQ7nQM
T9RHYvu3Hu1fjAVhrft+11beXzlnP1HNfoTfjY3OCP1Ei68xxt5nsyQoW+OrbRd7uPiVafQXW+JF
OeBQAkp7S5xzcr86tAJaNgDv1Dm1k0Mb842L4lL4MWiNmDRKzrjZOrQU9rntvyLeQfoYlGf2W5IN
O46etjjgONz2Hm25H+1T8MBJip+aZDbb1Zg69dHy9M4yjNdiQCuJ/AfxWbJOG8COLQaK2cVb4pYX
mmOIcG56LRoSzLP2OdH0SzqAsQJxUGgaGPmZh6IFjWLiRm9DzyIx2PSgFchd70+D8QeTZsSg4ejS
Gb4NK7HdryhDlvpr9l3dsVsD/W8ZJGPlBsGPA4YGSJ6WyDNWEaXqS4ou5aoyk9uosRU3SSvqGcwS
1zOr2diqchZcOgClxDCDoBXyEj3KR7x+UVwJ+RAr3wEK3BYh6MKVVZaBTb6khqzBfeo1FVpY8uYb
xllcaSpn+DUXiwi7kXxtdwDvGiKPscs2NivNmd3095TQ6PwzUF4S4uDNWhIgZYs+7N9D/t9lNBCY
Uefd6t4rYHUVac7OCu1v2FE0iGKq/I84dBEyMATz4vqBXreHI6p8nXE2eEColiVPx1dlrzNbtDT8
wEVpGlp2EsxE5tlkHMRUSXKvqJ4F5WnIir7M17VXOAOlR0Shf9YW0d+g2rzeqlbajUipGOLAPjrZ
kBbcQgM7irX2rQIWHQ66mMxixLUlLWmGnDH/1AEj5mlVGrFiPJYhXwq/Q4d9RLHBTGczy0/IGuZm
Krok77x1lI+hJozICZHnAvuICAtQcTg7NULBfrD2YCcV/YAXVuRrrDyfrWDBg4e8E6ZCGwCCraZR
/ZtracpPZUH5QC9npHE2oaZseijddj4HnnmPwGxMPnzwYUQnilHFGAHLII4iAcA4slkJGmE85n9N
V7sw+7WRRuPZyPpMPthTFy5Nd1r7FJ45PwnxcjY7S0hJNLpN9ZmlCPlQp7gR0upy8pD0q1kMrL3J
eGBiemdL03fYuQ1FukjaEy99yiycdHgnfDAR3QZ/WzDRxSdTMcFTMX0biGAk6xRYLkVOfPGCKgQZ
3QdGxgp05PBg+ucnzb/RTXNyUEWjJuBycWROiFSddrKIy/AzTr9hA3Hed589S+JCYjfgJzbBsNbk
B9aq7duCYqEMclvMKA2KanzwPOpLZAem6WCuR/+a59s8nma+PXzwXjg+22WVL3NfZ/TD97ZPEwx3
ENym5Dfx/BQrquZm7X5cFJUYzTg72sPUi2nxsuqgMVmo6YjacOPF2DnigbB7lpMefklmhLLvM41c
g21pIvdtiZ18OHpSKFK0pjj12CZ3wk0AMBbQWDIJPd4KLHJhDC1Nse2CSo2vDnYOrLSpnWYuOiSr
8jxKmxHlqUABHhDDhhYo4ZSXcxOOcbSvyzzswQ9FbY96WrOkQZ/oVma84Vds/L2s55p1S+uKRctT
YEKNepAmC44/QmAFmKcrG5pSjD+KsrFtmx6yXoMWn72QJ4PptfB1pMWp1F1ajhsthsjXZ8Ny8sJd
d3HUaOw6ubVgQcMpt6uv3u+iOQH4pGv7Q2a9RupqGkZhMCEGMZjZa964iEEI4oK29zfyP87OZLlx
5VrXr+Lw+CAukMhEAieO70AkRbWlkqqvCaJa9H2Pp78ftM9AhBhk6NqOGnjblUQ2K1eu9TdRHYkP
jfD9tNtVflOY9mOKsjgYTgN6QPfXorrfZR9yh45j/kc2RgDeNmaHzIjqm1FOTaENIzf9IX2ZWPdB
EsqKOm+hcvBhQwULGg0cq5BQ/SdDZ97i6Ns43Wc/GRIx7ZN6EN4IXKQKQR+TNvTUzEpIf5LIbJTO
g+/VUtyYWZXjpChYyo+j3Rc8aeGe8dEa6C29xKAJ2AxZFAfVV1BC7LRNBUCwv/dBv4A/a5NLpF70
x8BUWCSNkj7oY2iGGFlMs87pyPUClWRiKMglb/KWFDPsqP+BHstu884F9Q7Mzu3/CJkqvD41brPj
l6kZS5x6vXYSPJK6uaqtv7TTg/meb2MrxHOQRI+oPBbyzlbWUjVAfYQLPDbjOdmHaWTZd2qsudYr
wjg8w9jhPVS1vLF21Bfd+N6Q7lIJrGvPuOvpys7XSBy3qBnyf54+zG2UPrHEUXwbebXqf2pLjPO1
WUQpCl2hBWEJpXPHf5woLGjwEK2VX9lzl3kIi7S51+1lkJqopqUGD1w9ZxGKi2UbOtRbx9itniCT
GagcukVuRhTD5rrqrwBGei3atDHEIajyNDo+N23ewCs1wD16OwqmMtzKtp5dk4sEetx3by6pnrKF
bWoMwgbtTUVimuO/WmXZAAMqCqL6A7jgjEri5Bu4RwUicauvQyMjsmnWyKAWUgfzAF8y9X1QLEEe
DBF9I3AKV9mIvzkU8mJm71DHXPB1ui1IaLBzU2nMCP5cpP1NgjqNb+Hp2lMhQ9w5aHx69KnpjPfa
o5Z9w6EoHXoXfQ2LlxQbXB/Z1aSmX0bV4wIfeMbnGuQeIL047mZ9a8g8kXQfkjyNkU7yxgBM8zhO
CN2jyYB+2y6I/IoOaYkGEFt62kk6eKhZBkj8uenMq7HwpjIKQY24gYfYSIUtRTFq6Tc4q0sD0das
jroIkEjRp8gRpU6Y7EfLpf+dKYLZpY0Tl9670DmMn2OXBFThBlrn+zbHJfDOCAuo+HY2YT3CTQSC
081LhCw1Ihb+neFJ+uam6XbhLw+WeEf7Jez9fWUEYroFlNU3n7ASSSB31UmOsh5UxhGclC18gofB
9fx+SjKJ9JKFESjFqyLJiXKlSDC7DtvfNhv6XjRVYf0O86Ym06qVyCje2KozO0Sb3CK7rKQJGcyI
QZnQluMZdj97yA68b/rGtW7LwRiIF+zZ6jq3q0reVsHsl1Q5Aqud/vh+TZMysueJkkzO5bgVrsGJ
qv22AWWYtLLGJqQllzXknMefwjrL208c1SLeDI2BY5sbWd3wjog9xTcAKXxi9ajG+a5tOePWqMtg
27Qa2is0le5jXkuUfRI3GQWGPC6CZKPrRBgQ0gHCF7cLC/aegbirKm+GccD8NaMfFd7RHO1aCIMF
6uWgFgHnOImKhhtbkSlejErq8N7MK9o0AyXLflf3dPUvpW+avy3pzMvd1rvyveX7Cdj6sgfLg56a
E/DYKy0MioacimZrZrX+MUcigfWR66F/pAibevtMag2SVeuW2FQnLqi2wvCG9BoFt07uFIdFbhJV
EhaH0S4U27BAOLEStUD3fkoSEjevFb9Cp+5/917R8nNCG08Aa+o9NF3ywXrHx8QPUsiwwg6KIL81
2oG+yaTB2mHBVhsx+IwhoZieoD1EvXA2KM/JFg3iCeA+dkGhh3uvALV1oYcZimxqasCAEyXS6cJz
CgV8o7UrKGZFObhLgdSJ30mdjWpTIgqNlWfrtD+TRkpafQhELd4cbpZSDLJib+9WHZg0g9649SQi
MYJTcBJPPs3RTJfVsoBOPSSIsDyI0o+/wRdBXMVu4wBl+iqbQHQIbGQU2PHvlVNPj9p3IV1ZTRLc
aF9T7Q4IKEDWwOZT57WrAlelQOO6XhXIcftwa38WjUjSzSiKnD+nfvoNNJ4EowF6n1zGEPO+mcJX
PzxrhLhPYxm/3aQaIqglAYEKWQLR/USUzEVIIwsBlE4Ukr5OtFWfUEesfkVpicmOKvMQTl0dFcDM
SC0R2Jdxh64OiE8Me6UT4rQJWDa6si2JLqfhaYHWJEoKH2p0ObGua2HVoYqE4tySs7MLDGXLlOqk
iyCjUQ/GtJ2IMvzFzZAhlWMnbXaVN15BoZE4Pu3GzsKepIXMnkP00fgJB7UpuJAMFwYjg+fBLrcs
dAwi4SmE5iFTmDv4nWisTmFEX6YZYgzpHRQhYDpqM++p49Xtx9EAMrXLMo0uNSwfZVwSzR33Lia/
HTaxCnLvOgxU+xvB/j7H9huuGbTDSfE0Yl8Z3NQSPKoRglpAqCq/KTNXIxKNuC66cUPihE8kLxIt
m7S30QcuBJbLgVQItYB40lhVJiE6hDATyW2USY30cupTs/qEvlLeXrY8w5KvbMi8eYBjlEdbTxom
6N9wzOor1xiM+odTDHioulMzhN/rroM4ayEkHv1OAwT/LovOAreD3tkkcvwykOtK3nsIp7HnZ3C7
0iVd6WGyWIlTuVdork7pZw8QVsK9VTr9XUvrargefbOIf3F9pmySeUKmBuhbH9IwJSMw/Ls+ckAS
8ODRRU9aWCOdRlUH3F9PlWyR5ram+f0oMeDFp3CeRqRwm7i47B0lyke31trGZsAbwbd7VQc4PQE9
N24KxI/ozdRZaJJjaySl2ehhc+Uj2BP9Lq0mJ0GoIgPzgLDE7cuTEfj5JHOB/rf5zLM07o30aehL
A2DZVFgA14Q7qgccJvS4R/4se0p6R+gnabcgZNG8Dn6QEM71rqe1Ia/SXjrBpwC5UIxtWtMsae6E
VU5cGEc/9lEWk8UQ7XvQdUhDdrWDZIOXDveq6LtoJ8uwyN4BbaUyGsGSvK7T0So55pqqueoUorp9
lSXJbTXUut1HoFKGK3PMkxDUb5DBSwuWwDV3RY6m2awXt4R0TApvk9b24O9KLrnwiwYY6MHjkxkN
2sTwyu4TYJSGvD2A4EEfZqynFkip1CgfIyiDXq606XD+lx9FMC5Lgj70rS0RlPbur0p/kM0iIdlt
egguATKMsoSQlcCvqpccX4HOCFPACm1LOb+u9AXLA8dqRBKays2cfK44xx0grjQENAfkwZPj5t//
+j//939+jf8d/CneF+kUFPm/8i57D1enbf7zb/3vf5X//LfXv//zb0e7Sriu0LYjpG1aYFH4579+
PEV5wP/Y+q8MVZfC0BQ9Rjxf4tvaTP0MDylkhjZot+Xo6eGHMsw5+udvHdh2BfKBtqKqw/kUhwNL
O1Xa6alx+Z0yJM33rvuB3sesYKCVHsQZz1mYnqb2nTMjO8c+WWpPL99t8efhyEqOIIdViA2HBRQZ
8zcnaTappayW+1Jaf/KshsF5+mvVqzH5Tj5S86mO53jLMryY5twfxxSiEGQ5c7Af2jmzvnS8Jy9C
7YwfTw/1+vNeDqVN83Cofgy0aZDm0Vnv6z+UEJBnaEhg8943qYxWwZnxjn+a1qYDw8U1neWfv/g0
j+I671y6DFaFLBmmAB+NETeFIdbq8vSXHRmJIYghSrk2vCzvcKRSAj4MSwBWnXZwrx2qEMqeBUk1
ppPvOO9Oj3ZkHsm6bNNjwWzHFquTMQt6GDk9NmQ/62lvy1HgCYw0puF33QPqIt7u9HjHvu7leKtt
GXFze2iwYq+YZMltHsBPn3RfXgeUnranh7KW33546m3uAVtS3GZfS7FaM7doZJ/YWJ+JLgHZ6rd/
CzsFdV9CW+ZG+FVDS/jrm+ib5oFlXsUNgkmpK7szJ/F18Dn8GcsSvNg6jkRXOc8mfobly+9mEvhX
dd/R1hfu9E3Eo3hMPCDaZ87ikYV1Tdd2taKxIxFLPBy1nyrFK4KTL43G/ZY2I4zbVmqbZyjqfthV
GLbnn9m61nLqVjPuWoIKs80OtrVcfWqCWFIUNIsABWIr+5RC86NwK1TUYtgQfdqUex31xlXZNgrn
V5Ej0hzPb59uVwipiUSonNBWOvzw2AqnALhvATI9oV7QWin2a4050g4pkqLGQZvqEBl91hTx3ekd
J498PtL+tjBd5QnbXW04FJe6tAz5/BT5ZdTAlBVG2yzxW/vM4h7ZUlxpppDSEWyudfSTFVe/FNxn
hZ2Lm9kev4q6eMIpGnojJVnNTtuf/rRj20khbOmYtAm1Z65WFr9YYZF9AjsF9EqX0qGYbRXj3CPy
W1Ani6BTnR5xiXPrvaS4R5TD7UUCudrAXt3EkICBP0Rd2NzaWQhONAxK4KMFxKsO2wUvhNjRo0rx
iIqBeH96+KN72TFJXD1P2gr49OE+MjrhZm1LpIIOaP1xtVsAwSOXKXtl7hRUiX0TjMl2BL+/1OJE
fp2A93x7uHQdLXEPYqmJYKsfUQdjGVOstze+OUXGx2jUiEHUFErKnwPePtOf0x99bF+BlHAcZVks
srWKzmGSO2Vsc1Ka2up+xUNtfeQ5a+9RRQaTJ4vfHn2aL6fHdF+ts3IkMkKKM2suJYDDea49YmEH
SIy2ZUN7hdqKv50yKmlxqDOUV6buMuPmfag7cL2nh17O4+EWOxx6tcUiI6pDtzJ48VUiukwJkjBC
KFHF2iivTg9lvZ5a9Zw9CEEuKp3ny+rFLTCrOhvyYC4RR5uCm6ir5utR54jmjDXSpEp5O5U2zR4T
vBrtG4lEk+knT5YycUGZvQDjDgd6ka/omc19SeY4QYN0EFs5F8OX+V5NysEPXa2HXTiCxryJvgIS
t54rHsOBF5rVOLd6EWIc8YJM5p9zVfk7VQBgpjRbAQM4PV1HZ0tJVzgWPXntrH4EokEONxYY3twu
NGSbcTS/DbSWPpnuCNuCAiciRVkdhubF6YGPbIklupl0UiyTqLOE+BfLJOyhq3l3L3XcFPzz2MaP
lu/GgEz8+MxMv/5GIhu3FBelTRNfrb6R7NWD47O86RoLT4Zylu+zEfFzbBfG20o3Fh3vEEzJ6Q88
khUtw0rh4QvhCstafaEzGIUZdkAsS6fUUKiAitkXRuab7yW2Ak+qttqfRWnFMUIKMI0BMucJegBw
FxHZ9GLvrRNOpsDhd6XnkYCy3ocT7kMphCndISAbZdhgWbUPKiMUUET8+ffpTz824dgEgKVwOTZi
/RirQW3XUWXCf/KSYWv6VbprK3PcGrxoScM+Bp1TndnHry8xx3o55CrCUJfP41ZBuWqsjzApqlt+
APRL/gV/Iwd87wLqFCF4VE+K8txSL3/74VE+HH211FXZdbO/8K8wGf+sqjG+a0rRPNW3XTkNeLps
ba6sjU5EvQM7YIF4MtHfDqcMRYqzL6gjsy94e3Nbaos7xl1NRQcUOeKRzlRELSjQajQJdnADpqDd
mzBBmm08trSnT6/569vFQfqAgOkp8mnhrbaX23mhES2anu3sm7fuAifz63euAbqTbdk9jA22M5mt
0zNz/zqOuLapbKIIBDdqk8vvehlH9ETbKu+pXtU90mpdAm0u7nIFGIpDfWaXWcdGYz+7Lk0Sm3fj
ajRaF+XAvU1Pl3TQRhJhO4+AWkr4vRt0ZEDg0TK9bYWh33uGHu4kHU96bApwkuEi10Ld7LFbyDqt
iyP76RVYrbvyeMRKi/TF9jyes+4qc6yKKbMKh5JODQYO7xjjvpjfwZjHeqYe5L6N8UM4PeJqzZ9H
VErZABAsj0Rmteb886LLNGWI1qk1JjKQDlGIMHa2m/6BEug/BUVl0Jqc6zOb7din6uXW0FpaPD1X
ER3KqGdI+EawPAdg3VnbjT/R7LYgbhRG+TPzy/BDOyTQH05/8Hr9+SJhOa7rkUEp6j3rOXaotCe0
wQhj3SyqbRcs9OCw76ZhG0O8uybeNzdtYEJXGsoAf6syne8p4iK4udxCQLcFZJ4Kna4bQnH26Psl
hf/TP/L15AgSH246RI61JAwcnghsLlILwTgUKUog16ItKNIPVgynopg2KHeZbD4aIqcHXSLciwi4
TAynwrVMrjHW4zkre3EME1uFAOsXugDiX+pySiJc5iy7QU3n9ECrQP9qoNUJbPte17x+0ULhtt9l
MZ62SU+jOpkSpJsrzBYMA+x+b6NYa2bdfKaM83rLCwH2Q7PrtMkML5P/4jszx05ImZhcu1LO5VzE
WUs+jahj5rUlYCsTgcCgA63cmNXH019+ZF1tNLfQv1wyW4Y/HBokryrKRelH6Exv3HCUlzEC9Zir
2l3uFp/ajkcMtpJmoe9Pj7xOZZZJty0WVboWqeKrCz1MacUlz1xI9DY3SdH63+kxhE+09mMn6Rc0
rP+libFdqjMPcAxZ7aLOG5zZ2c/PotUu43e43DS8F11Pr0p28Zi1DY8YoGQGbleAC+p7JcPuPXaY
MIcy4yvPkGDnNfBj8hlpn45seju5sbjMK3f4dnpWjmyFlz/GXa3HgG9D5JQlscDHhbivMeoYeuCq
oL0puFFrv6zMSD2Nqi8/vXlkxR4w1XLYTPjqhzsB0ELjR0ASgbf5kwMJNzWv5mlIYcYKizt+Yaa0
FE0NreKH00Mvl8h6BViA5alM4cUzV/u/QVrYGspwMXWMx8tyQmWsUS1t9TFB35ayzJlKz/OBOjXg
6rznYLWiOKeRJHrsbpxKbpw+vsMBEIxmiPZj2iM95sWQEszwqumL377bfeVhhZGyg26na/0sm/pX
kYnPoJhAPPZwk6NoasFdmwjSFLSKUMpGpV+61DhmC+Sw4SBpNvWIDRtnvmaVPjyfI4o75N9kSTYR
6nDhPJ1WoqCChFVtOSO0PtjQSb/mIUkVTCrXrLMze/ToiSENdEzKk8831uGIVoimxQyUajPOSOmp
EEuPIRyj67zKEAypO2vvgQC/DVocKk20ph5i26o+9r0j7/tYOW+/JagUcn2SH5I9ydX3p6iLmnlD
cR+Mi9m+R/8fyHtvTaa5P71N11WA/51pXnsCWXAe76tIoaUZaY7IvAm1BjanJ1AblN4N5OFsGSTj
xsroM2wMoDYRtu+1k+Iemkxo/YGmgFzmiwm2gURz/TYtBC7AodElX3nPldOdoSsDgb3KCZ5O/+oj
l6hNWRdt6CXFEM+VsheXSxWyVOCNSGu8VAHhDM0Oo0zZDM6ZbXFkH0rqi6ag/GQS21cBBB+ccezN
CorbjOKaaLr8S+Ml7l3oAeU//U3HhrIsyyYftcgRxCor7SmNg1sDQeXVpfvLAsCFQkZbfCrbKT6z
u44EZCV4AYBhoJ5JOfNwryfz0NZDCc5Ug6r/C4q53OReEkJUQuGGjhwsIsusrxSwsDPvgiMfycg8
RJAAsejvrOYTELFjxQ3IHuDC3TUwx27ne4P/mHVZcOYuXo7IKh5y+3ucHfJ8IdfFDEok09hiB30h
zcr62oal/ozsLdq7vLg0Oripa2DmkPmYhp1eyOXEHAzsmhbtBu1Jc6lAr2vuBWrCtDKBxfgxTPop
zzrY0DMQTzW4Dp4GApKpOTUPvj379+Wi/HV6/NUc/1O7cFhbyjjW0nA4XN3MyrF2NINvdPlxXeai
c58s4mZ2g1xlfyZOr8MmbSz6CibgB+pGtie91WAKUKPnJcgXaNjZOXqJCjKL39SfqshC2re7j6r4
S19WqKbqfoe5a74BA1mdiWKvPplfASKMgiMhgefdalv5WICLwq/4Fd3kbgxRqZ2cStSnPDGfmd1V
6OGDQXuwpbRlctO9ak+WkZk41H1RlZ779sEr2wxHhW4480Gr7OF5WvkagOzuUvbWqw+aMycbNQEW
pT0nq95Xnpqs/TDbrbyfDGwCflkA38816Fcn5p9BXQtRGMfl0biuw1HzVDrwoXG4UZjuyGlMZI3D
bu+qEGUMhUrjKNCQe+NupQoCBn4pOnou/bHlR70I5dQ727iWyFFy0QIqg+rwsQT4fpG79ngmmB9Z
OoaiTcXFITQN6sOhYjBtY+Siw5JrCNk76ZVziclBMHlnQs+r7ehwk3IeFHVbmiXrFrb0NG66yo82
ooQNscP7MIfQHldQgP0c0ZLr01O43iy8J20uDuqH3ByOuw6q6CfFUYRYw0VbBJA67ZqnDW9aAb0k
ZiM9ZRybcHN6zFcHn8cddURKCg5wEv5cJvvFukF/GNF3RzYXXSqU4WSDfrOBxAt03AapiArHikbX
xkWWGU1+NRmzmX8dY1QqlCzay75vUFV540/CIoUUH8iBS4kLiM1qfec0T8uiU9EmJmMUuLP6tATg
fA2oM6Mol89P8wR/ScfTY+hgMRJSeHWc8e+Zn7GEvBfxn6Kes5xcIai5AM5YX+RUd7zOwucEXnuf
wssACxddlJmKf5ShDmG2ZDFOnpBcRHLB7ZX+QPA5/NikDVoCp3/K+kCzRlx8vAMV15HFfXS4Rnm5
wHAMtNIExZjPkQac1uYU0K2siz/akdNlCN9V7qe3j2o9v715fAJOWe7HFzuD6p6R1B3OmIOcrWgj
DT/6FmYTngNZ0KPa4zUFhNeZ8NKcuXmPbUqSQc649qg6WusPbmcbXOVEX0Agv/TQ1bL6PKW5RkYh
twHd9+ZtJMPp0qxV/GXWWCbP5v1iXWv72DGdnoVXh5K5ZxtS++R0LQnI4Sy0kRnB14iBsVie8SWj
GPYx4uEB/jyu2++yR53o8vSI66jzvNoCKAtjmra9zuqqDBgBDaocAXQRXNrRUO4qHJ23TpqeaxQd
HYqrSQHkohWsVyeNjkHlWD0qgrbX25shs+zrgRfbrm77cwiOddB+/iquJiorXA8A1w7nsYMXUVMr
BcEAceGBKwQ5kLgWZ/bsKiN2llGUSTme2Cy1XHe1S8nxzBPEAxAXcv5AioDnPWv7DtRqgmpSYXfX
xmgiT0mL5swhPTaXDmAnOmAuPXV7dVx8exignsrsIkVTAs0BJ/uDFbR3FZb4xpzeIcfmcgnV3H08
q+HIHM5lSejsu2wxdPNg03Z97LwrPci8p0dZ136fJ1NTWzfZw57kvj0cRoAuaqzAJwBwIXwyzbS8
gieV7LWVufukpAMA+YYIXY/tNaRUcOmjgwZaXqXOxgeLjYghspYaqbxLe2jfiPf659e5LDEFugVg
Zh/+Ol0zLkZ2qKeZZgIcF1LVDE0McegtAOTiHPjn2PLyTKV3y5OHctxq/6Ym5Fms45BuhVJoXkSo
suOZMcLSyiesEE5P/evBeD/y5OAKIgK6ajVYG+S5o0rJuYwxOitzKHeqCNEQGwCDvH0o+tGcfbBF
lPlX0+iU/kx9yZ43g1Te3giz7FuUGwPAtQIx1NNjLUfg4Eb18EJa/sNbhV7COgYkpeF1WcM9VsLL
R/7ewO+LNBzp92iu34G9927IxOCTz9Le07Sdzoz/OjpQGOFRTuJvSVpny7S/uNG6OmqH0WQNDYDP
XGC0ZnH1mYX4bvnoAQp09P5GrlU9VkJxwZ/++HODr2JtjxsFPFsuEgBW4ee0DMarOYbb0xtIbkF9
jD+Wzog/Dh6HT6dHfh0uuMCWqMgLZGlWLL/sxWc7cHasSFFRHHTn3FKPC57KFrDc6VGenxWr1VXk
Slorh4476eThMEMRx/gWu+gshUN7MeMlfSX89qerohB2suWiXj9+h4+Jt+GwLxskmOIkrq9Se4w2
SAeTW+Hpdfo3Hf1yKm+ESWBe1hrpBRl9cGKFUg0xog83JNQObkWxl4ZnTtHrDI33JNIJXG5IZVrr
O9s149ztS7oko43L/C5FeheZkqCkPw/fFo18CwEtDzzGVJ5LUI59I88gKmjkDDRoV/eOQO2d7hv1
kbQz4w8hwgw7A7udn2+dSXaQXuoQQDsU5/dwcXN7ht9is3tt5F1/QGVysIRNE1ToT4/z+pQwDjgx
UDIUjJW7ekbmAnZrZ7NXkxTa6QVLGrzzqzD6YLvocLqtwwPAQngomM7keccGZg2J7NJdMs9VyK2j
3vLM5+M5F+IOydT3gQ87TAoBm7OM/e9eWirc4XDjPv3Fr2M9RUnAxFwrIFXINA9nNqX4ZVQLGtCv
VX0dJKq9I7dBaaJxpsfTQ73OZVk6sfTxl9qKXJdbY1Wl+VAKC2fPEN/d0Biihx4G7B36Kukdiq/T
r9MDrvamprbrKcAKJLIghUEiHX4bgt6NYTqodHdmUqtdNZXlrwauy3gmtq4+jNrc8m/WYnnLEoRW
ocdvQj2WdRRv8eXGg9G20+l+Qtv6TnQttr9Rj5PfG7+MrUkeQJMBEAYZ3+rUlSKscRGG9BfErXkH
xU9f9Z5rve00LN9FxqGQztVgMF5FbgwlVKm6tMLjkyc5fDlP43cSosfS/WorjWlkn/thsIkDJcvv
CGuevbJXu5PHNwfCWrYLSZamnH24gl3vTzBJAtzrKQ84t96UYJwdBy42xGhVB86Z4vnqFD4Px0MX
qgfzS8BeTavRDdoPAhltE/ReHgRaCnwtIi5DNZm3WS+8vzhyBTQkuvjn6QV9tYX40BcjO6s3tiML
NDWwU9iGY0tXObZo925bmPsVhtzpFF1lLSH8zC5aXRvPn0tTdwFa0yCCznM4u6EzzEY1yHgrk0Hs
YfA2HzoXjxnttzni/CV0X9Xr4cyuOrKmqEXRVOdIgpFbp2GdLGlR9OzdulER/uLT0N2gfVvun2Uy
Tk/rkbFIt5ariYIklIHVF3phw57CnWJL5TnDbnSROFVpe6OrfDqzd5a/6kX+sUwmtXKODGWsBYi3
7K0XaU4ejDjAtW2G02uD72ols3doziK58uYvYtKA/3MioX6sa9Tw+hE2tydMfSNtv+sMyFfwMOQO
bZT28vRQr5HiDkVcQKpEAPAIrNjhJwE+EY1LE+ICkQ0bD8jZwIwYAixK8/au6NHhQXoZkxccs69I
TuTnbDSTMxfj62ldCsngnajJmbwDV79BdwGE/xrp+BrSX7DrUid+6tK8T8+M8/oAUtxSvHvYkfTq
1uyKsnV6rMI4+ikCidWuMmMXP50i4/LteLmnEDuMvkDQ8/QcHxvWpb5HkdfhDl7XeAcrCBK4uSEW
rrao7qUZF+G3Qrlz8C4F1hLv677Q4gyo5ticct41tXlaTBgLHK7rHCjUkPBs2Ga9Qg4VQvFwbaGz
m5zZq+snPGfCBrhFj4PtoxZex+FAfubOU1SgfDZkdYz+Ga/KezyEEGWUSXE3KNuANIhLFzIK4z0y
1OaTnJryoXMQI01iVNRQtpFoYmTePcIN+dPpuT+2vxfeG5kIpXy212pvxVB2Gl06SzF5xifVtYen
JO8/yXgOoco67nsy6IBuEDorj66DngScECQszmRgR1aDNgn1dsmzfiGFHE5SjQ48Tsa48Y117VuP
iKMYuEDHZVed6Sesn0iAogHQSB6g/5uxrEYaUNAWVjiibdBlmPb50P0cUmpLjTtTN7d6RFgaQAYW
WwKRN2+Lrx0NKnc0ro2wv7Xc5swCrKLzP7+Hw02MUQgCrWGFQWH6ecDNtOlo7V0W8Ktv7MSLdsJ9
O3lqOV1wWTzwmgvzZjmHL6JzMYVDgegPrKWh77A3wXQgzGK0cfrJuR9D9UvM1rn++Orzlt1/MObq
mOkySnUn4wKidxM+ZsUQM82tc1WH0vhyeisf2UMvh1pHaiOjVGc3fbStIKd+Rvewu4TYXZwp/B39
IIooFIeIxt46n07L0qjwGWAScUK98HzDZ5/6WGQi5bI5/UGvMzEY94D+IPou6a29eg8ZSgUTbx/y
IQQjLtzCw2htaqk5zv6QPGbYiV13VQLoemhDdbb0uOq9PG9M3tMLc4dnl7k+kshrGc7EyuFxUHgG
ZujBMOEojq49jJocR3A0//+GCKVYF86QxHLD7dlle7QEKQienojVyi4/ZUl9uX0BFdGDWU8EKLsQ
nBKKAlmHynmSeF2xD7WNleXpgVaLuwzEunLZklYsDcfVbp3osqikxxjCtKZ8p0tTAWEvkHpBWejM
Xft6qKWjRVWIy5bK3/r+6TEJwAQCOLHIUD8s+ri89fAX+mLyX38//VXP/OUXaRmfJYHDgN4geQAx
vb5gXeR1gpo6NSWQoeFjDOOyNHwqfznPwD4ckFEExpzLKtlWJYKRyL3CHBg9+zqFZHsZ6jK+9NEV
QI1PfnbRWXiP/AA6TgNO1ZR+4psOK5YgL/RuQoQMr6gx3TqdM1Dk0w9uk9Eq6j7RQPlglGiSOaSJ
qIX4l4YO/k55hU6VpoOZJwYKUQA758L9TEf+G2BKRMqS3EJtDWfUOQr6m3LZkAiyopQxJj/jrvwQ
F8NP+v7ddmjktWCToOOb3aej/akfw82gHQyN2/eRnf1pUu8yyRNMBCqxEQoj7ig2H7uwfp806gvK
FmTj9tvDO2mjSbOFJhJ1m/Upmngu+8j5QS33c1zTqzGqdk3qjimS+kH44cxCE8BX6yzYVTTKF5bu
qxdxxqsJmQsECUoz8vddG1r3NHzifZXq/HZW6blu+ZE9DEsV/xBBrQlM/uq4lLaLMpXr0RTt23E/
TGW7xXd4fAw7xItPf9rrEICwD6mp4g+KDOsa+TyYCGkpYP9m3fTXssi6/dw48ZkJfK6hvZpBgoxY
gMcLc+nwikSaE40Nm5OC7Gx7G8am/c5OZX2ZJtOILnEy7jFYwc5tnr7qEHlfr/baPcSp6cJUiBrP
SGtuR3u2NxMdmJtBTn+jMHDRTiudt91Dy5leCp00ueAGEBVXeQwwW6Cy7LsNIkvqa1BR2jTMuttE
+RCeSVGOzf3S4AHmATLi1QOy8/wodhBoQf4Z/sOmz7Mo20hUv7oz4Xf1EPjnm6joEKl4V72KUx7A
wAI0PYpFjgulBKTxzpu78LaRPA76TobnkkFx5MAA2ltYwGLRtFgtdxs4jQW6CXqqricDc3kKo/eU
KEoLPymEei5qoyr7be7opqbdNiOR3juIXOLyEUUdDn1U83Yyd8yfb97tNAoowi7IEDrey+9+kalB
HURTqeVy4FdNzTZMY9wrxNR2zfX/x0C092nzw2th3x8OlAS9r7IC2UCde3i6T8rLjUt3lgTw0wMt
23F1sOgILyIpNjAG2lyHA4kUb6W5GvC9iPP+koJX/iFGC3BbZcJ7QFEaVUTDFGdY5tbyt54YdQ2p
o8tQERNN1refo2SDHhh0KdMf2510GppctsjejUOhtzqMw6ukG8vFWL36OPd5uy8LZeCrEwHepkEX
P8aBnT4lXtZhFIDExAX6DPb7tCizcz2yI2GViEraxTOFItw6kXWz0e3oCJJ5hcq/Dgeonhehiwpi
FcXYap1emOd+/Ks54hAseTqEqnVrikTIGfsJP6pwQnkP+uT0tWnl1wWTdFGK2NsEzoChTEYOaJTZ
03JtYck3QmmOcPRCIQ27OCSZtr7tjjdLDf+y67x+hyTOuOvcwr0sFBZ8gUqp4nV+e1lRdtrqSn9H
+xdJUxQd8Q0HZdXFw1erp1GVmcGNHC216Bo5cITx2k7NMtio1LomEFgbZYa3idFdBY39p/T82yhw
77va+1u5ibntEEu6LUXm3qZ++ZU35eKPUW3CELujwJzUZjRFdp+3LcYjMrnxJjylhVkHG3NW1qZq
znY810QWopoCTCUsqoxLd2gNYgoaJXHIwIyioQ246VE2BFiG/daVzWvwGmPN6GrACwyrObtFripk
CuiHhuGmg0F85hi+jrDLbyG1hREDTGNNvZ7bIYVz7ZFJJ7PpbU2vo5WjqzrEWDuNUAFzSzW7ZwZ9
vZ8ZlKYHe2uBfK5hAuNkDUmxKN3yOI3v0F9ExQ7Hg0uVjPbl6d28hi09TzbaREueS1cA/MlhnFk4
wI2R8oFj1U/TRdF0P3HEtLdcjfgeU8hA5A8gERqUFw4N54+4uqNP1at4E1jzG9lT/Bje9RxjEorn
WL4qaP8/9s4kOXIkS9NXKck9ojEPIl0l0hhsoplxdndyA6HT6ZjnGbfpA/Qp6mL9wT0ykzQyaR2L
EqlFb0LEw0iqAVCo6nvvf/+n6pM590GK2wGeSbGLwVbnjmEfbn1UI8rRT+pZ+lINlnb/+V1YLvLt
K824Jv2YbB3L2CerujL1mSRGdKRl/QAUJY8GV7J680wG7SQ8/XV1Ohk0hKAWJlinWVitnOMolzBY
yFgEt7U1xhvEmnAf07x+wgMdv8c67gE7DnjOf36BHzxmtmuSlUTGKCfeVVw1OZ3EwvcxwBn9H3k8
PvuYMnj0z95YgnC7eGtOZnZQRgyY01C6nwtQFvo5DRASvw9uNP4WvOEogFioTw5hwxhj7FdzCxoN
ygDo8vUkNKCMHfIr/Ns0SJ5+zctvmVJ5oP38MrLHPnSFoLUrA3CS01kc2+YJ9+5LnGxsoV5kS25v
QvAZ8G2kzU64qyEKzXPrcuiqgseACMqMRacLKrBYN918ZRbiqh57YEOJh2cqUViKoVy5VeDJgt5x
0h5sbIXTirSCCSJGG2xZnUw/ttIIhS1yKEHszWZhBe0FcaVYTz08pTyk4qOPGIln7hTA4wgdMKvm
4gsM1rjOKq/UwduOIdp8M90PXVztsnB8EDg7B8KjaW3TqF4attgDHgOccPGz3kQzzq2d9lUr7od2
ZYQbQmsiBQkCiVTtE9y4pUuzg3rlq+6M9YQey04BKIjUozrd+eZBxF0V9gb74aR9kUABBdm92gM+
aDdNhrHoXSquYopxpXzTdfQlGrsh6alcKXY1X+riJa6otiEdk+In9vu46N7XAhSWGmIahpGqzDHA
d0OIC6b/PDexreg/a3M9K8eEXrdaXtGJA78ictg75vJZI1ectE9JhzePR+cFdErsHjRAz2LlFPnX
1qp2NAxDv00u8fSxJeiDc3LoS2QJ2SrH3RZXPdXwsFPCnXWXKO5gPTSaiWihAuoFRbZhy+2gPckb
WfF3nbBW01XSSY7JKmo4Olwg/xj6zXFM1wPclKQ+DJUrxmwvmFsWwT3dJ6l/Kc2Xg3g7VBcgS0Tr
ewETMVmDX4Xg1O3CpMBs/UIur4N200GSl4qbUQVU11/5/TqwWjpLKcIJV2onr4oQliZu7/Nqtr7I
tF+LyW00PI26J/gPMGskyHLDSzDfF+1exoUQxz/CwnanJze0qGrptZys+tyALjliFFCsmupxZEus
4+81Rl5VqztzFHkaNp84WOTGFlPLGTcUw8KefHYjSCpxfyzVrZEmyFUQmXFGylG6xXDUyvZR644J
SgFASBH9oOP0MFsvRc858xaVBKaw+RZrAsm/NNNHDS56mUc7E4yBpgn3eV4ALcO9EG98tqUdhNpN
CXm31Wk9SW2m96rUd711HQILUVFmCoiSSY9h/jnbQtptYCJ7rap5dSe6KXmpVr9KRDh3mXnA5YeP
OILkNM/2PCXds/xLuXALjpewlGThu+yPVwAkPKnekO5IsL3WASJ+vmZ+tCkAelRQ4dAOSCP7251R
qH2ZZlmsyAo5mvaBkIDMpth6pgL4a9U/3XsQbSMapwfuvYJ+1OKgIYdPwmPU9mqIOltVHFVtDoWq
0CJttImnY+T+w/S1YB82jQE0M7ybET7YfVL1Z9IG748eHAaWmiRfRln0OW8vusFguxcL0lSRP/AG
aT7+ZBm+qZnfnItw3h+tKJ9QRpZI8tBreao/EmnfMfyE+6t2kc5SoQ63c6zoV+NYAlUhbfuXnyfZ
w6UgSIzIcz0dz4z8ZpyLFtocNZPl9D5ae5DJ1l9sZWGbp/9JpS+C/C010NNoZOmV0Op5Lln0pf0c
4k4PzaGc3TGCgVVA/90XKbvAX52s9BNRlsMBTSObdZrd0MjCDj120VRewnwj+TWW13UQnIl+34eH
S+GfKIsiPFms057meC51DFID6u9adg+E4CCkzdcObz23BrutCcYDEavhlqp6pqP5/dHJINtAUtDk
fKjqpxoLTN+trmnLCvOntL0P01A+9JrUUOqDJNfBmFlR4A5XWs4Z7vMb+/HIyAAQHpCQPH2aUOqV
WA8YWdEwcK+zMTxWfixdYHeubOJQF47YRBsbv7G6MyN/8H4QAXEQJhJCWCKfrD+lPCe6HuWVTeON
+NgqQbdBLmQA15wRtQGhWgC6n1/sB8fExTyANB4FBHoHTvsHwXcJcWG0mAIlFJCVCGm0JVXhrqmb
xh0x5PUGLY0elazHpULWTVQ8ausoo9G4xdDm3udf5/10M2lEW8pv1I5UKjtvF6OJxFE16iJBc60H
60paZ8IXuvYp4NDjUR6D1prsylSFM+n/d4dU4jws0Ak+6ehDN3gybI+T3xiYgH1atPHolYYR6oQ7
N7Py69yVtyBVo2aoJcyS+lZRzyzB7+PfZXwWRDYd6ln85+1lW/FSLlNRL1RSM8A1UhCt1zmWFTN1
7Yw4DZxlrzo+QvdrbZ5hdOs9mZcB06IzX+XtFDSZV6xhChk1fBwkzAdP0n2dGDVia1g1DnjKDBaP
SJkky1Sb0Au1nAPnOIfhmSjp7ZhIcJerX1xyWGboTznVv0aK2JGnDULXpIjXbxVMHcdHkeAVtW0/
CYq8EiwZx6rPp9ppWf/3sDpaSuoB9CKcxtwBXtGmPgBQj0W/WTVTUW9ro0+eC12JLxIdWCPdXSA9
p6njrAK7dsgBFH7+Jd5OvF+3GzEye5S0fBHqA28fPMmjAXODbAFQkzQDpqQD2AIDIPCo1xijN3YS
/cUMx69ByZuYbIoUDGWyHG8HNYNhDFnGFv4HbWKBEikcpHNx7tyKnMoh9tOhOPNevz1ZvR/y5AWz
9LDWgF9xppUoNSWtKN1ZcC02n9/Nt0eZ96OcTN5CLcWqCGjMrUo0JGscRipxp8tTkOw0BBnt7+H+
xxtb7eaXzfZzUU51FITtyT//47J8yW/b+uWlPTyV/3P51X/86Ntf/I9D9FwXTfGzPf2pN7/E3/9z
fPepfXrzDy8n0TVddy/1dPPSdGn7dwPw5Sf/Xz/8t5dff+VuKl/+/W9PP7IodyPyytFz+7c/P/rl
GL7UWv9hML78/T8/PD5l/N7/eq5f3v34y1PT/vvfBF3/YzFdY+mmnEq4v1Sih5dfHxnKH+hXliZB
sF1UFJZevRzH2ZBfM/5YzAg0JPmL7zPKX55dU1B/4zNJ+oPKLAdG1kZUZjQG/+3vl371+1z9+6l8
7IVO2Y35/er8vTTKLtI7k8o99Ws6h97O/2DkhG0Ngeg2cV+lT40kTNsS6GLsFFahC3Yxj8HO7Pp2
YxjlcBNmYrav8Knc0M9Z3wVzp4B7LiLjMgwq4+uA9ovUIDpot9KHNHAKXq/Fa5eoTjTKxOtzvSWF
ECj1qlIEP4RYBdTJVqWy8Zqg8PdhJeH34Y/GHhOShB5GKwZXWVraQdTCaT9mseGgYZBdcezGvTnp
2stsTtZVGlTC8wjH40spTsOubIt4FUuT4qHFM7zWAC3C+Ve6ynqr2YZtDxKqovFBMcjSO31tIthd
Eqp2q7aAOGhk3P1mP8FOk/dD3NXXMTzKh7FM0ietz3v4yX6tfh2Q8ZPRUnv1euYEtdjQthtfbwlT
sqyHt5gE1c4o6mTbdYJ8yGqlA+YnZg9SosnP2ag2q0Cw+ushScZLRemT7Uzyb58BuFhNIk0PU2zA
c09H+TIqxvZIb3+2GkUl+NJg6Rw5lgUsCoeb5EJB8Q4CFQ4hEeIoe60o0vlcZ/JWlrPsVmMn82DD
BTtlTPsjJBDs9QyxlJ0KU+p1GKDz6dVMXuGwOx1KPZ89XG7j5Zw1b7s8sKhbFbXnzx0EyiB7FIXy
agSJtpZy6pozKWu38ukTGhZXBzSY8RqdOY1QYkcvx5h2o2ukqkxPMppSdPnzSqz6dF93dXIDlExE
wwtRsMd0zGtbAaq3YgarZm50JzFSKDgobJ7naBx2tVWUEK5Ma3AyoQdpoJfVl9n0s41eKf5lgvsZ
PHRI4Gok2Q18BFfWp25XyBA/IcwtQvqhcCZysDcdVb7NgoMio/ErBVP2V1Vb5oi56MQXFUG8Ssoo
uGLIdpXz+FZ+LijeqE3i116bh/Y6TJqygjQ0YN25Naq4iB4zrbUa1RNkqK7GQ2YFelXRCVYLEQAz
cMVl5fB/8l5wtYG9XTqUkiBQJxxx3qxJkcE25WW5oVV9mqMLnRpTIl2Bv0OsjtjPZXKE26TVijsh
R/CHTYy68qdYuk8Fo7zu2MbvTEBArphM0xYMUPs1H2eCzAH7mate8zOSrJPyrE2t9FCFYeOZFDqc
AVbSNm1iUMDM6sCekry+6GvF2PsqTeMLXFKAl1n3uxkxOYIEdT5qgyVfoc9OHpDGwJ8oC2GhzZSi
03C0vporfFvwG/SxiaXR+ZiPCSkvrUxCMlupWF/GQiJUO3DajdvlM3a2RZugSmrNSXmkeZt80gJn
ndNZBRMUlxsDMaPAJNIHWOp9vItRoW0aI5iua4y2DzJXSIWmSvdFsricYMg0/wirVN4qrVJvE8h7
twNwPVAxKi9nOcmPVS3295qAV4htyE1ySHKt2KayLq8Jls07rZ3LSyvQsqPRiYUXRbFy1Zm19RXU
0ZKX0YX6y4AmNNgAMiaNSQcR0oZJyKsXmbbS+zyTousxriAgavRSfG8xn3wYQDultAk35a0RyarL
PjsGpPmy+EfeL7u12NESYI+lhh0NgUW/FtMYuGDtA1FWNY1EcSDHcM0LUWiONLWHVynprWvLnBI3
JcdWAS3VikMCE/NaHqpRwWnehPwwh4meufCfilVLR+h3Ja/9bSmCYA6FPLzwxSi9BxLeX6Rw8jZh
MNLhRq5Mt+mWUO/G0tR3jeZXR1mehnhlyUJ9K/qTdivNmo+Uw9CeQN+Juzm0lN3kp+VjqsyV4kDV
wgGrxk7fYw5ZWyVKdLKTUIPYNXjfAmBTqyjvrGMVxM0XoKDFukb6o1PfS6z1EGrDcyFo0naY5trt
oyrYEwsIG6jz/gpNQHY5J4hyi7IxNhhM+M/4DdRrmFYt/k08QYevr9uwHWMxJqDJzJ2VJZ0LiyYH
4TNFa8qllNoyWWu3HYDBVQLPAjNvaJz21Co8j5bcBcKOfNMkcuoo85CsglBn12toKLmq2zY0bF+v
+2ObieUFKoDusp614VuEYe5WKhrtWyWr5WaEcug05M/B6Ip5cIwqGHxmLkWsY/g5/RSV2NhY+PE+
4tyXXo49FRSnhK64TMv80E4E+S3LUew0daRexFam3KV+295nxAOBHWXduBvCJv2agkP1oi7BuHsW
5G4dyTI5TbUdrqoJZYoqV9JBa0Rhk2alemi0qlzRG0amN48BZrdyH1vPeSHr2pbP+ocOr3UnD33x
WAZIXewRZqY3Caa6UhroOZR8DawNhEZ96hB4rLM0Lt3BHFJWUlW40GuxA7WF75JT6moT2Lms+/fG
LNAsNbYDjK2ql0KnkNV5PRc6/clGTAmjqFrpWlFanw0jACnrMqGm5xDXRm9io/rum9X0E5noEJO+
rWk9UyIj8Wqs3jZ0fKTPeHqOINmpYV/PJjkRmfaJS4wWRReUWOrKskCnM73IBx1M1FoI6srNpBkE
UCSXaw4EwbbOZZEig7yEen3arRMMHB2VoGVd0deyM8whcOTOqr4aUlO4MC6jFYJV62LuVO2iyUr9
YgaRvZKVXLtT5d53e6tWgEn5cFNBEnlyXKdH+i21Y2nykOp49reQHJuDVOvNepLZLWZBkNwgSYc9
ng7ZSoeeu5HFEjOahDIgeczoONdZv6bfB2/ssSqDzI6H1HdLjpkc2YJKtFMUC4Wnl7p/MdVyedNW
o/ZDJO5wVT+CvBM1ZX3ZjvmYr/CDXdqHjUIQB2H/G55Jbtwf3RpD9NnJ8EutOD/aSuKrig13vL8t
0NkHbmK0eziXg+XhWaP36PwU6bs0dMF2biLRiZvA2EodOceOTjZwunOWIG8TvxYF8NqB3Z+ijmQ+
DE31JGms/gYEXZsOzGmVCFP6JLKgO1rVWqs61GXPHCfWLADLbt1W7SGJkI+GXTbuMe0R9z7Gug4H
ueyrr4jDs96PFEwaI3HGuBdXYKrM20ky+6u2NMYDzKH4Whgajil+prmzyZEWLRyHt5FayrFO5mCV
REpwpc9B5ug+2jwb7LN1U+atui3TMtlog167UaCPO2PUQ1cmZ+XqdReONg84P6QAu74bQmC6Ua4G
UMUHbdOblDSWhNcVMWDhsXnr+zqwFBeVfw+1asQ8oqF3RAWHcdGasJMq3lSWfSV/kBb6VaTF8YWc
1p2blYl2iBEnrHouYBUKsrqa4eJRUkDsSyG0XEchSPpJogeyknp2tjKINumoF+6sJ8qOboJuXZaN
+DC1fvFC9hHqtdXQB0zSZ3I7BThIB+XT67LY4uRT/gRp2u/8YkrXCjy/lS+O1tYMFWnf6jE82FoC
tB3q+ZXRF+K2DvDiggTceaRpoAOzkTuBb9L9NqDLxQh4ZgFo/F3SSoqTonxwfMRrtmkkOpgozvLA
SYY1/z/3hiwJPC0nAZOn4bwW2NkOxdQ1myBNy93cCAbv2ajaYxNRkqF92jZTs7rlR6ytxIFpU9Zm
7HQLc06QstnxJcV3Azgoptqso8RSbIAZyZ1eFCyCnZpf8NuFpyx9ra3GPFDnetwMenTrz6HpBbo5
rCK8GjlkNxegybRdPRei29dQaIewslY9JJYtnKnAw3JW9epmAHybjRIUwr6SrgXdmm5V35S3v2LP
vxSG/8vg+k1A/mmw/t8wDF8MI37pOP91KO68PNX/+b9fB+P/+KU/A3LF+IN+WpUKASZb6GuXTPqf
Abkq/YHYTLZoy6aZUaTf458BufwHSjRoYaIMXoX8sE7W7u8BufGHCRYEo1f6PjXc2CiU/YWA/FdT
xat4XMWxlLGRlC8lFEk+NeXqQcKFE1Y6drrv3SrZtneKm99G9xyAQ0dKbRV89F1/L7jS1ausxZ+p
gddYNIQQb1MBOuZc6DM40CMSxTvkFNiDm9xkTsGi4A8JSdDu+/Lt4iF1b9axtO7U5gGicPMjiIbm
pwbG12v0Chcv/NLuEjr0j0GJxyuujRCAAcCu8paadQM+waP6lzxlqh9e8I4phwnz+Y53NNe+lRlL
RaJl+XqsVflbLvsC1A+p8gn0pfIWfPL4DUGstK1Urb1V2ixad4JUbPD9VI9lNFiJ3SKaCZ0YVQQI
XomSGj1B/eQ1civfo0KdVmYn4oId1fK+BRkpekyQ/o78gHRPEy/72hRVx0yezZVWTd3ar2oZNVDd
yytDQaISCHP4ldIv6MuJmq0+Vd2qqxDK4N7baXeKMKYrMY5nD2DeeOha0udONA1oCMOokI8w6qvL
1kgEeyKMbDxZr6JDncM4xGE77sEd68b1JIjplhbh4JlgAIxNXgJbzPO6XZHjbrwhopw1doV8x7Dm
jREGRPb4Ps84WWXZRSbDSzTaTCA9S7L+vszm9Ec+hchUuxpfHX/OtbXUNdE1qPDRbUQZ81B8snIe
SWqMXiwzs7oMsgvqmSRyI6PHf5t2ulnnXAX7ww8nIPNymLnzUDceuwdBhSrnsGUHya6G8SsYy2lN
f0t1HaNt3pUcwne9X8ceNlDRvmoNf9uokv9NTn3rakyV5lGuKnjGQx13R2or6oUo+/KeTgFtLfja
vOuaprkCkoeMN8gF1e79QsStvAVeq9Ac9bVJZmVjqVmwSBSG9MngLOipKB9TOwelivBDhdnY69mF
MkrtBt9D/SBJXcVhNMAhB54numxX0NAaOZHc9ZteRljo0ghVZU5mlaNGpqI2SRlg58jfjEv1gS+i
bYmOgskp6Z5vXLoopl0mx4LX0QtxHaLr28MrH2/hJUzfu0bP73QamqidZcn4ddTboXEoPbMF1Iac
3g5BVCOg00w/2aRFVuFSqZXVo5nq8l5pjcpfBQjWfL5fUN8pSqjt9UlCjGaIXWQ5uhXNzXKgKXCa
GRQKNa3W4ctSx/4gu21ckIxqe51XuJuFQbRlfoT+ZKXxH8ZBxAU/NEupeoGVbBiukkXVTS8wX+vh
ZaBJ1p2S1Doo7ThgmzlKQvdogGKFNiMNKUbVpd58DcWhbbaodOMy5GBbZsZmnI1ydnq9S8gepnE+
XbFmFto+w5XMixSJotmc9ByKlXKl1mOwL/2wRyfv18VAlj/wezfuDYGuUT/I9RW5yVFbq1ppPLQ4
zBFmKJV0EUoVpiOKP9KeoeWDugtlI29Ys/rgBXqdEKxo8k8PtOEqj2jC5OJKAZ7MPAX2fN8UFXFR
ogSDgH5Ebo/EX6Q/8iAcETy1gOJ5AY0fqRQ2AdCdTlPtiWal5bjsdz+hRozPamKFGxrjpG/go61h
RRgob8Y0HNStVZvmxYygYReQ8OGkCxE2o1A1zcMV+z3qE9/PzSO01/SYZyK+20Ulf7OiKP1GZ37t
O03Sh1/6sW7XelClq5SMIyXHZsKNUmoqYWHACNj6ml2hkoDoI/M4mIv83QJnYYhSYa5VXO2zyxhd
wfe4MZVvuGIopk3LpvFSIiha5ZpYXWuxmtzQjFE8hgkOUXxV0gSJCR/PE3rfcrFIazbNoMr+capF
nkQx+QQLU1grOPxBT34qxwQdbFH40gP+DTgfzvTXAKWVOcLpuOsDv63rDNU/OFUkB2ILYdjoWAsi
cmnfwh46hREF+SrgNJ+ihhva73LTxHey6ueXsloIVw202Otlk4rsMB6lq8Qo6jsxpL1IsUoF9Pgo
P3Akxk7W7/sGo/VQrBOHYpm0a3W/nm0xwKCjT/P53gyt6G6oMmMtI8fZoTpFYFjGcn7IMqzi7CCp
pcGzIj99HkqjeBi54aGNoLlwulQU9sA7itu0ptsJXbHVeDzE4DojPNVtgaLhQoUW70UhorODyCh0
k6lDopflc3avIEJCzTPP6aGuhnnaWFGZWF5bq7pbGJG564uShFhC9DYTtEtl6GH+KVx0mBRfd+kU
73O65Ij4UpUsmSmU6zZE4nEdQ81LHMp084uRT9aLOJbSV5be6pBUBnuLjxfXtjDzvrIxoNCurIq3
yvL1/kgXHIAZYayDrcB2ss67IEVfmoUrAR/z50AezR/6JJYIIdV+fDE6jFx6vvSx0TAFSzipY06c
0c0V93GwTkR/JvFpifByguiQQ7a4AVmUfI845X4dRnh/dol2dUddQdjBWR7v+s5oWzfUdaAYcH/j
C+TW4bYHXO3SfqkpRGpVfE8BOvpW5HBqMyUfjj7hzWPVZ8q1OgbWrlbiYq34kvxjGoPwh2mmdYq1
ojx+M7JSumiiwFqIIlL7JUKORpeRoLQbqPDil1gKYsOWwgARppgZ4vds6MrLkgArs5sKPfKa7W+4
T0Krfejlqr7Ho18Wr1OOf3fEoNroJIIYR3bHxJWRhAX5tQAYTndk6OEI4H2xuRfQCNO43UjyTaaG
ChGUMshU0I1MUo9KQ0PzLuvH+BH4R3+s/SDbDmqkEzyJZsobYJR3YZGMIx2c1Vw4kjwIF2TaKsc0
guIbk1Vwclpwj3k8TdOxrbVkIyQDaXWkj7rkFiDXf9TT2N2WYS+nh67ThcLRG1o2eaclgyStkZc7
CMpkiHlUdcAymgfaBVgEw1pDMs8RlJed/pVAK2KaYiCq2L2agkXOcfop3Iz84/dglMfnMWuMxiG/
ZUjuKFhz6/Bt2m0tT+q90DW0PzRUdBEl+lJv+1ETPJdmNd80wyB57cBB2J7KptCgUJbAUYJ2WE04
Bz3rOaUjJu6U74d+ZNy563AUMdUJKXxXZqT1VB4sHlF4vWKDWgfCwTKKc6rht3VaatCos5ASsR1R
aVt8cd6WxgYfWE1kcRSvk3tDvUR58/mJ+1RughKKFmMMBSg7I8iij+ntANDdgnZqW85BzuCRaVI2
7QYbLjoX7HZtbc8pak6tBZbxkNXrv0MMDcn72/HCZhLjJuyAYq8mz2o3+arfqIzXHmle79f1obuM
VvEZEcWpnuPdqCeF6JKEuzjpXCVOaTfaReGwLdiDW97Im3MMv1+NTq+ip3djnTyyXsn9UrIYi1V6
rbJGsGW6o4t2wmq30sZ0kfF4bXAZe/4zGYdNm9hG5AC7X595tO9iqbe3+lRWEMVaTz82X0Rd11ty
PhtlLTmkDM9e8qlBwe9LRpaGAzjN17p+opog0jXi1uehLpecu8XayraN2+zbm8QN3MKbv8Wqe+bq
lgbq09u8GNiqKOpl5tRJ0XicBIRn1Cu4uuxY7chx2K1t2tVduzZ+JzTeyApeh6UfTlr6mtBJ0ldO
nfzk+gr29XEKh8DWrwdP9FSP7N8KA5WduBLdzM0uQaic0YGdaHCWnkW6XegalUG4EPOfDCmOMWpu
8CW2Mgtumvau5GWrMPl9F/9/quZvWBAvPL1/najxmvI//w/WjcW/3T7lbfE6Y/Pn7/6Zr5HNPxaZ
A0k/BIhohBcJ1j/zNbgj4uqDWImUxa+mx78LKCSSMov9DWsd5mJQv/g2f8/XyNIf5FXQ1RnIrDDQ
IAX0F/I1J3sEVVMkGLQNIfbjTcCV9+2SKiRx0hVDQn/G0gdPJbHyz1orL4vWq7ft3RgnC2iYjORh
lzSued8tb4BTOfg79Hb43fId4nPtuKynihN7GBshc6dq/+rhfJAaOhVpn36DU6ctuc7UCBkJbFIn
e5pGl2jKiV6q586N21XmCi5cmjNDnryDqGJ4cnT2IsiUoICc+h0YJtXRvi4b2z9o39o7+q/EL8Uj
qvjWHh3W8Ou0dujryNfGmcXtRBBzOvCpqVEDebXtKwaus/tSvRSVfaqeMxY9N8aJQcVIaUwcW8Zo
hnvJn+3aih26Ac7cww9HQUKq4UjNYnaqZqXCEQTdUDT4N+PLrc7xT6E3jr1KufDMw1pm+esZujws
hE68hSI+h0i/374FQ5CBDqwYCUaCk1Pv3aqOtmlehCPFbXqq2i/TXb6LLpUr7e7zoT+aJq9HXt7P
V53PqR/gyJswcpPptmUJNid/+q9rkN7nmr/f3c5fcBHKv5yfVHI5y+evhoqVAQl9S0GjdQcP8o6u
2s1ymEmczqX3aKGd2NqL4Ppn3r7T1x8+JirUf4673IJX4xbqfy3URPs1PudTtkIDN9Ffi8Or8f1G
7SZq+xTU5ysLhUpriHbQfv38OZ7mvd+NcvIgZ5bvypQZZVx1X9A+xD6dWba6HZ3BJWo1neRBquzQ
kwY7ODP28qffzN7lBr+6wJMH2yeTJAw9Q6vtlxYmfBD95TfxZISTR4gJBxwPiRGiCaYqPgiK0XgY
37if38QPL8RgZ1MpLuHgefIa0pZNc77CMIJUA12Y7Ll/+HyE05Dl92N6NcTJYxqCIZV6kSGWkEV1
Gmf+rl+RXt8Xq+lCPme2ePLKYTmFLBc7IyQqvwTpy6vxauqRlE7EIMBrRu5nu7UiV0zpey7zM2/Y
mWGUk+NsZLVtOlJVdSbxEEQ/lfKHrzx9fuNOVsjfV0IzN/Ul2O3vVkikE8infVSVaXRj4dBgyvaE
Wi15JAF3ZjU+WRJ/D0VESeMATaZ4oLy9aUOSyalZcNN6Tbeb9EvbGviO4D6hnJGqf3jbXg10Mhd6
BJScsEQUKU1EL6JxgX6DRkRt9fmtO3c9J68nIqSgRJsZO/o8Ov0QOpl6tBKaSsVz/vQn78+7O3fy
mlaCOs54b8ZO4jfXiZxdh3S1fn4x54ZY5smrGR0JQlfFBkNkZWDL8WOrnXkoH000uqvRz1MtXc6k
bwcwa+gu88R5YrLoDwJ/0hrX5ai7efJjaK8+v5iPJsDrseS3Y4kxghAx52Joo3elXLKnAssiyiuf
D/PrO79aoH89F2qzTGVWAeWdwQWF3GSUCiV2UPiBENJQbrniz9BJ3WwdDE79M7qyfsZHyxl30ZXo
6hd4up3rU/xoFnKQ4uUlsl9wN2+vNfQXRxAB+VW+FzaaS1XuqdgFL5bTe8NeeJw9HKnW4frzK3+X
O1kWwNejnsz9oU4obobg16ddfKV644bCz2Wxle3E1W8+H+vcBZ5M/q4Mwr4XyIb0Jk3hcbvu5sqh
tcyZ/Z+fj3S6ifx6nr/8pbEkYn0/dbPFN0RLVLGNHdq318aqOATr1jPWgVM7gnsuePnohXg92Mkk
RV9UaUaBVDrUa0/UYL6CE6zluziVL9vyXOrgNFRaro0aHvODeAhjrdNrkzVr0oqY5HyGBdkquagO
va3a8dPgBg4qWfcvhivvxju5vH4W5gB1deKIaO6b+mXpn8Gk58wr+C7LdHpZJ5tKgI7ZbCUqLFyW
Ka21VbOGKvI4/hT3vaPbKMvW3ebMNPlgRr65lSev3FCagqLRBOBM69bN71SneJRjhKzOkkmrnYCT
9uBMF753ZtwPljXsPhd3Z8z9NJLAb191efQVYZi5pcXPzpMzV3KrNQknZzSdboUsdrtEvGczhsuD
OlnkGFXHho11my7TkygfN+ZxQKOXOP5B3sletNO8eff7SnPnXEzx8SVStFg4zWTwTk48MtW0wvCn
xGnlH1nP0Z4iSZoq9ud38oPNjluI0xtthKRo3gFYZs1YsGCpg7LWnjN05dGZ8+hHWwNpelKDNMUt
h8WTedkiLxGlVmf67/D7PvKonMBrbePauMAV6G50hPV8SFyKYRvjKlqdu48fTVFVpFtNMnBlRLfz
dqqY2L+JGF/yWrSmKweSk8Wpk1XFbtbPgaU/emQIUiBaAdRcsmFvh9JpcLYELUsdaxy+amV7AcL9
KTrbfvnhFWFbhkcLGl96qd8OE5VzJcUiV9RP8jrUvuTyU+n3Oyt4+XxufLhQ4u6D2IqTKtqu/8ve
mS3HjSRZ+13+e4xhX26BRG5MkiIlUssNTKUqYd93PP18YHV1ZYI5CVPV7X/RY20ja3pGwMPDw/34
OfMPOcuEdG1Qqt4P6Nk+qkcg1g6Ns2fVNh/5Yi/93T+Jk+fmFocahIYpdS3NcylUvkypty/kcZfX
6eZfLmuxf6YZhcPYYCc6BJ9Qg74DD+tW7hz+8+16d0We/94ybFAnQ1OKbB/uoNltzrYxKkjuUCqJ
nWKj74Q7+RjtFFvfqU8ErmE7bMpn6y4+Cq63z757H5tjG9ohqGrPVhz4oukQaGs7cM2Dzn/R4sOm
LWDmQYFyQ/VcNXD8vXJnHoxvnmDTsWZWyYYiRnKzJzCVq1XDRa3k7TY8t734yvTtEzghsZ3/BDXe
HPr7t3bTJ+hCfBeQCQwbrvdFcenvw++WfVvrVlyLeDMZLPwASBab6iIeAAixEpmasGPU4U7jBd4y
3Hbbw66bmBWE58ADldDlB69TwrYxzIwm/quvnErr6fbff+sCvvMomoPAABkMfMcerwx9NzKDHDlo
E/cuN70z7ZkZ3XsbmGz2g0N/8hUYUrw1nduWr0W4uSv5l+GF42gwa4tmBURYKL4O5ldZ/lAZKyyY
yzLTnw5yZmPhIJHeV8zuYSM7VQcJvLYdugL9SB/N7aNwNO/EfeRU23Tl+XD1o52ZXUQFhXZgSI+e
Km8rbKZQdYbhcHvzrno+WnZwbs6M6MtiL7IUQ122QJzHo//W2AXfsWt29cpC3rXj5kRwTnFJG+ZR
7SWNCHd9AdGzFznDl+iT6MZ3QYN/CO7cghBBOP8YXsJVz7i2fTrNRrrlZHzW2xDrWZALmT0fjbyk
0oqmawueyBw2t7fviu+Rr/O0o3QGA8ySb3KCKDuINDocZv0K0mEmnLOrbqWEfGUZ50aWs7aVYrGQ
QA+dvH4N9Lu2W3n7Xzu6QHgtSeT1D8J5mbmOdSW3fiOGDnCrt5fVjkkK+ZMNVnPGFcC8aOePIdin
1VeWPEe2RdSAL4MuwNxzg8FgcbBi5oSEXJyfj1t/b91Fm9QZtqJbO9lHwTFP6X11Z7wk38e5ZSs4
wT0N6/SjvrIB176iyQEAFoagCHy8l7FRBrUiTrUcMoI4nbgzd20gfxQ8wf11Z5mVZuFFZBSbvvul
makoJaWSTbBwcBJ0IpR13mhr09rL9U2o9N2entlZBMSsmmKpqbFjSLb4nIK/3Wj74FP1odyZh+wx
3+kbZae89rKd/Gbd9xvIKu8ZKF1tib2DVXDolfMFLz4uN66pjgo/RHm0Ts22dYeN7mixQ4kp2GZ7
AbTsp2GXAZR9gP5tX+/Vp+hlLde+FnoufsUyiPpgzqMBFzMeySug+K6daONtpgdGnC2bgqDD/Md6
/+W6U/39tefIexZ8eFvrDAGxeCpUiAxFDE1ZmxJimttOtSSfna+ms+Vp4uJNBmWsJnUaCMthCz3i
KXxuH/rniVhOcN1w6f4ct+1BRtXeLu7Nf+XRKC5erlHSe3B1ImsszY9KAHn7hyj6RcWvd+tbPGDM
1E/0JMZGwgwD4DWYVb9Gwaem/EX6/3eGFklYQcO+EwYMjWIL+8V9sUbkeN0joEQFIyaBS5nj/JlH
yFPDbDQiiU4XnRQv3OQW3H9wFd92iGu3xRxM/7KyiDJowhVlGXFbDMXXLBydqvJXLr1rhThc7m8T
iwCjjxkykwkm9CfZEWyD8fMNVVRn3Ez32VO9/3cLWkQRptw9RDDYtjT/jaH2qnj5d39/ER8KePXl
ad4wMZvhzJS+hefbFub9eBeQjbmdjjglNJ4LzzKtIdf6QQ0dqZMcpQnspv0hNF99Koq3Dc1bccvQ
wsMgqYg8pl359iA9FO+EzDigz5++kThNXazk3dfd4GxZC0/rSs3sKTlAtrHz98XjdEdp76XgzarT
1KOseHttV0/PmbWF0/XSyDPNwlrbnOrkIam29Vo3+frNeWZj4WqghxM4PbAh74qDeEyfVTfZ+q7g
am6/K3epAweJS7XmA0/hwC63heNv1+/Nqyf47FcsHFIpwNVLFb/CgDXZbxnCaJPt7c28kvZDzva3
Ry4up7GuC0ZRMDGQds01WQYmttV6I+JqeofWFsUn6kIINl6GvFCeiqrMsKM9didlM+0NNz5Aq7qZ
WxH+ajp5defOzC0OWp01k9YxJeCM+d1Ei3n6cXvbrh7ks7+/OF8MW+R+nwosR5b3QlK4COK4Evy5
Qrhi6WpOzpjLf3ducbjC3Mi1tmHn1J20vad76Rp3IMX93XCcM/IZFqM/p9u16vnaDi5OmdrPdD8t
l6AewaXgZ7blf7y9h1fPMTxTqJW9YYwW+UoiCZ4XRHyjYNRsQX7U5Nb21BUyuuupJ01zyCTnq3aZ
a0fQxKshghJv0LPoNHyYHtWd6Cjb1I1d/1jtmyPj1NSYvY/qNt2aUCE8rjX/rkXjmYlQI0HTYGta
fEKCPhJOIivVxsDufd5W9CH05D5ST0z9rYT+a9t6bmzx4ZQ2Tqd4/nC1ljpB/SmF/y61Vrb1qlee
W1kEyLHOBiUrsNJ86Y+jM23E4+jqjnInuOOHBgKSV9/p7v1VaO3V1SEupMF9NTOuL+zqBbGsUdlK
IznV0WvSnYbpy22/vHqdgarXqGCDfmbS5TJWZXWfTOb8Cp57Vbt+53+DOHvD7Kxsi7wP1p5p12pK
CvyAzN3Q5WBTF8nzMGP4p/myaX6MR/3Y7oSH7E77Nn6l37jN3GKHyNDtJV7fxb8tLqKx6CViFwns
opoHdjX+UcDRUwRruhJvXaBlFnK+sEUUbiwp1QqPhKp2G4J+9lidRFd8yXexIz1Fz96juKkcOv8f
2o/hZu1JMl+Ot4wvQvTYqJUlzEmJFsR3ec5opVXulSZChN7atFBSOMNorRRo3o1Az2+w8xUvTrrX
q0XnBRgdj81B2euH+ZJD64En7T/4giqD5vT8UPKbAcrnT4ggrUa/DOZTHqa7vobVp1NdKZOd22au
nwU4RCnVgc9UltVixibnDhyJZCQJjmyZjleWXDpN/8KMLhix6XmCyM02ovEp0LVtHEA3quvDz9s/
49plBBrpv79iEdMCOestb8YPR0zSKI9J+fzv/v4iqmTC0CvhnAX5VvvdC8XXpDVXyuJrS1jkcmjP
/OfNVzP95YsfizUm7DUDi6il1Y0RVRJ7xETUSROiA4DeNfe+epEh9DQT/UEvumxX6mok+lVL2tM6
rWvu0u/mca6hzM1t+kIlVYbJnbtU/6CyD484L1l8UIQOcbG2vBylduQTQQL0UwEfpCeCLQn+SvXv
Wkvx3Myyq438SYUyLG7gZcpr7EElJ0xHWNO2XRts6wgWrF7o7rIS1QduCDtUooeUqdsq8Bv3tkNe
DdB/L/itbX1WIeiKWoDPcX6/VaPT+d/0sLMt5qdvW7l+us/MLKIIlLzAyXQW3B/N3ZyVF3dzq5Ey
lbve2JsP6buAfGZscRvw3TITeBaHDBaYQXTk6FVEYK3w11Sh1zZvEfm9monFasJQB8k7OkC2Nn7v
oTe7vXlXrQDEhPcVKSuoNi8jMBo2cRtODdhS/UuTfVEH3RlDZcXI1bL4rFP7l5VF2JCkwmrCAEf4
Cy8LEYGOtItbfPQHl8FpUljgCm67lXgMJIZTB3YW294QojvlWJ/+3ZoX5zDVlUKaGrBQSXwSc5Iw
MOxG9tttI9dzy7/WDJPK4mEQSx6kGWDlHPN+fEXexM22JiNp1m5yYDXaziAvYWut5mGzW7zzT3h8
SdFpAACUuPygMgfuTxRvpMW7eIicAH2FlaVdSUqQb+ENPJOkwPc8/4azc03rqGHklA2UC59WVCCX
wi5X4deoC595MTqYpW+3DPJutTFmbpWR3I2cq7Dfp9bohEHGFsAN4oiCWeznERBb7RL4Hfuy+wib
hrmSZVzLZwCigQKmQqAp72YWJqbtpzjhU8g7b1ds0920Kw+RjUj04fbOXDlNF4YWN3zao8RpZNTm
xUnvZyC92SboZyniSshDefjdZ2aeC7gNonBgHmhRX36CMYRpDFqY1MkKGUJyzw+RXp1EMZFtrVE9
ajljBoN7081a5IUuiB8ruda/jlxMPXoSsaw7QTchKWrUA2wNrVY9BVU87jWNireJcMqXSuGgOIrZ
1V+KyYsfUKQwNTuzhPqQRe0ACzVtVpNB5qdBtSa7KDoF0TMJYgmt1/qnUCeohEZaPrRwbthSJGQ/
uQBnNZfGp8yKBvIxH5R+MwwtamkDTItZncA6VaoS1HnluA8mSMxK/s+2ab3OiShUbEp1MLYQtaFn
NopDLtlSmSiN0+dmDUeuFEu2MYFx2cCwET6aEzSaxyiNlVcZTpgtKPr0EIbp+C0Vyu6ONiFv9cTQ
/Ze8t5Bygw5aeu6SVLk3rfGHlbc0xSu93NRwZOyUNhyemyyMHxmXpK/n58iw5YDhpl7t9pIOnETS
kpbHf9rD8KdW3XhQO7X8kYod/19pqDSw7sl4qsxg3EtizcNsQE3Vq2r5JJvZJNj6aPTivoFK4kst
FMHvvQQtxVAF8nPTStZOStX6cZJg77SFqCq/ayARc7fUpYHSxtSih0OBpbINWFQYdA8gaZOHYQN/
hXQPsY/+CDQ5NB7CsBCpknl/SnAK44fBH6cOht6kVDqbGfikOaK4rhg7qeAw/QHdccG4MCA27aRZ
8ICfkJvXEteHS1l0EQmTrXtk7wNtG8EcVN5NxpjJ9dYsUb0NUClAERK6aUTaGfwwtvCnwfYSNZES
uYqYKl86QeIwWhO0lONMreIZ4ngQ4wJOxbGRYUJsRUPbNWzfHYR52seoDZmwBZy7b2E9dZU46nea
EfVbXoLxkxxmyYcgLfV7A9H1L0wlps962Wabfk6H07JTn31G+I8eQ1xbaGClfRZryQcpsgKXeYH2
g6YJpZv4rWwHcDZZs8KwfmhqA9mhMDS/ekKn6Mxy1QjfVJmlfiqHPjwK2hg50MvC2KLV4R+G7rGF
sl7XDvKfwTaEPegQR9OISpURV8+mUKoHsZRU1wCi/jt0ddWmNdr2IeGYD6iPCfIe/RJIJqcwujfg
GNn03ABwtOk6Wj5jzVVSjPEnxUA1UOlT9b6VBNjkaioNgWM0yqBuVMhWDkmqWTtFj+VT6fXJHShT
6F0ibYKJ2iihq/IgLNpNsd8bD0XltY+BV0ZfBKWWH8yukx0zH4EKZegHQY9T7rW2QLp7UKzmW55k
FqRGcVa7hpAw79KaWX8XjYb8Xc0meVNDmvUqloXUHUdtgD4+1CO4GX2ruaO2JUewXgb557TP/QPH
KHXDPi/3RSEr7KyhfU7lLHyCJzX6MANGnupRKHmbzbSDkHXCbaTFEN5VUFY/yG1lfSAE6LYq5flW
Nfzogyf2MOykUORVnWYdUqj874OpEj4yFZ8+EIvGE0pi5kH39fCkiqmwEb1CgRSCTm5NIPxZ+tB2
ib3U7Eo4MHdQRlg7D1ba+zGeGjeLxeAZeTpI1P1B3HcGHIBNHuubsoX6JEfPZpe0WnYKQg3SR1nJ
N2rR9GxR4TUHs0klx7DSGgUptaJx3gVbWa5at+1C+E0kE0LfCWfORsXb9qFM2aSRUyThPMuHNkeB
TMmW1Lr+mUfeZNidHBjbuInik5cZwjOyzd0usYbxpWyLuLBR/rWiLU/s4rHyutQOmS91RwQGmCnL
pl0IDfMGEZqE9Ate3ZMp1v592IfTM3rh1avIvJsP9YuuIIQwwewVmc1Rzcfsd3hcus9NmFmbukja
Y2/lwW40fMjShlANPvet1R5DX2hUu0hN3VVGvflQq6XxVcxbeoS9GnmbPFGTT74eA4FrlUi2hYKB
hszypE9Km2kQQ6rt96IIExFW1Fh/QdNl+ArFKQpusozqhBPnCLtv4dlIHR85n3gTBn3wHEqmtIFn
IdrCfQs5LYQbM4lQPn7op699kda7RowgLxIzKF/GNIjtdKqkz35VJPomhO/4RTN5gDpoy2ifIrWQ
PhDNpV1SFqJriVReQJp6D0kOWbrWevUm0yapcYUUF7SNXpYPfiQnR6Fuq20nZO1Rr62sdaSxoHzS
dakLcZTlFlqVoeY0WieoO82C2WVLO0SSJ9x3Y2+dyMfzOwOS5kOmNNlvlpb4W0Esp4ceBe9jmmkh
pFVj9FBqKW4FzVC2z2DZfSyiUTpoPTzpnkbUUQrNdJoEUq+8iYad0DbGp8HkZtBzGFghWqVwVJb3
kpaJ+1KrBWTbIE3t57GAPqnqbR61xX2cQ8EGa3AMRXmu2VBntgeiwPBNqwZt32i+9trlQbzTg8n8
DhyQyQyYvHaaWOmEME5fPgTeVoX55zgVnX7QOrU7WJFpJHaAzkbB5G/8ajYjlK2TGtmZVKduKcIQ
lSYc+SFUFCZalcpVkjb56vlGfIcczkeFu8dWgxTOLMj8KEOkcG7zxbJj6evA2AAXuYKolXtdsCiJ
T4kKVCMrTVv1YnOvWJXqZqUXHtquYghYVOpyi0KT9EcmC+AUMzMZvutJoNyDUK/uBdVM/5g4C25a
5JHbD2SwpiIoR12MlBVc3vv0UQYoDY5EQZyRysT872d5daFCnmkMXeLApLkdgjvYuvchwuS3k9T3
L4TZCjA8EErM8CxfCCZvyjYyoXIVR9HuxQchWxtYvPIixwSzl7OW9gzCWmSnfu5XWZ6JiVNtRKc5
+ON9srXcfitxa9xFx7Uy4hVMzKW9xYNkTIqukUY2Tntk7lo5TXa0ASa3Re7PdhmP98Fp/gdK/f+J
K/4fbX0+2P/NW2F/D8Lv52wVf/4P/iYXBXQmA6fgqM+UFZRj/iKrQAgEUCFMV8zIMycwixr9RVZh
/g+vM1LnmXMU2hEEqP4mq5DM/+H1pvIn+Wf4EPjf/QJZxeL1yvMPogo6IyKVP7D9S5Aj4gWZ1KdW
B71TFt5D62u8WkMT3OtxM36oVCHaJXGtfjCpvDtn2/Thz1f4OYvL4nzPlpmPkDWFySh6JG8lg7Pz
LdSxYnHLAEacvg3eVzJ3O+zWOmfLw/DOyqK8YUDNRznM6OCVtOMH72hsk020sVyFe8wpDzqNcWsz
7m4v7apVAHCSTJMX/uu39tDZ2nqv9AV44xhMfupA6PU7SujRpqOcOvxUjsEeuvS99vtto8u26NtS
z40uqleqMCJPIcA5Mu5aMNqUOEUbTRNPscNv+mZgRAqGZ7c9CcfmCUjzPWRZWrjZ3P4Vi6f48kcs
q5xjCyEdXQP220/2StDbuVnyrP6tHeoVS9c3WQPYrCIIZkDRd3lBiKpgdsWoYMrxnszjcAiPZGL7
wjUfZ1Rrdc/jfS24XnNa48zmMpZrNUkWjwRbRovjm4WG+yGiCEDW3OW/Vj75cyc15gXAFUF4siyQ
G3pBBSPFh2Lxm6A91sNnEXzj7a+17FP+aYRBephv0BlDs/pyDxXfA4DX8rlQQt3lE/DJ2E1fkPi1
7JkadGcczW1/V/xIV5Gb806dlebeLFMtIwAyFQHCeg5MZ0dEikdotd8OJhMF02Y+lebGcGHs2PGe
3gor2cQVv4Q5ZhYzgtZhngy7NDdQ2YB2l4XyJrEndbID07AD8VNorDEuLAts88rOTDGkfGkq7RVc
RIf0nhqH0+GVPggchZ7v2ijw22G62ENgPnB5kSLRypsRt5eW/CpARjPKqCGcpNwWfsjfU1fao/Rx
r/9ufDspx/Y0nsZD9yJ/Rt6XI7niPovLg/oVtNmQHckK4lRkTwvv4SHgyeRPzHqG3dabdor2GyS7
NgpMx96sYH1d+Yjv8bBvBgH7U+mjorts49cG75yyr3Vbzj+WLSrPbXfIE8DzRoWglIyyB/mNnuwy
E1mavttZtbUNTRF218QOUf1N68/G8J0BKTstsxVBzvd1/csft6SM0GFFKaacH9fCdMugr+iUx/rl
t4YJCOjJOlt+7H5GlZ28UuTfJE/5B3kf3I9rbAJXvwmaXjgGNBk09C59osrqoJJnHtKoPniSueN4
23FLmo4StNjUNkKBK17wfhB4XviZyYUbyrnZZmGKSfUeYmQRPNODtTUjW0VjSKKBWANR5l29Vl9e
HOk/ve/M7OJq9yfTQLIa70u8xO7CryCGNrkMZ6SxssArhiwmEgmQMGiTrCyaFxa8s0JjtQb8pqUt
+JOdS7TUprvEer0djudvc3ae5xXNI5a0hqgfwwG5ePJkYykZbc7vR1nAf+7EWa4domFN8kMqmUn0
UazNlQbp/BhYmkRdknKXahAal4+TUICCOOwRWKiT/CmMHppBX1nUe4ecmfPILrmjmcddQmE0qjUE
ZKiY0ghqbui8923nfc316Vjr3Usom/sujve/upHYxJoBMMuS3g19dCIy636AzVqTXyKYx40gvI8E
BoLN8kE045XU6/0mXpqbHejsLtPauR7eU3hDCNWZ4JktguPtBS3yDjxDY2paYjHmzC03KwOeWzAa
ultohGl2VJj3uhFBLJf6GwTI1iSorywFFJY0v0tMHt5LOIA/aGbmR1D91p78kqvxQVGqlXmxNRPz
v5/tVqx3lYj4iEaRRentWJ+2bZD8uL1f748sARA5JE4Rj255+axJkJ1LCjnRbDNAxzBE16MO9ZNq
kE5ZEyMAv2iNOx9MGfLg9HThO1vc+L6om8i7UyfXy/6h9fLAEbR8J3R96Qoo5q5Ye7d/GuSFAB8p
GaEiyYT75f61FlrPVgBRbttOzlC+pubakL4i8ycuosLCxPzvZ58o7BUlL70JLt6jDlpadZT9jI/m
PzRusw/ZFnWxByba9+ZJeTLnOZuncas4si3fZS/yg78JBafarfEhvDsEmmTOswlvSSNDqIurzSjo
HcHgLCJAOdlxnDxL6e+iKX2//THf12s02jckpIRE5sEMcXGa6xFYQ5smvV2OfXtC9ZgZCDOnwFlO
uvYse3lml4nZudA2l1uTvhuqiG32EIKddCYzXHsHvL9e+T1UCuggwTEHq8Bi2RmE6bwPeChrdreh
kq9DsYVOm8t0iQzTYri1Dms7vWpzcaXPmmtT2WPTRDvjx7DRtu3OPxpuBPpi53+I9sEx/9WYPS+T
Zw7DetQ7qAhc+lwi9dTCfV6MijbaifZH56m21n2xhgiu+Mq9/ZHnP3bp4BfGlld6B89/GnkYgyrw
6NG/8Iz4k5CmOykyfppC86RB8ToESOfdtvv+7F7aXZzdqi2TwqznoocVbweaImOwBqxaW9ri7KqT
0E5pydKyWkUyCQ24AQo3exCKU90W5MFq/qVSfcmOkrVr9z3a6u0bMg4ApzQHdVn3oDcswKUQ8dR4
e9Sl7gwkmwn75kedcPjl2c6FucXJGBkwrWud3bSGzDVppOgazpIFK86yuqzlaQhH2uYVy2q2vatQ
QRruwnvDVe3ykG6zl7W36nUn+XsXFycBPVdN7VLMRdPnWHmupd/+iRP+9+8vMXHITFh1EfH3B58e
QtB8k0UC6m0b1yMIP/Q/rrAsBKlI63WNhpFumx1Chm18V/IczUUFZ2bq6RtqM8rhXxpd+H5ptVE9
GjhEtTGfho2ygfjlrrgrN/BjgUsGavDhX1pcXP1ezgBYpLNMjUvBHjaqA0sP+mA24gNO/Um+Eza/
WIMiC5xjCPLMFGyg6lnWvTpkVGDrZ5ECrb2RlrCsu1r28fbC3j1FZiPUpQEjI3BFCeoyGotdiohe
SqEr8nR/Y3qJC1ZhpynFVyUxYFAvtGDFY656/ZnFxbVbVHpsWK3QgQLVpQOgGvNkMSnz6fa63ucQ
l+tahAx4eCZTq1iXUjwZPuyswORFaSX7vGoEsj1yNEZEGIC/3LyyrKyY4ejODqUDiZQDHLJlWvMf
rOTMyMLzfFSVwUR4nd35aUklJO2crlN1t4Q0aiUArq1n/nRn6WCs1mj6lpjKFWKeVyGqNdiTv+YB
V2+usxXNP+PMjFehImHWmCk0Kjyg5gLGKXX9h6lSPe9/y4uPQrGWTF+PU3TnaNvIM33Kwu2QnEqC
ujU7xNWqrf+gH5FB2uq/zwxm5UE8ifv/tMr+T/b6q35+ZnDhgRF6x2JJ6doelXE71fHJaovXf+Aa
ZyYW95U+VaCNJ0zUg/GgReYxNnUn1FcnCa76ha7PDA90T6GhuvxgY6AZcEvOexfa8lHkbcCTwQK4
ilzuQQE2DsvWZq3q+X98sb+tLrwRwd8ki6nwoW5QHcSXaY+62s4/8dg/VE+zRXgkbu/nstXwZ8g9
W+jCM0V55gLO54WeJBTL0JVxrO201zfIkqGANTlQ3u2K3dq8y+pSF87ZTnUxwPc4L1XZKhtpP9cR
y03jRs8yiE2Kuk+3V3rli6LgQDMQyOzMz7aIXAo6gyOKWqNttsFO14V9kah7NKB/3jZzbWEWzxkq
8hDfyvzXS8+RxxxZ6rlBlp2Glsk9BR2OWQIVJiGP/ID5/3UW9ytX2oXNhd9EUzgN6EGPdmSh+GbX
ReiVTiSiYHoI1cR6mdK+tNwaiWdzzX/mA7d4boCIgY6Onu18WBb+0w75GEgZy22dZiNtVUcubQRI
gF5sc3g70Lih47LTt/E2ue9XWy3zR7tlfeFFU4ocI0q4o92lVpLswylFi7a0tFHadXTrfDDfRijP
aA5FcCZdij81dd8Ud0Np+I0thWmo//rdRVlu5pPjWavAq3j5+YUQmT0doRtbroFFSD8Qf3eUaO0V
e8WZZ0VPatMGPOVMVV1a8eLJk3MPAXWjHU1HkEvNVcdCcEHdTdvbDn3Nt6g1ijORM/WJZU7Gh9cM
emmcmzBIZr0u8QvCx+3OhOTbDjWv3g9yp+9uG71yk1APJMEm1MMQKS/WV6hAxpn7G219iI6xbmzQ
kl3zXPmK75zbWFwlGu0yy4phLTOEeBZ8/ENr46NXVy+8Uo5h1N6HZfS5K8rBFo3OjSWUwdWmKldW
Onvo0oPPf8XCX0JjkKSsSJFeH8bdVCIIBnjZFyvbEr/8gz2FwJpKvzFnv4uTOubIpCfaHCTGPzp6
ORJCyv/EAkNP9M1mkr5liAUMmA8DFlQyHJ8uq8C76LaJa45PRR9IFnOEoE8WjhG3nmCOAts1aT4C
fC9CjlSO+Nu/M7LwDFTshlyU8IzS+xzl9wZ0aU25Vlmdf+nywyPNYiDKQpufh8jlERZl8MpGARA4
CQB7Sg+JAQhO+N2YQM5Pa1zf17YN3RhAZ/R4JCidL40lbVFOYs958pA7C03LDqrfw/7n7W27dmjP
jcwH7izJraEJVszZyOSlmxY50b741V6BBmQJJBv3Kv0PBqovLbS5YjCZjoUhQCQd2v9GhSSIR+k/
WAisD5RIIRgjil+aaQptUvpYH7ggvKNkNlsgbpvbJq59EAoIsP+hYgVx/eKDNJNfRWJlDrYSxI9m
OB5zz69tX+/1XzZEWw+FYwUaO8WkZny5lqSJmwA5O+6jHtCc2L5EaX2fVMrHX10PZlCKZtQd9BYS
BpdmzMn3amQzRrsJkqM0DvvS5M5Pk5U2+fttuzSzcDEj1AWjtDBTldXvIMnc1myf9MhYaXi/T2ow
Q0OPqrxOb3TZY2EsuNPFOSjXTfAF/sRXXQl+99tyq8VxZkNstzXUX+4dYfDM5pIub4SQfCgaPlRR
jvSbg2RCqlNfOUDvb5vZyKyJB20nnD6LA2QGVT3CY08cAKvrGHV+HMAAV9LwrOjWGtPO1Y+FZBra
aXjfO0XBjOKRlqKLa4POs4dE2yAm73rtSp3qfdRhSaSghkZ1HTuLw1qEYqy3E9X7garco1U06d00
tP3utn9fKZTi27SmJHycF+Fy53jNNtBsKT3vlRx6sm14tKCO0n+0J89+Y8heueiW+CWszQYJQjPq
EnoHZXGifB9QeQGjIXKUm+YkbZCJCV1kge3GHVBPdIYHWMG35f72Qq9s54XZ+d/PgrjsT75Q+jOR
IiKj2dhuZ7jLbRNXnBATgA4A2JAgL9MEoWiUQlCQmWrib5n5R9iYu0J61AdvpWZ6dSkz3zfzizOK
Z5FadXKm+Uwg9XagBqcErWafMa5/sJS/TSyBMVo7TlLJZYH+6eBoVm1r5Uf0Oxwr8ze3Lb1PF3AH
VacrqmiAvd788+y7iENoiaPGIJ88Njt50J6Z+nHLEDopqdwYWbySyklXQuCFvYUfFNVYmRVC0fZY
Whkg2rYPJYSIky4w77VUG1NXUNr2JNLtfup6K4NPpUN8uPUY2ah+U/X61WJiJUGpeog/96bCcFku
tYi1hVIvfmdKMzP/yec+26FFbMtKVLRDhR1SzdxWWgSO1hgF3m6xy5zt8iPMnn32EeRYy/JIxsTw
Q/ghMO3I8EJ2D3d+r831eKQPJMc6RvtscM1mLzMXV9riXflZWMEZXCkyXP6QRdBLjNFgsJ8fUkNO
KbrGPnyKdzPpKXPVd/KddVjrm18PRyqHFYFY3itLIEBIa16UWiwqrT2jGhHCfckHGy15pzw136N9
vq3uk91a6/TKHYIb/m124YYl0EavGDGre4WdlKVjVJNjFWvJ+Psp7jnantlZOM9QCH4SzXbmDRXs
YqubbtDaM+loC7R4PAz3gO0S31nnTbvSlcc2VySEvGg4krVcelUdIm81jkB6e4fO7CGmtTjrrKUz
tuxpjSlr/mPvXBgSR9FEtlKkkH9pTE5LdN0Va25eNYeZQq3fzhRqawWK64s6s7PI1DJvGDyQ/n/2
SyVAsM1vBhcmbf2tsJG+3g6O18/DmbXFZdmNdVpUNdZmtTrrS/S1+jozXbfbzhV2Yr2p1guY80a9
20gKIrPSA0PMS3yxqHp5aiaYTA7adrxHCN3pt8E+e8qcVc6lNVuLzRxUH5ry3JuXJzrF7woM1KD8
n6unWRXk9lZePXBny1rsZD0ImidH806aP7TpR9fGtqqv8XFdM0JGSBZgKW9ivpdO2JiZaFD8/dM5
NDqaP1XGwjd0Jzbmo149aU68iV5WD/m1hODc7OKQZ1nXRYyQA424Tz7pAFmBNUHnbTmNG1sHyRXt
dcmCq4GTl6/GxOsbknjx7fwEBW+9NMjjkP9RtlRGok1AFhe9TpU9uPJsc5e9rPYS5r+79M9zu4sP
mXYldaUKu70De4kTvPGWQ76xkzfiXlu5e1dXuYjTatIkjK1jzbs3d1FkB19lV9nnO++TfhqZBzNp
ijfOuiTJe80oAjfYGhJkEySRaS1qNdpoqP0QC73dHqetsS133il4mNmR16mRr7rPmalFnLbMYpqi
iFPoK75btGCzk8y9ffqupl1/L4di6uXJGMQyqdr+LZCh5B19BWfyMQq3Sgqi3x6lNzVYhREbHy5q
63Xt8F995ZybX9wOeSV1HpM2pMwHjfI1F4S3kR5gO9xpx8YR73694X/+9SxxcTgUM0buEz1KOwg8
B9Ipuwl1u+tj+/a2Xkuez5e1OAuxKhdZGWDGmj4Iw48EQm0xy3a5eUzAsN+2teKRTGVcfkItNYTU
63CTWrOLQ+rmO+k5eBW3jcPrd81fZn94d8r/65NguS+NFfJf/hIdukPyMXV+aDRbipe11u7V+/x8
CxepbyjlkDWMrGpUIewuoJdFTmlEICOnHRpus7Xu9fzDby1skeGqU9HGxpynqGnxSS/y7347PWVl
uJrYrhlaBBBVEEbV81jY0H3UdzI8m96B4zY9lz/01jaYdIHEf13J7HYwoX5x+eESuYmVUMJsYU52
Z30upLUpsmvP7LMv9jbMc/ZYCQahjMoEC5UIugCylbTetJ7pNsMaFdn1tcyMd+bbYMbCCSFrQfYq
5K0oa190pCQydQXKf30pM8kSFUzqPIvz6416QuQlO4cawO7y/yXtupbjRpLtFyECHqhX+PbNboru
BUFSFAreF8zX3wPN3WELwhCz2olYFzOr7Cpkpc9zcqMeA7NLgBga/JEjwzDuf0TNXi+hLV+MIkyF
/hKiv3XkjMRCI/OemO/l0+AQN7fi65r7XL7AT6GzC5RoyssNnbKcwXeKHPSAKbNWzNKynn/KmD1g
oRpEJkx6jn0mN95VJ2HHvMCVXN4RQSIpet0jWanW/oPR+JQ5e8QhJ2O7RMNlTlmVABwwFUOMG2aP
drQtH/O1rHjZzH+Kmz3lIQbidEcgDkyLPbbB7fA4LcUGLxrcJ0jrn+ocO1SGDFMc/mdP/B+HX/7B
7n9Kn73ootUCRkdIn0xx5kxkDe9TDpef1rzmcrT1qaTyLErAzo6SAxoK6bczou++EbzwW+BysVFb
zAZMqRs4ymZYZRX7h/Dg7yPOZygyNUp9OhWhpiFY/jVnVuToVo0EGWATfPYv6CgWE3PMFfznPcqz
CCGoOzzISYUKyVS3tVGaqWpyl+BDPqOyPDz5Bm/QrRRZgBZai6EXn6WIkpuGdilWcefRECNpDPB2
hNDdJYjeCFurkK8JmB2O5ESjCkVCwhE0aIBZGgdr/MiT1v3mR2/OMDOdPadzJGEQARQVhHPM6xzO
/Rf5/qJ5uZEzHfXG2/A94QptSummFHUqD4WxkZwmrE3iRsY34M5n60HJol+4ETqzm0nRY0ZLhtCe
GBVK5PQ9xD4iAfBeXf9EIx529VvtteaKLV37bjNbOrIySLMUciuUG7QQW5CpC5hRC6BZHuhWTXBA
rkSVi6bt5qQzS8qwHRrEDVQR8wjgSCDBe54APFFIQYNXM08pVm332hlnxrQBXposTB+U34qmagoe
OaqZUzu9PWXntIQvNpKnlYudFP4rbZ3Z0KwQOJJyECq7PTjKrABdlhTbvgG4fv5F8rjyOOYhErYi
CQa5cavQFpPwx0y0ACrigV7Q5qO9H+97cNgmgBPsHvzGWAf+ny9Uo+6H/Ofzs/70KTevJkAcU5aT
haEbhrIjCjtHySXb1FnbKF023TeSZqamAqdBn0S4Wa7eTuCIgOVULuo+D41u37wAhedPoMJnp5vZ
HlVNAWw6qRCw1jYVZmwvtZmbEwHd8M6/06NoxQ6/ttK6HHSgbYYtSayuoW/5qyXCPCP2UDJIZY7k
ULP9FtipKV9FJ3dq3lhNmZffyd/itJkv7rm6AYEoxE2lx+xZ203UG1MtELhMvBWDPLdZW0v+2Wz8
/Zl8ypw5JrFPsi4PIXManqzveq+2B5uvoT/+zzJk8yD9mF7ppLEiqIr1U7upDsRaa38txzyfdz0H
9o4r1neAOpnea7OprkBqAit5u4m2ZLN60cu24fPQM22Kge7916FBgzx5GCMBwmflaQAgiE9rrn/Z
nX0Km7kzQFVJpJhKhb66KzXdDOvnKPz+tbVb9l5YCgNQDtBwpJmFFTiWSPkwhatUshpiEXYQNLuI
1xZWluSg+iijzS4CsGUexnBlVXNynmCuXaqNVL5DI8cB0J0JKLmvD7T0FIB2A+BrjLpjTmf28lo5
ajQxRCMj0zwpHa1KXlW4pbPciJhvtwVRL4fhEP/Vp5n4j6luiJwxtk6yw9wc1m9gTBlibyTVayWJ
leMps1fnJ0xp1A6ys7pwMbxs0fZPikcTTD52YERtQjqY6V1Fwkrucn5KIkKPXUHiY8Yb2fEf1yv9
S4YSsmAjsY7PS+p8NEhpNaks2nHqYIReOMXyqoUMScCya8eBcJzcf60eS8XNXwTOfNCYRRoAR4dp
owhU4yhJy3Qb3gFOQUB+9iYALVn0dM3gGisW7XQ1bVrQHcCHAbhogpxRlHnrK5QjPcJcGc7LgndF
9+2Bu2h+8z1n6Rr0/LIoMENOA+cYFpmFa3mkFm0lYYqCsdKqeO1CMiz08kwweCneZCKGwknyXAnJ
sx4qnhpF90mcPNUxlgoxWtvq8hFosx9fX/+C+mK3GrvjIi4AI5SzYJm2vlCVLY5fDL3Tdf6LX5Tv
X4tYijIwbwHklJ9zehjK+dX39rTkOeCMT45psIW9gEaVxsPfozFtiztgfP/BXhziJ3CRkIkIVISN
+1XiyFMiMb3+a4V43APKcoKgU+7C+/FB3OdO5vZrKdVStxEyMdyt6RPOzzwNjqKWhtoAmZ2ZbapN
cw4RYRR2upFwTNX7o2LhLwJnD6dVKGBnRwjkxcLQum8iFjW+/nIL/k4UFB4b/hps929cCQIpJUqU
Ch+OvYK697HKC6vye+9rKQvx9oSlA0kqcITw168fqwwwliaQCdUHFkfZNV4MmDJxt9p8nkKBWXz0
i5yZZ6VAR1dpoDJDPYyOCOAghv2LygYcuflvZrUWX/vNsWZ+Tw2bpIhAWW+0Cm8xgBmzLLZG8Ymu
OdjfUYJgrW8uUJ8Fm8CVIykQNmFXnlCAsVs0FCmQC2J3AplS7ztH2k4kZbVor3ehF1Xk85Rzd0Hi
mBuHHrKLMj8xUoM6pcAWuT8Rl32tJoue6faYM33Xwe0sluiDIazEAQWDOvr3wh7AKt9ju8Qiqy96
RWH06e/f5GH8GKRyUOJstS3gRmsXvvA8IctpyMWobKx19Bdt8c1dztx8JCR+QzscsB/PWilihX1t
43Dta83sIhDiqaa1OFFU1KeET8AIIn5PiOisfKrpyX7x1PTpbdzcHFAVMY/bQI4C+iwY/dBLwMyB
qMVk+GBdi2lFVHvt7m21I7V2hzNjQqXSTwGc8VeDe7QEI7nq6KvzjqF6QCRbcelLs1+/PL2ZTelZ
oQtDg0/WmdWe209UixMIgHaMsaLaGMDmw0xmBfIkbZtbnSds1njZls8LDwcsV6xaybMvCnLFQaph
XYy4B8qXkKuXsqruv/6cvyN9/TQw6LJgrwdzkz9DuJvPKbWlH3cMlzqeYDnNFARzNvM43hB2AP01
gRSyLwwwrmzbnfRRHRTzX3GMLSvV56+YGVS+08bCx1nxHH033Qa77qUFyrSXuszknfR52PcPOaiX
B7qmzsuG4G/JcwABrfN5NZoMAd2MjuLUIM8cFAQwgJvwYscHruTKjS+/00+Bs6SiHUDhrUxWdeSB
dt1815vQBT7R1591OS5TP6XMDKqsM+qnI6RU2HQy2iOqeSZA7cBRApN6pPbq45z+wN/NwqfAmUGt
5bDj+vz/vyAw1LeJAJQd8NLZlas1q0R7iwqDvU6EFYDmwBLKr1ZIz4H5ADB1jGbk/DEpSqfOxVPr
Z4pVDY0Tc7m7cqFrAmePkW/7MKccBIoFhvZGiz4V1GjvMBVuYxz3TtoKdnMnBegzrW3OLpoBHRiB
gKYDNNY8i2nTcMyzaUA7w+4QiDiMPFvbvxcWZUzorsB9UgnAGH69zmKMuBzgU3/53wxMWV7zOH09
3pI+ADI5reeuNe8W7SsQGbA4iyF+XZinDrEEck1fQurAHOEdaCQ73hW3oTcNSwX7cedbwymWrQrz
fBjmA5D4yyrgxcIshXj7C2YWXu51BewdSE+nYla6zeHDJJd66Wk1Pl2631tJM/smpLWs5dHPNOnl
L4hQHNJQjhNtUGInH2vhxuIH/RQozseK1KEehkDH0ab4Jq3MDKWzKSursX+9wdibNTyumoAlU4qu
GZbnUdvCf8xsTsR1EeO7nzKn5u+0D5y6ugVehy1zw+uag14MGiFMBUzZBNo4r6WDngA9GW7yj4lR
3E+1ofClDzAxNcESs3yVBGipCwswIBgcnA+L3vOEOmKclo7T6nPlKFf9TnuSTdSjHCC9tkZR4Xan
wdrA6p+/tj2LynMjdvY4ZSrLbExwryUIWDZxGiLfwErSygrUAjDAVDwHsCGKBTLg/CcLeBMJRIk6
ElBbTfi5zMovgL3MTbU0AhtBFiK7WkCRyPoXnmNJbW7lzl6hDgaDKmsgtxuV2hFJNQCQkqoulfnA
SQlNsWgQ+Ocy72sj0lvVQsGhAZx/1/pem1eZSdQ6WwsLlry0pMEsoU6L0tzcIGaUEk6gtENCWT4E
XndoVTO69hhGwVq/YvYf2sfwpn3/+kOvCZ19AYnkakUGCG34aztgDAXzqixcI19fUqfbo83uGyQr
XBzkkCJzBYxso9UHFmbB5euzLEuRUaABti2QK2fxgOQzRc/bAAFIn+10kVLg3CZrR1kMc0BUhsV7
IKJiCX9+Yw1Ph6BOEQa8cu9BAMznwK52zAQTzqZm/wK3b3pr8zDnVuDs8nK9EWWBQSCLUO8iL6x+
AM+KxYqV61tUBWDZT1AuAoCzZ9eXtFGslzTqDC1wNXUEGuO9JijGH3wjoFb8hHFAsDgLRYW6E8Z0
AjaPC+qODbev1fz6tYjlc3yKmPmEWgEGjjopG8fpFtdVntBrnFG3krhylsUPc3OW2YWlXaPWMBYQ
BOoPsek3Zb9NUDdI/HZt6mj6o37TgRtRk+rfGEpEmYWkMoiq7cDL0LLWLjogWwan3dCtsqnWtHzp
aGAOAUS0Mv2lT3d8K68CDYqs9ci4W8mKZd5KQn+vtW8lfM5//7Uwt45OBHw4duhm1aahZQpTfIQp
KhhoikI1gzh3/FJds65LwTSUDmEJ6vKAs5gpnqxmIBKJFRiHpxQk2Vi7NmpM+txhXszq3kvQZgGJ
5oE8xE7grMWdi2HDVFTDpjc44oFp9et1qqo0tkKPbcTgKP+YoG/AXulwFZLcqX+qWF9f6WIP5Ebc
fM13FLh6gv+Gub2LgcHwpG7R9rdKLOKoVrPl7pJLfJ9cEjtz/6R+cCt5dstMDoMmj3BQuQiMsYqN
PFqJGZaM/K2E2esuWoCt6SUkpGK6AVDxoWfDShlmTcTsXQ80S4RYhAgpK8EPt4uEtec8XcP8Od8e
Yvacg0BNYcInCWhSDXZtxFv5PA1Vg3XB/VoZlqzhrajZSy7bJiwiAl0IBpAY9bUXYuSEydr/eqTJ
otxYjMSv2rifjlRhp0DGos1fwP26Q+9Wo/7Ft/z5nOYuOEO/sehLJMZTmWzgPbC5FQ16Mr6lYZIn
eh2syFPBz3VsDmurbWu6MXPGiVbWhP7c961VU6ofBBBM/W8fbGYrSpAqZmqKw2G13fBlycxxoDUM
yyWtwDAANlomcJDf2vXI0rKB1rDvai0ZGSeC6Io3fVBe/vdn0QDZICGsACbtvImlKzFXSSrSpb4r
D1lUuhJXPuWBaH8tZjFLmkCCgFWOvfnfMH7zOOzrkaDtKLvVhjjKri0N3SrQjMkwWt+7ww6QCuvD
R4u3eCN2pgxqT1OCfiuesVRuMlmzVI7ZQbw2irtYtrg93kwlqrSQY577eTywDmJvMzVSoEczT7On
hhO/z44BisKdF1vtWd2tL5gtaT1GBQjQwCcSrnlZmGIxasxT/ACQaHwD5fFVVIoVB718l0TSpQnB
5bfd8ybFeCwDs6rBKYkD5tgja9gmaIS1cfGlSAoA8H/LmZnejLUiRu9xlKl73L00mTHBHbSW6Oi7
CsUuZ60usnaw6e/fGEYQQmpx3+NgigQi4xbxhYopdZislTew/I0+DzYzwENVNVIoThfo+Xf0ucCa
GgVTU/eMgqgJcli6TR+/FvkTeWDuxm7vcrLTN0eThbRgcgeRzEnuw6tvFhYCnG2/7/dT8aewQX+o
boAF+Q7WV0DUaWYOVQWHMDAl8AUiNBDly9e/aTE9u/1NszfJ2rQQ0um6UaGJXxEsO+om3FBAd6BU
Iu86L13zfGsaNXudcdvEJepiMHJP4nZqBINe1gUCJ3aeIxvlixWHvhhM3pxw3j7gQm3k5RLyOrO3
RKCZK43BmQ2Yf7AHkK3yhCzW9W7lzWI6UQVSlTC9TOWERsmlvaAABcVq7NQ3JHvi4lpz8CtP5idV
141eZUoWS3wGiU3wNooIIlMdW3WrDVlxIQq7Pdgsziv1FNNRk5hsLziCpeyoE6MN01n1uXHXjPhS
zHIrbGZ3WhF8x9w0rUOaMnaVNIuMME8AEpm0VvozyRK/rzyFFYswrx0OflZ32aSYoCo/+Kg3t5fa
DZDvjNvmNS0+eQz/eT9lqbx9e8qZEdJ0An5aBpH8tgabEqAN9vmG3XHWmoos5ji3kma2h/Uw5G0B
SZw3NRHjHcuMtDejUzZZ9BAbAcoDchAsBMPvH/R6xdwu3q0G9Gg0MAA/NB9U0EHCwkUURiwIiBFE
4FL6E2xdYNDdyJj09+YZxDSnEckhA4PqVn2cOsHpAQ3KTbeRH8Ofg7crGrP4Im4kzl6EkKREyieJ
wkl6rzatSx3fAcAKIAfs9TLs4jO/kTZ7Eizl+wrcyDgf1nr67ox5amuU12LQyeD/5qRupMz9r6rH
pTKgzySFvDuk50pojFzfsCgwsqw21JT8j6oxewMFGO3bDLSQRlIVhoiZflnyvv5O05/w1ZFmul8G
gag0AST0IvZCxMxAq87yY+oF/Bp275qomTuVa5Rb0ynyG7vHFoijAnlUOFcWS/PrIy22AsCiB9Rc
AA+BlHDmRUUeBJq8iI4DMEP2DRgIMXgkeD2gX/QT+cGO5QmkiyuudFkB/5Y5H/QlitxElYwsKCtT
2ZDzvrovQk0Hba+01lBZ9tqf55sP9mZFxPWthPNVTo+dgRhMz0a1a6dlT6d7+4NlT8ygagANwX4C
cqKZz/ajrMUYZgFpmLJV28LI/6jdj14FhkSArwUWwtkHG+NUj3OlwutFexHgKyeeM4TASJ9QItTc
0uk8vVsL3hfqJiCU4ZFN/kV7OnvLbceloy6jGxYDH0g0BaP+Ng3ng5zg21oLfOGD4foUMMboiAJE
/Nuv1pejsVjnFVCpsMt6pznjDvRo+w7jYdO6xVqS8Ls7gTDQVKFtgaFFMt8n0fSqq1MRwhouOgQc
4ixtjWXrd2WfRMBhYYRBRCI3O48qjpFMGOYVAbriFy9ZsUsADP/1K16UAdTMiZNXnVqyv95Z3hdK
W9XT92m0o1+VNkB2KTAK1kgif7fpOMuNnJnn6ElXRPIIOdkIjvYutAEU6+gjIBRPsbDv1M3Xx1rW
hRt5s7sLu74d+ulcIHTaFo6/CbBgPM2wUzuw1tACpofzq3X/9XAz/1HWXRn4FYRFm8CTvAk9CdDs
q+hJiyo3ITvzUAbht9oMayMuBisaKuFB+MAE/jvnC9++vrdlEboyUUGBDW2OPyB1yN/VAQ05v/5O
wU6fx0//k4B58wD4/FQdNQhoBdVS09wosvevJSxqtA54VtC5AaFann0MLhQLvvYhQW5Cc/SdqgIb
ZVRYX0sBPeFvkTMAegHVC6Snv2pyM5+ujaxP/SIjRtfmmvykdj2f6eBfKxrtLYuVRthxPpjLvKEX
1ea1o1pdHcYxE9tXPub74E1QerDSGIPecOO5KViG7kLQZL5Fe1BDAVFDiz1/KEEqII4lKO/FkGMe
UK8V1agY2BHdlrTstar5QbAY07PnrOuaPd835blCx+6AkcH+ex0ChM9oCq5uTayLSlYkxiDSi4BU
rhkcMA2qQ9XWuv8SkEiwpKaSL0WeQsfErmupBxRUfqM2vdjvCj+ui4Mup0lsKzwfjM88+A3PapD7
6XORdDJ1hyDq+A265bmpC13jCVGQ36nC9DEqRWqZG4+0R1lPS6smNMJADiOTaCH24XpByS3fJ+PW
50Bj2gdjCS+YRm157UEfZfdSXRigeQDBMxHbu5R1LXBKCefFksTt5JrR5zTXYmDvFOpBU9r8qDIl
e8E6DlPMplBCo8IOxDMmQdL9CIhvN6gb9lznfXIhnCo5PUZEzjLVwHTWK7EnB8O2Iv45DsTGFIYM
u+wcE2yl44ipKOl5zArF7LJgw6Xce9qmHjjvha0wSpIZlGlkl35yL1TRuaTFs94MxBi5oDr6SXrs
eeWY1NVOSGVmhskQGMBKvIth22Uf4/tKGWx6Rve8Gl9KntW7SipCuyiAU0/4MbQrsRZ2LVOJiZBM
2Km+xu+Bp6g6SiqJnkKa2IDDyh1WiGCnk5I3n7HC6uNCNJkeICdHg/eg+npwT0sNDWO+3wwKxR6v
EryOYXbRWcAsvuPhn9usNuVsjMw2HkIjqROHBaNqpbzWOiPlU5RQkaMlslCZMqPhHtC4xAzwr5Ho
L3KlF06cFy44iFHWHcEZR/sCXBWDEJ+BRW6HWaydgHD+GgYRnE6R+MbYdyexGd5lgZL7mLX9gWgs
POeyDGCPLPwQ+K4wNYk9i4l4yfRhn49qbpaMmEmPzhhrMBHeUGsolF2ZxKmtoHdpanL1gZ62iE26
xAnHaNMO4iXI9ec2A5xLKUkK0HtFcqgDObISoVCNoAd3LteKe6Xr7GbEVxrkayCIhgYCg7o51oFD
R/oIVkcsmLHOYxlnDtKeDuVF6niHKyWPgvw16gqnb3KXZxgE9vEE9dErAMqJsZSTXg9WO1wTHnNX
pDgWUmgVJLRECXWa8h2gmLaflHapOTH4m6kEAAclfSe0f4qzcB8w6TuXJo5WB7sy6s5a3fMm8jIv
w0UVvAIcjYrhGAwzqkkZG00X5gbAsJ7KkuzF3n/Is/g4SomXi3SnBOqZtPJ97YfbbhxP6ph8j8TB
4frivg39Y6Bq1xYAulRHn7WMzV7l7C7QTryvWkJSW0057Muk3iUs/eBjxJLlMW6csDD74aMlDywR
DFE2UAAfiZG+xfrdmJmgK64SRx+MFC0n6SkonSh81lPAuLTmeC70s/gmnHvAxPtgE3Ckd4F+U6g1
kpfqTRhhFq1UBe9gBka5J3ovX4C+iBg9e62DB1kYYfEvEkjfeGp1wzkQLZJaRHICqFdqYDxH0A7x
N/9UyhPl3mObGSHCHV33uHg7BBYDnhXq8VfhAVbIYEkCFoAHiW7y5r7FtKjEgepARWqdjgYXYoKA
44xuwDciSfQNo7SHjMtewfNhwV5jq7i5iH3xCBwrk2PXuolAy2D3vH+XA2JfGzKjq7U7joUGLdkp
A6wk6I3sgAomLwNQsrC4VynDoJoMVGk3wcTAo4SiWk3ssHC6p4xdhHyHHg2NzGCHSaeE2wrVXRIc
B4qBYSTnh5GYeZgaRLfb2kw4wPCAY+gBIGUwiXVELHDvWhJEquWBJcAq8DunJewqVE/URyuY0gNw
Lqwses202uXokyxiH0955LTYgBFABlu/JdpBHO+pUpo8fxLDyuWAIR8ZZWr7oZcxDz2xAUhQml1H
pjx4GexwLpW2HvboS5hdLpqV5BualoN60GX+N7V8h4bz7fc4eM4JZ8DthUUIorFHOhJr8K+tgrEq
YbTASawBV7GDJcLQO3+Ryu2obvBBhZ3cmCSx6tbVFCdLH0dsuKqt2yhOI+YYyf9ImUcVt4D5iF2p
uXbJJgjx8+/LcVMWR4rad29RxcvIvcBg3+JD2HnKI80cJUmsqg43QgyTaDdZBnppK0bkrH9U4YGv
vaA1MW2GjXpMbbsCMF+Lpza2yqE2e+R0omYL/RuhJkkfc7Q/ybFk7ohhQP8INUw+lHjfKUZa2Lj8
sDGb6IytFjXEXP8u6faZuvUzI7rwGHMFT33qEs1C2lZkmy62KyTfAxbOJJSUK7MlxuC/UN6i/g5w
G1zjpdI216yuuojULK6dZjeVS1hv+Me6c4P2mnR2kTvDG+Xsipz9wCqxqE1dXzOEbjvGRnaoItBw
8mZaWPEzFbbRpQDKDPzPQRfcKHGmuTzRCXYUfRLQczYHBpeneaiYRpxJmdPGbonOLzX1eK8CJSYw
m3u+2SuxQ5BNk2MWHEvelnIDysvEo8/bQmeOrSW3jenjUYucqbfX4RF7d0aa2n1+SAFDHRzT6CDT
DVfBDlmhr5m17LWcpXSnvo6tmm2bACGBagdI/1IMB6MgXcQPpeINuPniWDbbKsF8NkxFY9bNFSNa
TXfXafeDuIkaF4RpJfbC9E2eg3uIumVBjZGcOEQE/C5PDkHqcvrJJ8ew/0aqQyq5lbJRoBY0efKD
b63gRBRm2BLBQc5vSNRaqJaBIC1SRTcTjIwd9TI1ApjHQ6Q+McXB5fja95ramQKQd0tE0bk/S9A2
6o3JU1jzZst9DxGURd97FFk4GxMqppC8iPEm/BFcxf4HkYxgNEEeqicPbbkDoeigmmLkNq0DQqzi
nlKb1QM05BHIbJxi4jmP1+na9V0dejkm0wn0K/BUeo4/6tzmAKpVXLPQYZFbfVPxv5C5QT+jcCdF
dqhjGnPvqy9j7ArhVgyO8T0YGGoAOgSezh6LFgl/Z2kftDllui3IRsrdVdXrENoaNfFPZoWlsCPK
Kg2czyNWVzgAT/j6RlCNeKCYavN6dj8EklVnG6pctfKSjC6YjMDRGoemkL1kwy6S9pXyjoM33UZH
7ThLLBL4Hmsvg5pasmKLMJq12bII02UbiXlo0Bva4JbYNC53Ilj9xNbl8qOIlwxCa4lAQWtsjp96
+qNHjA0Knf6x7WSHjZ6G9Rcwi8qqaPgSNRUfV+D69DjEYAwElJQcWM3Eif2AIVWjSI9dXZqS9qhr
l0KHhTuAkAxhmZbZAbySBE/G6dcu3Ov+BvMxRqh5UWaJQm8PlZtijlVJMg8BqKUFP/rwmnDXig9t
qcS9IJwtDny8AWS//jqSHzSuLY1ktlqhuJiYMJtBcBenEjiXLjAqPtBvaIgNvX0VuRT4GtoxYyb+
S5pv9WwXtk7QvCfNexm6LNpE1U7hbL47SoKLD8lLyGOe1fbQAQQFzVedt5TinJJXSbfy/hSliJv6
3tD706DpCA/dpCV2omdmGKVnItVWiFWosL5memnpQ+LV0X3UJq6efHTS97zEj+STAEiBbyV/H+UP
Qvc2FqFHxwEmFh+DcEdeUM5NB05zFl0wQ2QqWakavYQ2k1S0B58P7JIXdsWYerIvGFL/Q4rg9kbF
AoieXQrCSyP1TjhINivhCJPCyBJsHwvIPbrhqkj39bAVAt4p87cMXkG9dLDg1WgV3Ensj4rixO01
AIqWiMgq2UaVTcMTG20Sn6EcYmuT4UhzfMHjAOidvtlmxGtSu1I3Kr/pSOoMzXM82jyGwfHdsogg
iNz4vVNUdq5ElqxRsE1Khhx/I9gaqdttitckP8kR51HRHliMMM6JJdHWOdUOiZOmJ6V0weAb4akr
4mMknSjsAB+0Fkqj+LxbDo0VqQANAebcg9Q3kYxwvt12dzoSteBVll8E/z70FWiiYLDqOoUfGOMe
QNHDYyonjQUzzTmjAkLr1JKtPzS+BNEz4grJqVonb/Y9b/UVJqGQftIRV42lAbjZbNxn2i5mdjGe
SHlNogoDsF7FA2ukfxFksxlzM4ofWWUTEeN0zSaWzCi7a8L7qrex9K8iG5BNvf+e924um21ud/ED
3zCXF/YlfkIyBlZenEi0K2Epm10DYkZaHTg0x4SHrDeTvLJyXGWLBbBMQ7dVnIyovu/1EDoUOZXO
O3Gje1j4x9stsSKzJ40zFJjNGLb9+BzKR77nsXVpSpyVBAm6mB5OiTjZ4mMzGPdifD8KjsQ7Cbwh
YsPQmjK+ntsI+SFQt6S0CiE6RDm2zadgdMf8C2teeAjhotYj42sNL5K+92yjjr3pj5VVFrjL3NCR
/mTg9yhy/55yAzjiO4sr2bHX8i1RS1PM8WcFBgdQhB6Wm+k8Ur8rICGMSi3uRgA2GCOGMSzCnziB
mPqgXcUmN/IAtkC30/CjHl1Q8CDQtkN0UVrAir0G2mMf7Fl71oZ3Vl9VxSrDp1hVbMYf83yn1VtC
Tl12ToqXsOwtn5gqt291M9M9nSsMjrlwvXjemfqRjmCCHYEoHNtpsS9pYEz0NT9qcl+FH31+GZqd
JD5x3UHODrGyLxG9yW8qhG3CzGgeqGoFmdmBJ0G/ouYhRNe8BmeZ1QKFVSu5bTDUbhumd6TmXBEI
+lKOTuhZal8blEMbPzRY3dmMvncJuIXsMn0ivschTdbudCT0vppBSxTEEE+RYpZw18TkL4L/EPU2
f+aBJZXbxUNLDSXbtwR7jQpCDhP/ZwQWiTP2TmAq4yZuDQ60BXcie6jYTmunadTiOaWAF56AKa6p
uhmfEb001JOP6TFGBBojxt3A89cpoMYS5FcYcsuBLr3vxG0nWr3iaMqOJC50PpC+4Qckg4Wwiqpn
xFClsk1RuKn5ezEGFnsMl1Q9CR0SLUMGtv9HEpta/6YB3D83ynaKMC7qRUUNovGIYAU/eABSAmUh
3ddvimqWu0aCswdHfQ991UGeGpv8B1x84sjPEwSTumNYi+9OY+QEW8El4hbgiIpi+7HFi1u1PJNH
uEMeyd0DfcccXQMDW5goVT3nDx3v6mggKEBzBgaZ8kDwhHxYE/BtG7FiS48tHFVvYvA+2Wi+Q97H
0OrgErpNoTv8JnweXeIbRN5woqfxRqW3RgUWL8BgI5cx6HCf9V7hTTB4yNLdDBq4o7lX9S7XuMW9
mAKKHHGmZuC8FEnFtXvrsFEEpBf/IlZXdbhIT1GLOd46foqAVUzNRDarEMMDaYvdZFxU8zGkjtwd
/4+jK9tuVNeCX8RaTALxasDGs505edHqpDtilARikPj6Uz4v97zcTmIjtPeuql3VV1v3qYozHHKL
CWXq8vin/QvCGkGUV+idObusaMjRxcUFdDKE7zADRjlFy85O9iixbuIdA29T+Yfa2XYyc6q32j/O
imdxlcY3+lpd3WmTdPvRTU1Q9PWG35AgRqe0mwp3z8Zr/F3tapPFeBU++mrjn5RMl3qLK/jVNenw
7lRFJ6/yk5DN8rcZ4TeNf+5nuBuQodH2G/PPu3c3hSD5aaOb/QDgRp7CM+aucEegONuu81ssj4qm
IT+ITLab4brSbfSydlmn781Phw1tYAb+zjGPX7yOCIjHBvMKH7Iz8NS4yVR8k+OxSV5i96OEDy4D
urhd63/SSesoBS5HJGaKd2Xu/X76GS9dcp/mdHlnLubSvGrCPEDzDv69PM9B6pxGg/W9ABIjVNw/
tklLmQqs18FY7V2hps2IgQl+NciC4V9zlqeZ/y/DfijpCS5lmnlR7h3piRymv9W5BM61Hlsvd7xd
HBZGp25wHT5wPud/0kuXBRZq7oE1e5bU6cIuZbmr14uKnqr1GvQvlmYJefJZnfaHGDNwl6NCUrPT
poCFiOdtq+pzSJA48bKAOwunJwwxI0OA54rc+ZwH+EeoqtOubbFbIg7x+OxGz3FttlLDO1h8WKht
qfOkvDRUG7AxeGo/g4S7PRtzXt1Y+FPGL021Gf9M4z5w96tF6/5K+NnAltq7lWvuJ7h5sx4SUIUF
KJ4yrrB0dbR8D1SOpib+HAeYuSFADAMCZuTTgCvCpi1GpyxEa7+ZcFXf3N8Q0i+RUuisbrTfeDqd
P+YToBr/d8ZN+GSndLlVy30yKcCD0ewQmrkcEszRW0yl0P2zMsPTph4imAuE4UbQMmLhFUeg7rPy
OcAfYLfuG1fA567mCH9AeEyd8Behb/cnZL5sJaYu0I9H8SKuzNlL3D+hOK2H8qiafHmIouY21d/m
7AE7w4NGnvqQ0nnffQDT8N7ZS+dvELuo9k68G146i/q2iY+981u+DRGy8nYRarS9hDf4kqqi8TPH
u2NA1NvVf3O7Iybh9rbAmewVb9eaq2uFo8O843ASwfP6Yc+0+Yn5aZG5nE8Am5DG5yP4o3oiNu2q
C8yl+hoPod9JmOYZXOZ5L3bWOwTRiZ3LDzzrwdtgpH80VdjLN+FeYSpM0FPAHQZXWZJ3DQJ69rre
ESSI3KKvmubo2wVG+SVHx8yionwuF3irV9HOfAG7WFU6XJA6ZlUBlTvQRzLuBnVfpt+SZOLO/E1L
YWnnZ3jRWfISwu4enQRaqZ+1TBkqKqZ7hMn9GPYXuEyrv7AVZxHLh7sY39MnL5Dn3jq75X3Es14u
I0FmUdGgDizOcUbPhaI3NMfI/XFdVB20y1lD1s3wAtKjDy4zQIL5tsLibs1NlZVOZgFPwPzZy/Vf
g4tB7TEsejUaPWDsf2MfsF10cA8YY8XP8q1RUcVuvgsD0ikohnRsN+O/BXnlajMNj1O7XrvpBvKa
3g0+ZQSMJkL8C0lhrgK4cMri7q27On8FvvvPpkQzIo4qObvRS9wCbVDXZd73OzHk3ndwGZF8jeKI
sBrf24JMG/lRXaNTgsYFE/8TnncEyUS/X7OA7gRG0GuSNXoHTkJ7aJQP475VGXtrHbhRCa9gdIs/
LKwLJ8wxA0UU72hO4nz+fLSEyWtwQnXr/qzgDGA1uGbEAKzd2CeX5Z1zq50zcAC0cIHeeuIYi1vV
pe2hPAf9R0z/uMM2lHhMHMdPAw5Lmxqbuu8T8H29j67imbWF/9qSHYfxbfPMkLX7DTNQYHB+l0Uo
xrwrNLoE5eBSszW+2BR9VQLsPkGZ4ZWXSnbBxacWIHBYKowzG3za4NCRTxcTJbjz9S2w7aEr+8Ku
X65FzhQelutkMLjakhXDuOhzMC3AM4HyVU9O+w8+MJvJlbuVAxgKq5RFA3yDkDGqJ6CxebQ+cmPN
1lo/Z0mMB1yE1UHMfxxDrzSq9wt0YK2sb9Sxh8A6WeAgvtgjGxn7J9p/VOubAZzLgOmM3vo6dd9x
CPg8lLuEP0VVuUlQ5bFvsGFW7mY63331MdZ+ahP/BdQFELv2aaXfFrnH/0dUYeUQGvA0WIfUuF/e
vMdU12E5LHhjwU2ad1Edyv65qXZt8jJJ/Id/OurmrocmPmH2yrwZ3mj1nfMtd2wqFtSbkyMkUq7C
zYAeATsv3XCr1dmLHGCBzwn7JPXd6oLqq99eFv5kbZ5MF4o0I93CC7PnZ+10eQh5sxKfgXie3G+B
zfcA6QvsQN13hsZ26G9Eh5ux81O5fCnWn834btDBLo3IXEekHl6cuVnywPmKx+vY7k1c+JS+z269
7XHQvT7ZNB6QuScPy4P+ckzsu0hIEU/PY4JJp8wU2dchjutvg2fiXVvxKmAWHOz5PB8k7vyxa7OY
oTFBNQ0NNH0uKju+2OrTxD+94u8UNw0LPpMWM58rCgTypO0Ak9jOFBzVgIcIVepErjDzrDHdh8lY
lA3dMPTKI75fDbdMUYLE9194Er+0aLX6gG3D9uIM1yk8muFjql4Wa3LhXhgjMLX/kPCUkHp8jW2d
G3BCdYPhqKtTdzrXCZSpmHAsVigq+9pKKGTN0yC2S+RvxdTuwxmJ4zOgEViyqW6+1iguSODdclzZ
VWi3FftMSHsgHsYVDa90zEJwGsaLC8BgrnHh8/FzgLoLGUeHZBGAaTBstEF3UICDRzjHhyiPrhOm
sIfbiAr2m5W8NM2r9f4S2z0h5iNr+mMnT2v7S0uLF6vZKEyyEXH2xHG2Xqt2Aw/PvtI4KPgww5tf
nyfcMi3ztjqW2zaIN2ErD6u3nGh0LyP8cKwPjXX3IFS2kV3SYCr8RWVYlc1IhDRb+ycM8JqC9bIA
G5MGZmXAThr3WE6YlzrnWTu/QEebR7vM7TZ0f4NOb2TTbQPWFNarjlFt92LCpW+BOAHX0DX+GFkV
XjmlHjhe23x3bZu2cZyO8L+Ysb9n/FM7jXUatFcgOxwDZdXPXyPT4EPNfq0PlUI2OrCsapqrnCR8
i4zfvIyn1KzAyiM8C+lgEmRYR8WynFJ7SbFa37sDKlt3Eg+wVoL6cMoSR/jFzlOxQHq3cGi4/GRn
MPT5DNmTEPupZKtmlD7xVVVH2yBYMeKbcEF0Xf/k0zfRg/gd30jZ7SYVFfECSiv4WCJ9WRqItxOf
vziOzEFjWXkPppNHiq56kph18Pz78Jjwc2ULh1/rZMh0q08Co6OnxxwPjwUkbQFDzl1ZuM3bWAVF
F8s/UnuHCAOHqXF0++bHtdVpMGPux/WnO0251t6tnYL74utL9FgDT+I8ic9V7WdVHUDZiojdsAEM
4a/o+DqvPZkqOsy1zMg4TsU4jT9jqVXqyfYXT+GJjBLzmBu+ud6y9ztQUoQj4tHhWz06AINxM2n3
ye/cJ52Yc6CQ8yFr0B1YG7BLNsW/Y6xe5qZMsShxGUdcQbWimy4+qXI9uBXWuqdgSSdLMgLiAa2p
RFphLf0d5zVaDnBdwvurhL9t+zp1AK7MUD0YkH4lgal8R44ENcB6H7PWlz7SQJXaXIkxCzgYEiQK
U2s2zYyZqgJf1YPBWVFmpzZvFtzGbCgob48JXiWqdDrEPC8F7NCCXW9eFrT9MbjBNbx6Myx20Moq
i39ILp44SV8hGmPJa2TFz6JPibNuEAG96ZbPUd+BGpqwSRmAVRAJIGt7f7s27y6/lyzrumxGrkZV
gLsr7bFNvvoVwFrqAYQEQTW3r36wTUQ2DWkMTdyKPi1vAUh2aUB2VX32nX3c70v9Iji+xO2I0qH3
tZst3p6b8wrXHI5xA0MGfdfB3enuQuq0Wa7ohyj8UQjIRbdQfr1p1i8s0cL49E8S/ZT0LXzM3OGd
D38Ws+vR9+uaoJBjloebUXCJh0MffEaRSStgvOrX12Pm8zu1u0i8Jmji177Fvm8GtCzApCdeFiDF
pY/CroDKZ5QfIudrpt8ACIU5+et1AYpp3x2xp2AWa7FRk9mQ4TjCRHs8lniWEjOq016b6CtB595+
keS8+Dsy5WGi0wieWe5fZk9e8qtB1YSQ/zbe1xpfS/FhAMUFmE3eVu+v3/+ADxzVmFOa+g3PGSxw
uABhiUm/JEfp4k2Sf4LhCgo0rr6m8aSDIxNbjCmq/qvAk8XsLUrawgNUpIDGryFmZyB9La7XcxkU
o/ct0VkY/dzUKQ0xbAxZjFwYjMc+vdfgQob4jaMzqtzzCH17vw2DT4eCygPWHDi58fzjUKGZhbl1
ibDY+4BxHaa+AX2bccplA9DQvIQUlEmSQLSUY4c7t/IJJ4SC1yMCAQ7DBH4QHTYFchdva4iE+FBi
ZKjSEVxdaeccXP/bFHaZjgH5m2bDY+xVoinv3CBz8JTNCKIE37rF10L79txBhSXQu44R2Sv4MvWV
eyvnvzPKFkEYvAMavlQq95jcdLXewAUimG92PkLesYnb38l/Xum9Wnd9f4RfSE7jE4/3NLl19D7Y
WwQh0FqfGgcMI1C05NHEvSbTocN1y2JVSBGnZRRejOZXb5l4Oi/0VLczrp75a/b6LVfOS9zDPg6j
YtUMX5ELPhN4R0jvWsJOP7Q7+HKchBvuFOBiK7xD7FHQ2DKnQHf7EvlmkNTSzv60ZZkNEeqJ7faM
JB8Qie2GqmHZWt5gLpIJh2/oPIGM0Pt4Rq8chFmAh/v4MxKoFhLhpiNYZdfEeUAk2oEJVPn3Muis
fkxAGs/J8bdD9C8EqFP5sEqo/i1+8GQEzg+bAOg/pn5ecG967QH9TE6wF157aQ05J2WwMyvg/X65
LN2F9M62dKrD7ACsHXhQPPY9hcC2ojJ7F9ySJl46RBUgPrwqnZEbAloEAc972yPHrVInd/x8/JHl
DIpq+gmTTznLs8+AH1t09ETY3WTra4kzblzYvoLvmSfcV5EqDBXbCQIL7qEkNDSjE+5SoGE9SAWI
5AsXzNJcD9vZjTbu3P4bmN55EoYntHp3ljY1XQRiuty10QRJE9RJSbxL5HDTzrdc/rka0oYSrJhT
nuO2TLt5vHgVaJHlvZRtwQcOVzn5Na7V++O8qa4aMm+RuwEKBx+ChhbpqTX4+EhtOEJlbXK2UDHM
XrfXDnJApunQhvIco/+YIbYIl+DAZrgHiyljhr6uunoZa3GowAvVTZmP3pw30nnMIC+cvlv9ZS0F
GqrdHVq8jNgmt6uzD2tdbf0F0Ovag1JxBhzkupyP4YwWVoVyj/32AyI13p3p069AxI7dParq9wi4
RTlhIqj8BSKTEOZfwHbMAOFRE726a3gidXmWNgDciLO+0rdqMJfYe6hDQG+6Gpdyv2WDOc4efTRc
n1UQ36EpPBGqgB6qnceHLHT9r1FV7y70ezphaWvxIInI+rkDr9ADtZf7OgBlKdfxQv3h2vosY9P6
2jiQl4wzO7R9kDaoAZnnuC9MjZlx6QnhIMdyELe1bLalkCeLz9pNGFamEHh4v6fLV1kBBiGYp2Rb
pRp4cDANP0lXHQyuDQfkVWvoPln+tk6/HwmGaqqif0roOOeuXDfjwMHfiE/TNFu9gCsf3PbNYsTA
h5jxG5UhO9mrlKAAItXpqdFras2e2DKb12c1X0L5q9i0KZM5xxOR82WYXwyMPSD6lOi9nOBCAFoC
fUEivO7fPMTWBTRlpk49EHQw9trESkGMcBjNc8ObHDfJWs17ifFopgkWrTlQrF3TANd5hpl/ungF
fJRTaVD5ZmSyejQtg+miCQRq4Xhq+icn+Zz8oWBsJ7tzPxwrP4T2Z4RUzs1U/dkDJGfLnUfPAo1s
1X2HK9QcR8m3IdgaTG0zlJKOhVMrRJcNivF8nwG2O3KCQvLslx8JxxmIFDiydHa2/vAjw09BimbA
nef6KXksUQ+vxrvMa5gzAxkZGiMMoKSOt+U4b5NhT9asGWWaSJ116rsCCCEwvO9A74zAZA3CBBec
9kjtqf/Ht+mY5ANw/KD6y9mxnT4M1nwBMWh97PiY1izaJMALzZkA4+jgcQf3uWlC/aFPsYunumKu
eEExX2d+DJcXn0eY55DDzIMUrTGtb4Nrsl7I1EUPlAAliCLn5tG7AvHoYawbHxKGhuzmGbn3AZSJ
eR3ArDCE0hCk7YhdSmgdqz4bnddFntsK93u/SzByzMvdg6ymASQVtzm2IrIZIkGrnywLgHD329UF
wW5PcG/a4W3beMCe227fJfWhJFC1QG9pGwxjN2aQUYmj0ohTN5a5Y4OMLVcHh8it6iwxL2baYw7a
WIMGD3KTlTTXeqj2ooHXbt1ejGxhV3UG3K5GONbZ8dDyZi8hJMWRA0UJEFXea1phrgFsMuGuPWMQ
hlgS9g/1DkNg7vZ4DMGuCf7MCaIeASEjbK+Hl7DbNKngbjpPkBsJkakKis35l6x4t9qugDr87If6
7oMLCDwslEQo0Ihtt8aiD4AaTok7rOaPUuuvdaW5TZINxDabESC8Q/K6/vH6fQzNGaJXUgUeeQ7G
ixmR4AnTJKLX7ZAg3KLxj0oGUMVif1ZbEH/jFh973/sQBS7ILElgtqyhhUqQ8bVCHv2o3taFTSE0
8rXzTsoxg+AidVsMZPhSaQMmAACmaswbQZp2iW9+rooJ9O7IA4hbQQlGfxLX7MYWoDXUM5MfZvSh
DpsgcQLoMkbQ8fVA5jm47Thj0AokFhQrSjISj04uH3ai/DbBcmwWAMDMheu02xQ9BIgMwrshClLd
EWRHwaNtnFN/iQHgAlRr7wzbYc68po+hcVpKzAV3s0I10kGLLE6sa9M4bk6BjrM6xk6/+00JoJA8
SLLVQPgzokPWyHRytorbTDrhdXX6c02jbW2CTYQvlmCkn63/Xs42pfjJIB8dUUN2GOcSWKw7fgxB
mwUrfDpBqNkV7PKlDNa0h/yJAxb2MBO1LStiSaDDK718Mt5mlOQIM1FIPZfCQqkHZyKkC5ojQbkI
QLgMwKkamaN+gvOOwStQ/G6oZ5EJ+LhMA/JvQHoYv2NB7smMkHGO8XmAODAu+zzE49D9WABoNcEW
d8jQqlTF/r+u7fqCt+IpWRt3m0R853XAmbHa+ocnztO4zH/mEMeiQ8J2LmFddGk7RxTO6o95BNBP
d2jH5lqhW/L32kOhSui8hei9zSzG6MZzoGGPLfp7JJBvygrVQw/4JFNHkiwafAmh59SmAvIiNjhP
TE7oAnr/bze6mIqn4Tecwm87gWewzvBFXYWpbuUnv/VQ/ofIhbgCIrSErzdTelcal5dGuh/jkBS9
1s9LCMh2BlhnWglOEWQ9UfQhw0t2sa+wLqbFX08CFIKBAKZsNvk5jKuvUs9+yvEc0rmSB7hPYEpb
BmczxlAF2qg6wnXgVPvmQPoYGnjkZqR2JmcsazyEc5gefT7yHV7PKhu9mKU+6ewmNqDbIymufbf4
G07Xy1hH36CnLIZ9/9SP4D7LUTyRRQ2ZG+CX9B6E+N36RyX+B13LQnYl22hHPYm5ewVSBgJXJRsq
ZCHY8u0m7CfuZS4SH3Q3pEFJhRXMRTyTSJyjfgEYWl0Xpp/7avzTYwRVnHwMS3itZnIRGspDr3th
RL6MJTnUEQvzEaLzuobqC3qzMx97aGAfNXrgNi3DGu9TMOwCC6AMC5O5R0Aqt3V7L2cIpfoqTrmo
oRQZ/4QlADKPNjvHquOCxFOIn6G5jv3wpaf6Ia2Ikw2Jy3uou7wxUeEP+tI4YWG7thgXB3V1kcCn
HBKByPDempIXsfH+zY22+25aOvB9/GFnWKKO1s1zNHXXMIoxhDJ04j1pALvz6o9wFLKZwjoCAREK
CPXUExx8WrDP6wClj7mpZQZmhoBNpi+DRk9Bh/lqRVindde+mmmCaBUSYtoPPzRqLyF2NLBN9CSF
uGEDA3M/1EICnoLeguPe93EWRu7rAigqWwfccW214l033jVsqvHQ1C3bGsfpMYwsJzWG+MFK7Xqx
NiwFTAfCS1eYJid9agcPaG/XHlzC75Ob3KYJt4M/979uN4UZojWDfAijnwURMlDfGf5WV0Dc036l
0ZPgAHRoqF4HbfhzjUHvxl1XRPko53XnCoaB0QKxfA+TmABP6EFO+IE7ntclquUeVrUI2AhNdIcj
hXmpZrRAqq6xV6ncNbMSHTLGJpiXEBABHbWfblT5e4939DZViX9ylgD67IQ2ZebEInlTQzKY97iB
189jOHdUDwqmdiG/3lRz34YFLoe4+vYjPiE3TAwkycuyRkYi0ktxNnCXC8+6rGiZcEHAKQxBENQE
9XffVR3IgbVSR922Zg9jl2QbKtyIhgFDXQIRXZeEQfLULdO7LcERDGUNwsKj5dbB0JXpEhcCcwL3
xXXm5mXhUu1xFNZ08r32MFtLclWbZFfCeKegZFixU2JL3KjSpnVP0SxBwGKPaiBzpiYN86IYme8F
xH1NkQCiy9XQwq85eoButHOLJOkpKpvf72wQqq27uuYJZwHIf5zMhWIrsKzalDkJSnqfQR7gHQK6
ndRtmPs2YpDDjm/h1AImtFWZYf0EwwHyBbBF4+z7SLKsjX4IL7ekA+mODY8WOuupDoGuheG/eOk+
AwmXRQOlMG+Ai+hTz9Cnrb06R+D1pxb+Zm2w/HAW3kavvoed+0zZCksogbTDTjQuNO7TwYHVA1rm
JoJxJ0DhbkIPPPYCTWRIoNPEn9dH4nv2+L+ER59Cm1+vSaa0JjPshLCs4m2iJoAiEF6gcf1hsKMK
tlsvRN3Lqgph4xuPk9izAWptwDVu8w875260D92wxJrHMFie5GSQC1wb9aPBNG4zDgdA12hppwVi
L7/tmvLirITJW80jhnGZaRbLl0BFGLHl5CzhQTQ0Rl8LITmSx8ey0zntl5DuBjde/W2p4b5/6TuR
TNA7hAmqDiWALenCnW4C1FSqZNcgi9riR3vYU2C+Am+flDMULH4so3/rgiZ51+qeRgVR06Nkjb6j
waOIuYX8RLZzttgKgmz8v8E9Ma4lSrvszLzrSr6wfVM2S59KR0b86K9Td64iKspzQu3qPQc8jH0s
1DD0TRKegyBsqrARe5dItkD3o6CSqrx5XfJqti07BX44I5lhdtbliTYh0MCaDLgn+3YM5DbQjQr3
Cz4EmreAV+SpjEcPTExtPburpmGJf2XZA7ussZOFTQsxetNeBrANTesg0ThEBIjrVnMVdSdbdwNM
tmsbtDnSe+ZkO2vhoU2OlkjlfATihe7aCYaPiixiOPoBa7FJ0zi8ZJB2a8gCmDu1ZivcgPUp3E4n
0EdAlHBZBEOi8zDsm/gQGDF0R9kF2DwTKLeTcbXE+5XMyynsI9whGrkmHjQqFIDgynQIl6JuFgri
lQYSgJV0oTrAntuyrMY8BD6Wuk2dFCpahvWGN9ZUmAEftp1xHwF5X4Mu8nIWB9gxsI0mmH0Cx6M7
D22Vm3LZJH8nQOqACUswVJsRl5EpGgz8A5TYJSfgdnTSZFbXRmdlIx6onfKWN4rOfMNdNYR5M0zL
N4tD5bvo2TWVzy7HitzTVCfu+MI0jL7v3hAAZ0IwU9//pfNoMFWhbqmi1Ng32s/dBDVCYzHKZHGr
RIe3V5oxK5cSIvbZyhXyBDHEjoeJwtpov8TDuEB0WaqHrFhg9xCmAjrIJTxW3LtvhIHoXPoan9P3
MPKuXb+2YHNDGW/HDtDXcSBtqLLQn/H1408jzWsvaPeitSzFPjbW7wtJVK3346xqeqpWB3djBJpT
PIvZd8AhdaEFfJWUvlNwAaBsR0Wo67yhiQRdvnjhdGOSqvgoVQjYgTcd/leqQbhPsh4GZJcy2J+m
mrU6OTQ4OyQfYw4KAuTKhP35uA07Z+PqmHtfTjyBGn3EbQw70oT9HxJCkzlGjRyz3qgV4h1gfuST
jdQ3w4b1ZJ1ewtWBRZgfguFcx4DAjIlKtz8u64M1ZJUv9UfdTuFy9SRll8ULzFUsiWshZqIj3y6a
j8GrQ0D85Fy43XDqOtYBM1vk8qmXbiHQm7dRDKqyAddOsDHHkdNgImQxzb3PofZm4xDt4lqWUJV4
IbJhkxWEIfVrHzxFv6wVdJU8eNMut1czEfbWrOhXd/4ySFq4a1M9666u5otnH3i2xZKjs5E9q+FQ
7OBaTKfHCwY3/ihyc+Jb0r5iN3OFIrBtJ+xYID+V7hkyHrakngh8AitXPmMNlgCSjwk+io8eKMgq
0vJvJvXgpd7guiQDnGPpGbb18q3C9h45qany+EfodCbaov1eANRgP3VOpaxUv8d1hLRgo0Io3ZJE
eM1ruAxQ4fSyxvqi28kB0g2c/yY33Zyw3Gim/COvK9LviBz7MJ9nR34ms0BtNGsf1+dkVgEcyRQ2
AdKlArNqZoLhSegG1YQmqgEpykPBDlJ4IZQXXrC6GLJN1efMTRooIwK2toWRmMcgq64jsPgqLGm6
9CEwqk4bD6PpZNpl21KP9VlYycZ8DKYNkk3AKNYYGuxvArlgEuZSjNS8LiZvaLGPXmOAKEYmjr12
lp2qxVJwCOXHHW9q7WydcJBk2zEv4kCUOJBZwEW6qQ5YXKvLgphaKrD7AjSZNqHW6HfQfEEiql1T
dJ7G7OqJoBqewgq/BFfAUAMz8pqlfEVfR7Bf5s3ofHLBVgZfvzgAtjlpdMzHuDTYBkaFdNpiWBvo
0cq5c6atYXZwDkIEnELD0IWIaqhMVb2yekBYPQHXorEcBIITGhER+9eg9NSXlaht5y5Z+F89a1Rv
7HH253Us5YcuXUgDaj7SFyMpj3Nb6zbBiiTF/iwEGAsmxRoGdt0B+hMI81w4HFdnoL+dHFM3eWx2
jD3g2Nc1aYAk+1VHGvCLZBjwQuHowy6Gojq7s4KkI1r9AGrtRVnvldfWDnt0nX6c0YHKYJ9Q1tZ5
2ZSTkReQrGU3bLzGW5f9qPvS7sDVx+N+tPDXzWpilgjIF53DQ4LvE1wHZs3y0LSK90WCywHGSYMU
/StwRRqdjAgnN7OGYS+ZxwxzpHYqyN67cl5+YxxKDFm+j40zLtcOKtfWhzqm9eGBb/9j78yW60a2
M/0qjrqHjCGRSET4nIjeMze5OVOUdIMQJSoxJ+bpbfws/WL9gVXHXWW7B99bd4rNPSKRudY/ramw
Dzbs18HLEkAcjMqI7MTkDfUDUB0sm0cSVr3trMzOoMxmHwh1srv0QFae/mkHs3CvjZtMFoxVgLNm
jKawf2rLIve557wkOMyjb0bUQn0b31cTa3qvhTc9QYB4+7ZY7GuiZ8udF9MbkhMNT1t3FRopaWvn
swjqxcPwEaoEi0OHFnB4FGmeYy2bwrlZ37MPHy3piu6L6fJY7Oa6M8QtTQEToN2M++XITiS+hPyu
q0Zfw+qVvm+hDRsCB+9kljnfW2vW0bFnlXz3lqmLHiO/A4IvPFPiRUgyaClhRaW59/IEfoHVWcLz
9UUc5x0Vslz+Xyl1/yGLQQrbc0IiBnzKzv8wfG2KrNAIlZAvwDw5kON2m+4q3BOb8rM4UFNQJ12s
39/0n/+SB9b+/V/4/w9TwfLpuPt3//37JUFz2ppf3b+sT/u3P/vrk/5+V72XT13z/t5dvlf//i//
8kRe/4/3333vvv/lP/uyS7r5oX9v5sf3ts+7jzfR72b9y//fB//p/eNVnufq/W+/ff9ZJNiG265J
fnS//fHQ1c+//YaT2yMq4p///A5/PHz7veCZz+bHd16obP+TZ71/b7u//WYJ/5Mk6YU8FvJ5iLSx
yZYY3z8e8u1PCGZc0lr8ALonVFzN0jRdzNP8T4TOk6+iGK/oMCBwDZNuTf/xmON94tLa6z+ihkIC
vH/7xye8/z1i5PfLw2/yx///qeyLe5OUXfu33xznI97iT1kkfCaiuX2PIS0hyTF8oL8GurDrFVRk
q+/Rn8uz8RRG0GZuAx/kmLSHTTGojDp+svSL9JR/5/aISfjwHm4Eqz42joYnHQ2yxzCpORj7+bYI
OpSR0qrltV35XU1Rq1to6iU7Mc6jeK2iyfscxmXwWcaL/DUPQj7TVHr3SgpzXWsnfHFFAnwXRuON
lJXBQgdyuK8i3/sstNt/rQEln/hdxWvg18NDl8Zq5b3012iw2InacBmObaXFbdzP9VvGlE6gNbDH
JAdGQdFRb7wmsw74vvSOwmfYOiqwb2MkJFct1wT8T3UtIG3gHGpyNLZNthQ3DQUkFrICIW5pvAqU
GB0nvZ1+cA122cVN/UM+FsTwDXO39Ry/OSz9WB+gvTwM2cN0DTXtfbMH4TymTVXvi3aYj9MEGRZF
Ufq1GOZopvLF726yAKl7TfBcwkkJbQJZnU8IzdKhGZHfV63bH8qOy4A4sWZuEZV6aZ/8kk7kyqU2
uKbk+bH01ib0A8hTrAHF0FavvYkAJuKsuBuitANUz0IQ08TCIu8IsJFUYLQDszj6VhzsbCergqOJ
i8I7jELEr6zR/NHqif/mJ269ez1AHeXOApYfBXXzyg5ixcBUMkBmqKbq3TL+cHTGYsAuomvSEfzy
3vhM3t3othbHeV64XdQY3tD7KMQIbf4o2mVGsfNR+MVNhCbf7/pnZywJ0qpKfck6O2NsR0ilmJdR
enZB8k5CZvNnDqgFmTQiFRRkZVde206FKr5HEziUo59cAVFRfC7CLY9J1DsXiun2IpqZWVajF4Dk
EoePs7lPqhfEI+WOlih+0IsXv7KgqGttjOu0Pq54+fi1jUOUCAMV1NEOewa3rWWwXdjhDbEq5dmm
O0KgGS7TZq49LB94VbF8eJhTZTseMqnT65GgSCy/AWYKxdp/ycZo7SDsiXx8HHzoGEJOPuRKDaAs
Y57xhYVpe+o7j4lqcbVEl8rxIEBSxayNjT/STtLDIgzH2xXeZNoSL2nZmBvZOM2xbWHjo6pojsab
1Mlph+UuHSSmi2wG2aDbuSM0eiXBByISDHoWbFZ0cm+tnOonZdf478LaQjfQOQ4+GFfbcHdCY7Cg
5MuOJRAIjloDUchsnQ4Rq5NdB3LCf6V9ppIxocwqgCcMzA6xPgDL4yxeCOmwuDA+MvkuFs3XbozH
lKiWDBGx1XJNejMVr23Xxg/Z1PNjjuMcv4qOghGJuOPtDAOo+A3HzD6Jjnsgm5l2AtVbwEmIfk37
cLwaBqRMs+IFp6bvf828lbYshnrKsIlPLQJXN/raTNL9Jtfei7aGaIKI2JkvRjXBu0dQFXYM8kuQ
azPymiYysV/LwuceNnxDfepTNx1vYi/yYcjtGXsSsHL16st0vKLsLfA61aILz41J+noL/Jmf7Lav
ViVXFj/Ayel7utBgT7kc3cWTwmLDrCUiUVYg9n0uE7SyAQCl2kR6GXHruCMZIHmnnBtt0HTUJFVe
TNaIswQbfskFvrbMj6nyO6umZu4bO3xmOdt720szsRVBEXyz0zyrmdfijc9p7stgr+wFR2RGbwOF
GVThjeLW8PGzrCpQ36X52ARhkzy0Vsvq6rWNYMDM8YNJQaw2rWGFKM9St1nA0s/aSN3qWc5Qumgp
LnoRtFzCcu7iqpcnk7pctgx0IitL9i+TDOP7KC0Ut7bucLBpa3xubdIkxgUvuCja9YIvdoH5LdEO
9E0reayp7ZNpl6TbZ3bB/PNsXvhOLXjucRxadSHbMD/adsv1/rgrxwIDnQbPeoaz6u+4JdpvWZDE
D6ou1xXmQY5k5Gm9jJkX3RnXnos9NyXGUVPxcqMaozs+BZ+lDWqogigY38k8Sq5HtAsX9CT6p5Lr
u+kEbHWMe54zJaxKyxMvpl43OcVKHYOhPItkiu6yulJHI1sKVq66ulUVRh2gwwrRZqEQPGbcjHZi
/bQ1AiNEUDi93PDnx46jTZAfxWy43xH3XCuqcOKBhBPeLAa/r0mpBU2p8uOYOFwAN5ueAe7UPiva
am+k5TE5m1do04QYDuLDojsb+ANFJOIvM7Pf29TDN9wNfJiEFxy7qTzrUa2EZ8+n7vvpjaF4/Ozo
oPntAxaAvXjr6rHB0QTnI2QsnKlSfElt2Ps+nj1Kj1WBBCK8MU4aboL14SwcYzRgAWKFGttVygLc
ClExCNNuRnD+VsFpsoTGogFmaW0+KEJFfD9tqG5Fx5fhHsArnUtWE6OeiMgIE7kZQH5ubZF3V5wI
as9dp46trNmuuyy8Xc/nJ8Tp5fn3Ly3n9bUhidrDIJN1GywrABBIZjBC4u+bL7aJsbXZw+r5FnFG
Mqwv2K6Ngxjv9wqqmC2O2JZLoTMWn0YRdD2m7fqNrZDlpd115Y+iIha4tP0etbo/6lMWWeIoO9UR
VeQFpy602qdp7K2n2Q/6czBi3Rzz2bklmil91l0oH6yi9u5aWsnbIiLBIM81yapVWutrJn/WO2N6
aPSxJCo/LrtTn43mqstSRkQ4mdhk0HuvpYxhqQXiH+GDOMdDCWVUyYpMBEYtfW/S7LN2K1RiUWiI
h3H602I6ceRWdk5BNLp7q4Ie9Sukm95UjNs4tKOrfkzldUNa3EO7iPFA4lnyyyeIblc0trOlWC33
CiTn2NrMTveCEp2ZO3dvFjMZaRjhvzPXxFvpMH5xdpAZVDNNPOSKg6Oq7fydMLhxmo7ADmZQq5ve
UvWhHgxxlL12f7pTjj7Fj/HfWL0+JwUBFD5fGDl/Pn7OOfTAXka6Pw5CTBuBjq/rJp7eyVNCjm9p
9eLXC0Pj7bp6U0uzfFGJVd84okjszVzYiBT6hkDKKmN44Bg7wYOxbZeEgLK0HxzmedPoM8+c9J+m
w2/GdvFT2bNiZ2uzXw6vjza84Rh0KpZlKCZidoY4nYadUwB/buq5ltj7x8BftwjtkXrYUABoJE0/
i7lz71Q5ogJiYRmIuWD10tsRKRdt7K3C6NT+tkQI4NE86eC7iXyCjcpaFC+AVrjhItOgWc3rDk1H
PyDwH6dxyndVnfTVASIu1dtiqcsXndgIUXvHju5RTSIBilyZwIYYMtd8IHVWbx8AY6hJiBe7C+fk
KMIk67eUoy6RRMtED6FDwS7ZDW3xbsV1isMZVuyYVVDc6AdLx7r92LzHUbCll1VIiZqiLr0vlqX9
SkXLlmSbEMOErpP80VbroTTmifJO8IZRuF9DeBFAOUjyzASal/b0SsjDog67YNa6t5kebKadRQG2
exgrAoxU0jVfxjAIPIregU9qNwuArvZL3kAssdkt3SwQZ1i6SvdzFCC/KDksYlIBMltT4YPugaqZ
4pgOE3pm8JLq0kNuYPpZMpJ9vEDfZW1P0gP2k0eYleXi9AFSlVh6JYriuQgvrp8gUiGJ0F69OHWe
nif2/1PsFMuh9VF6WMtigbEEemLsp1ptg0qOvFsXTHRl44iDZFcXPlfcG2zr1i2XoD7nbUZAXFmN
NY4Z5bVfk9wp3vtaLKjHGb5UHBtVdJhrpJ8dE0r2V3d2nXCXBzYZHUOgIISNtexLLbP3wfe6n4Ba
7lUuCNLYkRWnx2M/AksSeewkV0XniO7kOxBCFc4JPCKVnSKtNOUXr9WUDG7iNjjaBkDAQrvjocmC
3N7I1BXiUo1l3exrOk2S6qJ8ler7wNQk4XnwVMpuSEdpy7QZ94F2rTenVpO7kVW4RFvBbAk0THaE
Fbbq2mg5F3oKcf+OJYJhCukIcaENWrfNpXT1G5so5/2o7Hy+XUjINF9VWrMqpGp1+yBMlmPDi2An
LoZTx9o79Zxdr1mRyJgtJeReVJP5EZrR+TqKYL4UrfRpjD3X0BOmDrJV1Y1oC6OpHfZJ0PeI7q2G
L93MuQNk3DtA2ZCpGtW0bizA1SLDQM4SaJA8GSbbPiQF8tC9dmP8LzZxh+YkfCOSwyQiVPWpTSm8
TXWb9LRHOdbEqltATSe09WuwSzMl267W9k1cuDG5FAo3ws5L+6DCbxo3V9JBA4GRp7SOcdssJA9o
U5e3iM8GtPmjQslGpJG4HupAfktaI98UiNiyKcIpfy+COPmc01R+WyTA0yaZ/OEa3lr8GMKwyTe9
HyDSTKul9BDUEa53kkkxTVcqt3i72E7qrWaE2ntBmGR3GqschyX7XrRTEAqv6OsQKDuenexYWcMN
Ta1DTIlo0IIVOcRf19v7aojMu54W1AtRw1AlWP8if9XFGslBhUUpPNPEkYoS94iqvbHrjhNdKvEz
y8B8EcDoAwRLv0O5PKNH6Nn/ljYjSluS50KEhh6wujLXHEH9UC7jjVa1T5XKvbNdEpryY0FgZ7qN
qplwkjD1gX/NjC+orafpXk6p9Si8xHoLaxdpA54qsiVSRxNatOgHwM/xkVzZ5J07QL6lVRViKI5z
xsE3KgOkUy5mK1sOX8ap7uFmKbGYm+JeprbH51K4FCNMEIBlxZc4BHc0roR41e4wn+pY1deJQ4IS
kabxqwoJ8N44xNvik4Qw/zYtyfjkWb79GMyt+touA1te4A/nyHZDJoaNOPRL39vNuiHeZKzlC3IB
spQqb/KuOqcJ76ZswDyYAc3cNdAAX+pKuPsxsITa+I5JvwV1nR8zPG5PQWJhck8nwpP9xL+ZKGYu
rh0AtlpucSjHAbNL2Nq7EPcQpoCIPSfNx62jdZtuKGY84qWWr241ruNOObk3TtLEuID4nSJSPm+y
qsj2Uk0IrYemM6fAVcN17JrpXRixPEQ9TiqUgBaixaYdDtLGsbJkBhds5E2nRkfdo6wQKeezD6nS
mPAh7/Lg61To5NUhkPWsCmJ1/Ggc7lSV0CwxypjiEd5q1zXjhVuFFI9g6k8VMi3sB7N1h+ynuHbC
An9S76fH3O7a777V1+conNKrssHZgNXZ25UA9zeMGou3o8VAbtftQkpBTAdU4e3NFHoNVshq8dFF
RPKczCp9cuNk2Q5Tk5w6qyIryJAWEAZW8GhLAp1QgyxPcI7yShbcUu3KX2NfdCP3a9rV3Q3mGJoL
wLPbahmXM/hZf45cNzggDI8uOBOdO84seR+zy38e1vaZU2MttqmP7QKhsK2cBbW5DUIhyjx/rBAG
f/ECpl/XccuQ1G4VhpY6rBA3wpmIjFVhWYG7TeTg7NxpSHeOTkH7i6K7GuNK7FM/XO6duUrPrXGy
iwBS36cwZ2ectJgbVGLuIsdDJ9j6MUkZjhenz8pEy1Zq1Id0EkS6SbSAnOFxTgqAhvUaV0uK2yTe
W+T7xVU+0HwPY7RcW+i1rr2kdC/zSMCeq0jkobAiUc1OkvIpLA26E/KmsMMepxGJfkpyV7Y6PuwG
5Tx9Kkm8SbkvUc/dSEfXz17T4b3w/GV8dtqacnZpm+iOaCXowkrjMIRmuGRlixNkyS3/4pVpfiqb
hXlbWs8XU43RM3tuuVO+oYewR7ocu1vCG/hJsJQIEzLTO5SjcEJMpX8j4in5oYKEjLtpXUG1zL1D
kTUZWVHNLCChcrzskhD7xyCm2xTsW2cZuQkDMBBcXAMErQ0LzpbXXmHeEQ0mqrKmM1LSIoWtonv7
6JYgRghVzGfiGoWbH9NyoaPxmhGwywPNFa71eYkb8C+V0X4zYmybhoBKNEHJ9Qc4wCE+vSkOOH9j
W714aRIa4tZUvEyTtnyyZaBtFsYGrrE+1BUrvGcjouUqrkCNztZOaoXJymmi2eTkuer9PHpUqa8f
fXqVmyzp5Tcfcf6zC/zyTTF9el+PhJdZrbCeW88DJG6AXcHV0iPZbCs1YwQChqnsN/NYE7WGHuOs
7WC8VEEcHjzLgqKRVX1DX9g+t4E6dho6j2ls5kZDoV7mfJrfGpFj6Zyk/lb2g7fzw4o91WTWMSsR
TE4ENM8boXqko6AKz4ghlh9yRAreVkVMw6amH1ngO3gqaVC9EBi3Ze5zt1l7t++wcNMzekoM4oRU
3lDoAHqCG57oZrurwU351RqS6am4U7d+an0QxWGaAUYsxWW0JZ1vUwM5CDVSOie9CU7CVQ1xXlMs
oq8fnMZ/Ezy/uYwZIKL7/0zwXL535p+OUFut+TPF88fz/qB44HE4zHwZOq6L+F34BOL/QfFI55P0
GJwQCtd2UCg4sD//oHiCTx7WPBWGUvrKc33GtPwbw6M+gdH4ZITD5Unb47H/AsMjvDWR/y8Ej4Jd
CqGfQhH6jlyJpj/PmCkUGAe2cajxHFH+0UYt+KsruS0uxVAQ0zdBYJH1XWKAPaqxrvor5k/J/oEm
sEQ1ZMrCPTVWNJR3jcuoyetsnlJxLBD5IJf1UWg8wyxNPcho6L1So+IuM/HCMRGHztQ+z804W7eB
iaxfuu6GlIzZ3nt1PUGQfwPJiz9TW/a9dpymPUVxwO2rdFSWx8wXSt0pxCzxxuulcTZ2H2NNiHFO
lcewLwNK0HRIFSrQCXr/bomGivSRTtSJBy7vjTl6Hle8I7xDNpdPJDbfU/YzR0BUIEBbS0r80jax
9eQhK0RAhOX4ikG73pI0t7kY6ng3JVUvHhF9TONO2pFFwEcjtd5adlqQvgXMRritNm21S+pOLqcc
oI8Npl7ShQLc1tGurjMSbL1kQc+kNfZyZzvbbSJvAcKr9fzxEQufPUIPsaqHURFsM6bK4J91hJaf
pybVGRGWYl6O5dR0wXmOSKSmY2py/3OPVO+xSKwgvWp02Yp7gPlK3oGNgbTYcc4BY9oReKpmmnl3
ZifCOYHqWfy03dhF0zlORGI0TO7dzSAUEgDEybFJe+O0rYn4DZaw7g4uGi1BECFiLGSf2GMQP2Uj
OlbllvcK5I9fg6oS/YXzIMMmWq6aRfRr+E0vyY8vKo9Ty4V9/F4UvT3dVf3I2OYxAoIAExKSWDV7
SMjyChLlE6bVFOGu/Ci7wbez/ILGYaneRdlIPH1yph+K6cxxgy6ZM6xh9xQDU6HkL8NgYbVB4xkE
+6DhpjxaHz2Dk1aOOQcpNSZcpJWlGdYDYK/nhkLHI8rWD5135o7M4lwnqrNPvUKPgSO5KBVWtgMr
Cg0FFkbLVRFCCFRO5IZmiA+wRUVO/83RlUPizBDzslsEDR65h4J1/7lTsevdulFi4mOS2EgVcfQt
8jwOE/hGkdap++j1lLCHPtd+t1NA8uXJBAkqBYUEkEBdQ8P/2E15zqxQT7i9IINQrjSR0+XhRQpZ
EJoDxz2J+7aeya0g/j7DWeJVHZo62XeEeFRdRxJGmWVq2bmyRjqWWYFD+EJQqCk5o2Fx8jcIHbOc
4kxm030Y5BMjMBJTkLybaQ81qtWDqTROUCxXKkoX946V1a4tvY6cfbPYWrzETGaOENmTeVP1NilR
CIzErmqRX97FkhxoZD7N1H0b0MAMJwNSs5qaVoohS9hH9/R6+aNba2s5IDIlb8D1pPWWS9Q9e1qN
xt81biS+efRRjM4wQ9zsvaweZ7TfvW3tZYIu4lDze3ZbzAEuwbZFU74WS1ctRxQfwTq6YCAWJVJW
X51CiazlkNL+p7u488L6vaxLIN+xn1xFNYJI6WqJIhBbijtgIqFWYq0BtG6ZNF0+CB8B39YbkyVP
vsyLW5NzNUjRPfQhRgm0bQmUllhtx/VUg+04XenjykSn6ew6E2YRqrCJrQQW0itvE7dO6nOyeHik
uqAGtt2WYdn5Z0F3T1K/4/9shaL9QZtJc6wpGN0H1AO1j/dL4F1FmBzMZNyWnv/GH4JxpblLuDFE
a96vjEL7Jke780/LVBCmXBbjw4zoHHIwmlN5VVgOWeRgWXGzC/uGVIu4HEx+H5RVH+9zdrGMLDjj
OU+UpQPiEiOxNda9U67BMM54oOpPzXWTOz2Rqj3C5y1FVEqwbF4uyc0wBMWv0Qr8xylEo79roLE0
sZ6Z/mU1S96SS5mIi2TaABJYLyaWVeQq/zbUS/NORVx/RXbktXsZR3BY0nabHuFuYb/Mg5vk18kS
oRqu6K/o3qJAR09LgDIfVCVcHOSrU4bXKhnxqjwsVJhpvLUiKJKB9K3Yj6JDVjTJNKM5HBgIRNph
oZ3iOJqFKQqFzFLn6nc4N+CChGeBYFQ+6H5oGMUV4ufXh4LjgKzEOmPfpkLooyNoJFBjIUH6ybkp
9Z50ThBTvEyfGyKrwALTtF+Ca6tkGsSxpRcIkfStRZ8lbG4LlZV5+twIsL5sg0qC40raSeN/cQRY
KalTtdURlTVpF/2uO21XQcAdwyzm8ljlBWuuDIAktwzO0fMtnEdYgdmOQYubR8+kUaclNhk6lC7F
PORX7te+NsWL8WUd7GNk3OzPWYqvMPRQKmC2zDuwVcuEyXWqQ41eLMcuQjiAKgh/sYEBmTCQ0Zck
mQTyHAtC3RN6HfaCdEHr6gPvjtvIVlDEEZjicpXklUoO9GM48EYYxl/0EP0L1pHVLRRIwg3TxTyg
5C0Kpv5pRd4sHIJ+GbsovqR1Xbj7lpV4V5a9T7en2qx5LpBtkAGHkrBFv5kPPpF44tx4aG1tP+nv
ZAt+txG+HQxXeRRmxNm70hoOytNNez+ZlJGtETNznB/0XuF8NdRjELDpNmV/9pF7kaBldV156Lwh
714mY7ryamBCxqM/2U5JS154y61fpJl7nNjJ4ysQxKRD2p8MzbFOTIoYMZDhsjHSQ7vNAwUrSfj5
ZN+raVUJg1GyBETF8YpIPcnVpUSfCuHisHhSOIm9EnB3ZdNHd2DUSNaHIQLfBsyeuwfy8VeWyVvZ
tWCCT+V+Y+m1Go1jh9lmfvzv3qCbP8RfXIb/a2/wP4rv1f/81z+3Bd7vT/mH8iv8pNirqOBdL2CV
reO+/qH8Ep8Y2eajkHIk6qt1ZucfXYH4JBjAjMOJbU5+PPanruAThx01PP/oNFCTyf9KV/DX6Vo+
Txce8jNFS+A4fvjvJ4V16dxatjQMQ0YwyCTN2FS3ge8i0oo9c077xtz5fendjW5ZP/2ph/pPJGeB
s845+t8Nyceb8+62hFPgx/noff7ckIxNH9SDjXFYJWTySqYJfSvYOm8CzynOGaUH1Ua0prIhWiPf
W3FT9ZMO1kCM8jzSLjNiRYSp2mlt0OZ3i9dSS4kFj7g7z5BOqNZ1twkWqMAvVuRb37o6coeHKJxj
cRFp45AROHrzRJqZpAPXyqZE1o7xSHnII7L1wiQuCWwJZcxURBD48QkYBQOOQxvyGgRBueZQz/qp
Gdz6p2GmNa45SHmBGaBe716HIPlKdhBlKrUwIc1DnkQHl5oC7W+bi+iAHCSSB53NLB22g7YY74AA
6fGzWcv2BVZDEZsAVic4YyygG1J706wdHkZnwsEIq3bw+34dpKA7QhqIWTqUZT4FKL9dTtPIt9Wh
lCLAlS3GXc80R/2l8YPmxhKDNZ6z2W/7e6pMf7zovnFRyw7e0p4H4bfoz+vCVNukdVGXlalv7D1K
NNS2hRnQoZRSkxCM78UlnqhN1wiBcHIf/WbCjj0ELkxFKTx1PzauRTa5175j6SPSqaZU/jIzIpfg
75lrw0QUn/jIqjWMIzCQ2fR3YcgUp9YhjyCeWtAUAmDDfIEJJqFjFcZLMR11zYwAG4ful8akPv1Q
pCiTORY+W6qJHzEP1LdltfDDEd0ePjkVeQ8byGVyyhTQUb2rI5wMEK6V846Cwhl23bK+JAwpySRN
mBFhCxyT35QMCNQ7ISyXqawN5tltPVcm3juiKOpHozC2HgY/GS6tmZPvQ1dP8YFFhVwdZJIUH7XA
fjJch1lO56GW8pnJhkTwKBMozHa+dqevjQxKtYvXWn0nStf87FMfIYes0/2S6egcxdKsDpKZoJQg
K71+77mq/lmFXX7OSCfZp20Fx6gUA1lI6R5MfyOKQaN/i+KeTCKY9BTHQVM4R39x3feFKK8TBNWa
uExG00L2UFH4wbVIqujSL0l2VqNbvKA9F7cLaoMXBHzqc+PicN44pOkB4LOsiQouLLKd8hF2Ca17
G2Bjh4oqTwHEszogbiG+b4oWRBRthreE3nqTWH38xuPRXStt6zkZnZ4kpFjNJMgpFLrVFJ7bWU/3
JaE+b4WRYYzyxmaKVOzzK6bOjFucsdF0Y4X1TKoBcUrQdd9RvUyHAvfj7eKDUV8tIHnHoO30YzwS
5WVrwu7iKp03Vl+MWN4nr4oZZREu+8IY+JOhN88kOXRoqEglrZAfXmM1Cp48ZEp7fyjTGyuPiycB
t7JbKgUFgEFL3pSjt6YlOHDG4+zclLGFcg7Wgfp8MK8OQSEPzWLCR61oebarRwlT15y6+4XO84eT
eR2JfJ2wd3Qu4hSZajij2UehEZvgrHIyxZTV1lczRcYLSHV6xLCpftqFss/ZoMiJRI3R3ehuQZ2a
I/K7a1U6PNWpZV6LjGr4sLQ2XlDbT8VrhVf1bLVxdECMvJAFYC9USZ69dUj5I6S/jNHpZiUJRA2/
4pIGlyGJi1sG01k92qPWlfu5c/xDrBTzDAaihrFKhtfIKcUp7aqZzl3qbZmW1jcIHP0QcBpsEWjY
2KLJFcHj9Va6iGwxy7sXmovwkjd9dQEgg7YIreBNe2F89nQ7PUu78a6KOLTu2WbGXVM7GczDaK5d
3UO0TLlz5N5iNc8MYWvoSRkypvwfLoA4AkeL7C7Xbm78mrC1Yc3mMI6LcSZueBM7jpNTg5Vog0WV
L7MITARzWdwzby7m9s0MWc6RhBBW1YiC0iLsI2PKABto/CMrRHLJI9SEuPpGckplcNXMXf9rDBdz
nCE7D5r4eSRSYbmd2iTiarbuNaR3Q+4WXmSoeiI0ihmB8ibHBPZeMrH4AgVszrmpIHTjpl9zV8r2
hZQh+yZEm3C0XE6aCAHfXTGO9nYuBPsC+agvhtDKn5oNmrBgGENiQlrH3VaSolWWjn3iMxZ3TlM6
961ThdzZNQ4AlAzrXCcYtjlIxnPDovwKpJl/R+PT7Pt2nu6WJO9OuWw0MaUeo5oTxqJkmZ6ZwVdU
ZAQi8WTiHZaxmzHyop8YlklpL2pC/2iZaoZtYXLbRmPN/D6FXXZieb6GeK7gakW9dyrhXxL22muB
MXVnUDdtRRrol9Iy4gdnXPrSISe5b3tbvw5pnBDn0+I1hwk4A4Awc6clTWUZSvA3M84cNrZNukXl
nhLglqNZnPHUTBCKJJcMu2SZo3271PxxHC0bx0nnC6QmCXIhQ/Agn1O4Wzl8xnsYOhvVSsveeGYs
r5KscpDi+Il4KjnZOBsn8nNcGK5rpF4IW4W3rP4jDCNDaK5Q+6Ep94j54qvVP4UFAw5/o4h2cFoU
p7i211F85yVX3THToDabvk8C8qo0ipGWHyfrRU3EUD7d+vOQ/mpkx5tMOe0ls93LbZ0SVKsX176E
YsQcUfiMvhjJQ5YlUfzlMkXP/4u988qNJMnW9F7mebzg2s1fQwe1yCSL+eJginKtte9mMEu5G5vP
mFNdDGfcCLDva6OBaqAKmSfM3MSxc35hGGDbWLb23uDZtp6KVHukPOP/FXUhCrJ+491FQ+XtXF/B
HlK1+sc4UZ3H1KQaCVofZ+TMT/ncgwJSY4SpWQbhSiORkR4kEN20MAY1rLrPgvLDq9PytCpti46Z
GqKQnuDz05USpRVnKd5i+vTDYW8/aqWH2RdGll99yPDXphL1LzlpLmjdFptdaLAXPOSii9hrqjun
dI07r0rsF8cd202NZuMq0dFINsLGRGvGr1+UpExfoZYixEeCsRnVtpPAxPorpoVi3dl6I3HrxdoN
s/B26NTuohUomGUgny+DMYrugkKnu9Qh3Jo3Xvqn7tbuA93raA3+wHrEalFf+z4T5k5FtYuCpLpI
0Uq9rGGX7rRYT4GrcCupntnuuwLjTSB16tZGZOShrrVq0wxBfgMsrrgIi7pbUTRBRA+g620JaWFX
Ol6OqBDyiWESRfsiLMVtoQbdtmD/rEP0XNBtbuochTW3psTawpNAmSqekifP4ba1qwJcScv42tr/
VcPDfQyUwbpshhC7CDvrLhIHUDul5e41S0MUPmMoP7raXQdpwpWNEnir6N/MJB6+UWpAcK4TFmKL
pXWfl72+NFQ/fEk0tXzQrW4kB9atjSc6wrWlctfmyrBTo7Bfe2Os3LQUW7hWOxUYGorxwKaLn2rT
GE9D6bYr8n6xhwao7F1lJN/zqUqhOygs+ybDEvMes2n7eqicCbhENU5PqD2l1249mpejgvQMaDrq
n7Ztp1tfM6xgUwmrf6kca7jKacKhuMIyvC2AK13mVZE+6Uo+rQFB4ekmvO+p45i3jR53F5Y/1Uic
eD32EC37eRO0ubgynAKblgCJ1MQeqmdhOygs9lV6BSK/WgPRBEbWe2CRHprezW8pL1BvD31EF0Gj
5Ajt+Raa41Wo6xdMFlq//AXFotGGICGHQ00/Qp1goHrHOVwlbb/F9L5aAk7ut4Fit3ufJxkg56CN
L7Wmdy4t1TAfglodv5QBJgGhSh5JY7bIGCegYho2evBiVZ51wZlaLuVe5J4xiuqHH3QBKBwpTGE7
bninZn1z5dgob05hOZrIUEgPS99o7xyjrHnKAJOM0N9SFTi9oS3lRTuVe78BEgAzM6QqBeVGvCCU
wpdJDRM7JSPv7rUu7X94kxE+jVDGceao2Xq8VIB7gN3N01e78N3bKuzEbeWyghaVX+pfO7g/PzUe
e+GyEMP4sx0zfsjohb8gGMIHBf+K5EyJ5J9roJhHGolLK3hh4BGl4jk3gETQsgEEgxw9libaNORX
bTuhxIYucBBvC9VSnvsssVI0M41iY4UhNoJcU3urzqQWl5RWqRK4QVvOtPpH0A/NvQZa/yUeSSwX
5jTG18Ky1C/TmJSvyNnWr7nhkDY3dmZwmLnOgPZP12bWHqSRAK0LfihYUZjEEu30o1i2Ao+8iU34
WSqvIfvtzfzj9SHMfMna+t9OYPGiMRBDg3rFmWxGMRZ4ejlSR2tTcgfMK7UWS6nAzL8C/Q8pq/tD
eutnZYsDWlNnt5QIDbDrNH20LXDnpt3WGWieFbNE2n7m5x72FH8/4S1dEza/FrahOesp5uCyy9zH
TcwvlRi5xsHnJZT3dxAg6m9jUxvIOE/qX1ZcNIBsSxNvUVV0Ayr9QHj+NH0esUvPirPN6d91pKxB
N5xGrA41jkIrXdX3lQXh90NAo6FfpJUVvfpGaCjQZJLxAe3M9srVA+211APqhx4c9/Xp2HLIs6qG
ZRjg6WzYIIJ272FsagW8r4NyoPsRNXewlLQvrlt0u7co/2nH/y8NXsK7GZeEzgO6JRW3KceV9X3N
7fef+bsTb/8BtxpapK7qminIAP5VcnOMPxwYlhpoQqp0FgzZf9XcdNr3/I8mvWHa8utRjvu7E08N
TxOqyX9ShQl4Tnym5MaGPFghkCN1Ov0qbSHDZIsb1sz/m1q8W47CKld2lhVjvpFFCh0yElqsu3ZQ
Q3yYhrCquFw6r0mpl3cQx5rvagZkhu5TE2jb3IsRi24jJx5/KKPdhK+2E6FXSDG757XBdd162F6X
LmZkjlk4EL6CMZ1QphJ402aDyvPfCEwXqW843DFKzqVa639mQlWUhyAMQKIWNAPjXVznjnMZ5Tac
H5JS7cGvp6j6BVE+Es+oS/H2TKbO4pHhRbVF2dxCTiC6dnpp7byIGnAxVxWUEkozsdBpiygFkOGb
CqkE/Vc3RfTZhDlBcKdK59gPkY5VLoU4DU5E5MPPvAiyUjEusla0lGDoaXWbPK0q+54KuSXThhBa
62Tgczdk0YsRqS3tiDj1vGvXIFG9ioSnarK2Ifv5k6Y3+iuCEr73KhjRuO4rJOfzpWkEzvRj0CuQ
Qa0O4PHJGW28wZGZyyMUqNJgqNp7YDdecqf1fpsboGXpIHJzDsDxBCqMhe8FXrnXnQ6m5UsQjQ2l
rhzeHqLEALTI4UO0xPSniWoc8ovwNhrzG+JTBdUPjd6Kfu/DDE+uLRBN6Tavfc3bNCgYjneBYsqM
vR5bjCncGJmx+z4MFfsetekx+AbP3iuAUXoOen5UbiwqgklYv0ZxpCovHjys6oEWtNO8OIHRAbQK
hDI89XqO/MQitfwwueZoB0xric6txmUsOCmxKG6jBCuU2DZuG5RmnY6DW4k7hAxDl/bNq5qbbgqV
IBlVcN4kG5L9IESd6o/9VGKtV4Pwax7YoIgDL5Ata/qtVkZOdZclRejvUeJt8NLq+H/+loE2Fa1q
LpiY9pKd4UFjRR2O3JhiOB4ClpkgPV9YnR/wOrb5M+augzeX/RJjG3cjLIMM9RMblz4VVG1NKxTi
KYIrEdjLCeWKlTMWWEhOvklC4CSIIjpubkSXimungm/T8mLdNSrqI3/mpaAV5wueL+vKzhMT8Etl
+VIWaIxc67vaDsO063v0NK4oohr00gaRardqAQ78O+Q7+aeDiPqzgNeBtmFfKHDzlqqBUMNLzq1N
BRNjFdO+A8iCNiZeryBNEGy2Ut9GXUj3KbSEXmUJ0LVpPV7rZYernlLlI6rdsJQi42Ko8EO+sJrR
qBOmvVEUsGth0Dt7aFFWvRVjJ1ApAK8PBt6EV1lVS93KKTUgn9g7wyKZQje/4ItUzR2V4Da8qKgm
63hR9oYHGZau5qsTxY0Hd3Xow+vQIB/Z53GhqLdWRRXmovTMIv+W01dI76qRP/e9h9BXPIMfDct9
PAo0cIMkboenGEjJ2G00TtcO7ces4EW0MBsVAm0SgZJDeicKQcgJ6k7hz9ARdByX9UDu88NOgh7f
mxHGz763OM6u6bCPGK3GtQsIgTedb4Xx2gkwiAnQ5pNuFU4i8KJSxs4W/o8YWsr0JFJApHRHjTEF
YGJzHIxfc3DZCNSK1MAwOi7UsLuM0JJ2vzm8IwDLZ11AMcltEYp7sCK8tS9afYxzumtqW/w1wQUA
2lAHnV/vk9QbgoeApr2BV7ZNmw7CnQoriazNLXIUSVkIUp+KfM5u1p0buYgNAkQeH2wK/Oi+dSq7
6hJATIgdlT5V/H04qEIZ0e41P8yS5653C+W5jD0/v4cCYSdfexXaDlUH8oyrzi60YM0kAOPWy6k0
LoDGKsalPqZxvgPcbhW84wPejxt4QHa20SEyJd/7EQXaO6A+RvmzRS4rQWxMtdvrOB5CHaQqxMEY
23UljqdV1meAn1GLyRJXbIBrZMMPuKqoYjdN1flXQwU1m/KKQzHqKeXsrvK9b1pWQvWKkgc2O15D
SS4wGw2eUOdk/O6F6RRRbqwcu7ZcB6U/E0OVRoX5BW5hVFdCS0vukIXbak30DV69Eqf/Ea5AGUP2
LmkPipPCFds8/K//c5hH/f4jf/curT9cFdDf+zbk371L4w/dVJGrIPMSZDIqD4O/IY2a/ocBnlFH
QAmSsc6h/U8mpbl/QM3RwTSqyPqTpX1KtcI0D1uItEZdupeGbZPOWeRusof6PtGnZVTUQYM49Ijg
xQtwYpGsc2r+EAeTLKsa4FdK8MP0J1AStaMFP1UvrlA1QCbKv1T8ygFqNRiju03rqsPevLXUejU4
fd49WNCsFG5ImkLjZUXbD6V/BQN42+0mXjGe0IqLWnOROEI6yVWXBsczHmCgMmhoKkNubikighYE
7lECbgQ20K8yuC79bWgqYJ/Vom7pprhxMNoI6VoxNt96r/wwnDSGW9+j8YuSLTSj9iJCgguTaP4J
zA3s8PB9QgwJUmDp0ClEemf4MlVlN26Q2oi6y1gDgC0QyyrWShHZ7eOEkFm1BBTQ5qtqANu9jmtJ
EVb4ayDHKzr/no0P9Rhm3/AlsvvoNR4RiEM1pwCV9RvB/ZvDPTUNrGZzimleKmY+fKfnhcFPDA2k
uTRHqggqXak/TbVGcCakMTtBYwDmBG6lmZwbgWdEGAJW+KUUPaQrhQOxv1LBbVrIWlVRg/jgIPor
3UvKEQJT7pGJpl4sC7Ngy7kABp9fHPdfRBqWUinbUAzEKrlF1uUwVupKsSHs39K59r5Bw3Fw6eNv
QcEocafpSjXN8L4SQ3UH2dv2lrzgbjpLYJae3g1C3KU4KmO1kQVluYypVvx0FJjIi9b2i5/B1CVI
02ckGQ9eq+TDTal63k+nrer60nNViGdKHLqYCid6qd9nltOI/UR6Oq6jitPsYtDrzu0f6BgbVFYL
N4MYVtvYmAikj4ZNWUTAIYccLFqY5LhpjXmLaKcfol2bMlp3kcWeGlz0Sm1NzZUSmJSbcp/yzY3a
W0F307J8gk1WU/bc25Eb6RedaJAhy7vYqa+LGMHP6yZtFBWCPwIrjNDvbZUi1wBthAWndvuWDCO+
ErANkBdHcWrAYFfy7x0pwmbGFhwEFTEkUpaeFtLCbyQbPwc+6UOcE50NNRvBsT33J3JiiMI3VnBn
eXEEdTWUTFG4yGT2QtBf2fhWjrIE2osJSlztWNMlj9w0avcqar/pEpufNn0GoQciarLDqtwaLmCc
XWDE7G5To7eIlERTKltEPBE5Y68BjsIszLORjrLKFnknKYoGfx+BNPdNLK3I2kFZOW2OXFvxJqjW
vImr8UBHaC0Sk4bKtGzBawWMfJEAdGW74Dvp5XGQXSUQ35xl36HhBsxS4ajJq/4WowpNWyXGWOmI
HCPYuqhtKOVO1CtPrlLEMGHelOEaRCjQMI+7ib3cFoX5GOj46fKSaFCVy5u+LPfhm9ocKG2vXaJG
X9lbzp+ofi4nH/9jWWx5KpS6F9f6m35d2iCHgAQZsnbNlKi4Vpsayp2WI5Xv0iFuQU6Zwn+qHEWs
W5B100WZVj1W82EDfYUmrtkI7JppMWwCe/Dar0pZUZkHiUVtcI0+RRptSxKoCYJWMFX3hTBb4896
0stLsxKOgjqFQiexEW2eXXaTkpl4s+g4tsqiWkAzAKUWjN7S6obXpq2sSuCh9P9yjtg1FlAcoeDa
7HJN40zasgyOC0KzqNXvsdOFyb7mn76+MEsdhCXS94CY8k6XC68Fsf5IQthg9JPkPLLarujF1k09
/k1oO9OzYveOeTX2prvRq3QcljlQK9BorpVf1EFmqtejyUl7ARQUmVm1zv2fPoBrfVuj6D7tTNSY
WDxxrMSbXJVIKoR1TP8Ba5A8uaiH1r2COg+FRaoJ9DUFtlySa+ifZBLpx2OE3rjhfRE8WH46kqZj
IKhOksvPYBdNPu8a0NDm5CyVN+6PeOMBmXKzvE4udJ57oxnxt/HMJqazikB6jsdTL63ntK5NH90G
aj4utGOiBlBE/CCOLo0hzIybwGd+F6bmDKx7PYcR2GhJ9sIh1nYbGLsCfZ6BfUvPk+i+Ndb16yDF
CnS7tKpFWeZx99BEyKuCoKmiZ9fNKRqAYsFxEXltcGjU08bxtTBbvFBMQU66jIMGc6luAkdxFWop
j5LARS/7llOh0vmRBv0MOwoi64l3YjahENAl7lUfdsO0bYJR7dZOrPTa1RRTnQV9o2XiMtFptWxB
1OG9ZkYZJfdaNeowx5tJ98pbJ9AUVHwQpcHOQiKdFu1gSb+MN6B9WamKu0ojJQQDF9fh+GhGXujg
h5RwF7UDuuvcvXYIij21lYYfTCXArf9SJ7Qvd2CPUKqZZAqxoGRElWLMFT9cUcnojHuVEoxxTUaO
tQ0ca/gFQa37xqUr6Mfy96GrkdxWDmoX20BLTOgJCsoL2makv2ouAAKZOu4DaREicULydQuevI+2
asiFwbNXZ/XZzQAvl8oKjptIgfYN+oxN6eABGsY/MXoZ1BtF6Sz9URcTgtbUJwLugojVh0gnqdIq
TsASXcK5nGB6KFlobilZq9WFpShZddehQ9HvSssHxgMlVOvvI9Oym/3Y+a1/z6Up7Ot68soSm3co
pkvUEjIbTMugBFc1CEr7UlFwpsdJvJHyF3gymBdd1gI9BOsFRFp4HauhB/T2UguffKNH8gSdgAbg
w20X0my+4bO19OJT3w/uMjVuUU3Wxind+3GZel9plXCutRlgigxmoAvPM6Eqo1KCsnYuCgk61o86
/F0abJW25pC2sbwcy4kmESbz1K4ALKntd18fDSzJcDFsdxYQGVChRRAZ1Ke9QrmBWQE62nIr64oS
SDP9rgT/p0YLZUo3KZ2eokxVr1nwX/93Rph6+1N/vy40arE8+VXTMWHSw0j6V5nWFH8AjBSoGKr0
fg3b+adMq2iQolzBA0NWg2jQ8yL4u0yrQcGS+1xV+XkmHZRPQSMpOr+r41OldclgbNmIEQ7EJTGr
48uM3I3jEt6ecJu1FXID1bZXbQ3gQ8sMaAK44zTaqRWeV4mlJA/v5uvud8PgvSKffLn800b4HR7B
QHoYQEAdXU7B+5cNSpKQJwysmLQQb9G6dZ8UqfLjGPnVpwNBLrNVSrBcaRSmDwP58ZBOSQ4mBYXb
Ydfn2rRqbSwIYiqk16dDHbZG3sYkHFOFyq8JAe5VNr/eNbdw+oyDaqpQi6o8tq6NU4k9WDeng2gf
yusuQ6G2QiSBEpcq//u7KBDVAn+yuCbMrfKj3fpr2LU7jKTulZW3PB3ryEcSHOM6il+6DmxzVskP
S7dEpJYb33CxpO9Tzdj3SamvK9yxzrS0NF7U8wUh2DCYsYE3pXswWxAAElXAoAxLvYh+Yov4iqLB
sDVX6qbCCWnjbzLld4/pQNLz/RI8+rnQrCRTAKdLS+RwIkmofbhIKa5LlvB3o8BguNCicvH5OQQU
a/KSVYXOlj6MMrjkG1HIohhH/75J4v2o46oFZOd0mFmlQG5nIQwbFU1qTi7Fi8MwSHK7Cur2ON6J
PrN51qNZNbnUoHhoKMV3+P/BY9PHpXdmeB8nkUKIzgwKVBk4neQSercaWx1dPkPF75U9FtxyzpgP
VVTpX0+P7siiJ4wBmJyep+nazmzR1+MYONzM+QLbuw0G4ytKFPt8338Zd8bd6VgfFz2hZCCbJc9V
PZtJJ+zKzrfptk85wlJ5O8SbtpR93IES+ulQHz+aIRc740HWyaKWdDh5Kp58KCKguSco915XVXgR
RX32I+yc+LpMR/Nb7FpgOk4H/fjFCMpq4fwnNlfNYdAcVFcl5LKfPIl3y/IvrWcNq08HEaR2pk43
kTP3bbe/Wxa9yvGOIU0uEajLJv/h9Mn2dISPn4kj8F0EOcx3EUA88fIdOZv6xECuPcz9YJ80A+Yo
/YQZ1P8s2OyoQFgB/KbOKvc7ZJEbkd8OJfAFBCS/nQ4k/6LDa5FRgQ8iMWA5CGu++Aqel+FQo7kl
au3F56Gws4UtHnVYgN89fCU/vxiEQIMJZVwN2sW8m+8Vrki8FjZxIUokeoYfuT9+cj/BvaDEahiq
xarjeNIPPxRCTAF2UzlDMpNLMeXqtxwl1MsUMfMz15Vsbx/MngwlBGhIWXyV5dfDUDAkHECcdgqK
JJqokZnl05hkzqZLpXJP2qmXoRmMG7WyoueJ+tP1pF4POk0ST63OLE9ttj7J+XTSK5f+NxJwUOdn
w9ZHlQ6A7zFsXjJfcTwodrbRxFtHQ+6QflW/dHWs1HSIovvM6mkMDvYIurhMbJClpr3sckxKHUHp
Arkfd316nR39deReDgVuaDvzQy4DMpd6rg6L3DIhYhcXvHHWfqCfmwU54+/W89ss0BFBZp0lDTRh
dthoQZ4WI1J4C6h51QtQRXOlKyiodOpQrT2Au3BacXBWvNxZOuPwNYpB7J4e6mxLzX/CfEs1IfpM
JYDjBV9LATReJF8okoh629Ab/GZ2ACI2pyMem1zHknALdBJoE8yWIdqmaUxfMF14Rrf0A3eH1/s2
w4T8dJgZmApxQ5aYQ3OC9AVBa2eenmkJGpu0POHxuBVG8RqrmEpTgfHkWCrqtW9N1Lhq17oLBiqo
CxsnMmw9XE9fB8oY/aTFYSgXDrDYJ9Cl5WU16jTDQweY5ekf+nE+TG4BmiiObIGyGg63pa9ETYRH
AYhqaDELSCCXVY34R1ZPZ3L9+QHAjBDJJgpgcEsHonQYSenR/5koLy4wYFybS4CKtD6Xw1LZNlvF
WERnBibvmMPVTThSH8goqGUg5XAYrqCoQKmKohd9nOxe2lPcFK7hnIlyZPoc3QZ17MD7QbocvM/7
mw65RxXyOFpNXRE++SGc4cyMn9yijj93GcjZQ1RKZVE5eBdwZh8GavO46YQrpSX60dpkleft4f13
f55eDUcmjQuO/IOWJ9tDn92lCHVhOxlSLulcXMvrBKtUhaLvmZNHTsrs08jHhK070Ak5JWd70Ewy
0J6eIifNLxe6UeCVFUlWEs7BiINfF611o4bDmbF9PGsgGr6LOjv0U1AyPXKKPGL89MtANwOx5/ZL
pQ9PLhP++XXhapQJQBGTf1P6O/xcwZgpQqmQIfHffBnxd8ceE6WO9envdWxM5Nw06CWTEqWXwzAd
7hKsFvgQntM8RKqELTfKK9qxMLH03D6zBo8sds4yEGQmTU+dNX8YzekzQ4xSvQp69y+wLUDJRyg1
SHxHZ1aI/JvmK4RUS2MF8t5U53lwaqW0/A1U9AevgEiVPMWh/Yy3yaL2NBTsxffT03gsHARUkJMO
Iv4wXA8HVng6HPWCcGH+E+4RgsVIIlQ739pm+rk358dPBlYVSC/oIyIxk4exKAT7Cl6fGWQQe5l6
ytbplY2Wxr9i8+vpUX38XJy4suQhSbscHbNIvMtaoBx4Vqa4UOhFiDRnnpaURlHzPx3pyJjYzJZt
OeTF4PhmC6MZy0g2Vjmccsy+UPCi5rNoCl0tkF6x0wd6PUZwJuaR0cmqDvkReStn4myHeUaPhLNi
pgsgXfqSnkz6K+KE3gUIZZ+5uo6FQreItzuQSXwD5H9/95zhc2rqqPGcQfGxWlqliC+7OglXHpIC
Z/KGjwewhcAEB4bQdFaiM7tPFDPB6jKAy2JSvNyZmmqtea+ZL6e/17EBIUnPycATl2Nq9mL3wUSj
t8bbdnDwpHKwdi0uper26SjzspFc5SQWgi9EYiHorB7OG50u16T9R3aXrHCp2QabsNv94ErZphuk
i0E4nLv0tY9Xi0VRjAUPIoN18Zb5v/tUQM5AYAZYcXqeAh0VEo6/NGsz35Do9wvSWdnRc6Z17eBh
myIKmu1SxTF62Q5D3QT+cLhgMHgKaz2Q3DW1UNNd4C0ABBVmzKaD9dycWclHdo98VeLBwoMfIvxs
99AgcTu9Rzm1tcx7MTrrtBo7vklJIbTUpn8jGsh0OT8aF8aHNKwZsFkAobFwTWXZ9/5WyX8ZkHSU
+MyheuRTkBPxrkQXBvaEM/v6JgAVx5S5hIO1eV3+qpBU0gH9NtFfHXotbbk9vdyObJ2DeHKa3316
FGCzGEEY+nXB0C3MMNz4ARfi6SAfbwpLgFzED4dHOQtg9q0sPVQAWbrywTxpqGQoXvgSpCMYkdTv
CgETKcf4GMdEtT4T+djwHN4SSDLL3sU8n+0LSE2pxWbCSuyq07U1tYG/Tg/uaAhTJ0unxIs09uxY
iJVGie2cwRVTCd0czvMSEuPz6SDHVrvjqNy0uklNVGrVvf9MaTpgWQFDddEhcDxAaArQXEdnhEZ+
tzkd6sgKlOZEkEQ4oUniZuNJEKlCdKGGgGbDFQr6Dj3FCMEdx7sKHFVHnT59bhBK+PyXoninQXdC
JkO+4Q9HCISUhjGPjkXso95G2fyvwC7OfKpjQ3sfY7a5pj6nyIX6C7SjTlkDhMMOcRh/OI75HXiM
txyjZjM0nyy1yQNdMoM4zEltHbAlhyNTR9z/gFVIA/IUSbYBi5rsBuT2/envduR6IozssjkqSa0k
UbxfIkh2SlcRHlUxoBDzSqshZkU//40YNsk53lM6cWYbGWwzoBDgABg76lRxQsxKSmAGK5iU0Zll
qMlU5DCbZTDAGWkrctciqn44HhBWgEhHUAi+1SUAhrtEReYYxd/XInCQ9+jTSE2WVgZhkDeQk7zS
FAu+1Eltn7tqdJnJzn+KUClpk8SzKqTAzPupRdik1HNdoqF0TFm+OmCbomWMFgoeAGNZqiuCJj2y
XVGE01ILES1BSP/Wyyfvm+lBFVs21uSlKwB+sbXAOQgQn2RaaOidVvAru1SKXigpcorLsZ4SxIGs
yP0im+RY8Zk0zHnv+RVqGGrqAqfvoy4zNr4JdxX716BaBPWU1XdOR7d1dfqLH6n6WS45ty04wtmW
89wgTTBS4VUGDGZce9t0nW6zZzxNV9XCvtU30QJLreW5hOTIfcEpILublmppvGYO5zsrWIFCSTmC
gIs+hc7grZrMxj8xbaMvBh6sMjsvxdfTQz0alXyVIhTZHe2Lw6hND6sDKTU20FQ9NoNiLwKsaZZl
lXlI11Y/QKh5j6dDftyzKJmSjtoqaYykPx2GrKumoJBEjjz57gOGjIhCiYtmzM8YDB4Jw86nLMpm
knWX2bYVXg/9V6c2OoXilhxvH7TFPtC0MxM472lx0uGKR/Vd3vNAAea3bWrrXhcblMUU0EALXI9v
yrb3kVemD4kPJcIlNyr4Tt8rUe/s7Ge/Pdew/njC8xa1yGXZrTwFzNkhmJJ85F7FL0hFjk+nhWdK
F792obVL1BzVu1R9SWIM7T/7GQ+iWvMT3kqnAdF+XgZ4xS+6Kbx0JgUwbQ0T/nSkj8kGkRzuMD4l
IlTzN2M5KX086GCIEbMobrH76e8xAXONT1/GDm9s0D4uWA8+5GxdYmFTGko88iBA5gkldQqCnxyH
zSWv85LicOE5P2fUlUE8CeT0aO662BSsiwCOzt4z694+82j7MGEyEN0gFUITFex5A4UT0U41hV5N
InL/e6qi3CA7yQ+nh6MdDcMGli9Di7LBrBbiDrZSw/vGpXU1Lsd1tmq/cpB4K2c5Lb1FcWHjSbg/
HfPDppYjA3VDX40HPaD+w7OjtYyehk9ErRzn13zYOWWIAUl35kMdj8JBrJHBkMnMVkLM16tqlYdP
Wz2V0Y/BvzdJCE+P5Ojkyfq2K8mfH276MVDqyPEA7tT4kfA6Xig41Z4O8eFsZ7IoaNNWkOagNNIO
J2sofcMA7pmBmWkfatZajjDu4E+r2sW0q51Wp8MdGxEYE1fnyiRjf2NBvHtV2ah6NYrLBZZgqYA2
Bz7NSWOfGdPHq1kO6l2U2aD0ogyhRoKQwNhpZ+26XWZEV/1mWv9GzvjBErO/JcTTM/2nY2tCiuOR
CLLU+d/hZFp5pfZkHdS7C/UBPY6Nk8dPk+HfnZ7Eo2FMthSVWkSwnVkWgCZMqEYqtxb6seuh/Svy
MeDzwzN55rFPRVtaU9Hn48SbF4PzvnFo6FL7qLLkUTVxNFdEe2aBywk5yB/5UDypgOVQu6TcNzsd
kHxPlKQnbW49zW1x9hzscIWtYIevdVkP34agtWwa5F7x3JMLnztsP06koUnRcqpxFEsoXR1+L93o
kLk2eh7BIyIXQaAvjER9jOqfn/1e4CJIZWz6hPSQ9FmYclBrbq63emZUXahoB6eAd6scG0ET2ePP
B9PxLgDthPieMa8ultGktOhsUaxym3GpVlWDPnT36HtRtPs3IkkGuKxY8nqbLUPkqKtBQ2Jjoajq
G+/aMidsXcIKJhLPk3OVpo9JFG039NFZJeTcMuDh1ypD+PG2KCiWVKmNbExJg9GFy9gYb+ZKSNYq
4YLyI/Zsw0aYw7jTVN8+M+iP5yVTSq/f4rcgFDFHkoElqnxT0OuX2r1QvLEMjEE6F3soNnvX//SB
chhttnKQDgJcroFyEOO3MdgpyV/p/3dD+G+hcR+34GEI+d/fncjU2tBslX2sxq5ozJd6tiFVVNaG
SH4lQvUe/LxU1sjfV2f2/mwmuTQdbmhwr1Q3eH7Nl0+sIxWvKjTrJdweNXgJjEfhCjuutKGS454J
N9vrb+HQ+6QOLpEpCFUdjtPAMwB/cZirJoDN0o3ukdZDAKo5sz5mp+bvMDYHJthd26b5eRgmgRqf
lyZpodNbV/TmsXIPP7fDZQjwJmguyBYx/ehZiFrHPwBlzGLR2ZgeQfDBaUAxlyj/fDm9wef36Fsk
rmrcdOjh8kSaPe8hdPHMxDZ4gbCzXq5a30bjLOha+H/Yq068lob6ovFVxGN6+qHPQ5FM1x2SRNMq
ztz2AU2mIVrA7R8v2jZN74Gql+dqEB8mnEtQljBBn4G7BMl3OOEg5JWqc1HJTnuF7L8wbyxUx09P
xIelKiukXBOsHp031Pye6EVjN8jykLVU3bRqjPyphdKEmGn3qGE3aQZWdGa1yovv3cXI+0Limph6
7kVZpp19Y7jplGdr8qSia7JVEYD5CFU4HouGHXJToTiFApttr5H8M7a4ho1n4n/YLbP4s1ltcQxq
Rp3NCZ5on5nZJk37n7pFD+T0zH78eofjNA6/3qDnhhkbJuVbL6XK3nkvvWp+rt/2YS7lb3h3wuE9
F3ajS4wwbO7aeLoYESXQvejP00M5skjYlpTTaVhyQ83B2p1XiMQcWIjtEG2VQFxPmClA/d9Mnr4y
6vL2dLgjM8c1T9WCl+IbBv1wVG6GIiYK9HhkYzxUCWmXV54ZkbzAZ4uQuxZKMiUL2XCbLcIcL40A
z2lwl7BolpPp7LQs2tMGHheBgPL5+QG9jzZbcmjiOuDoqEFXYas2d3lkJPWyQ+dT3f4bgShZanQN
aI/N91bt2aZSOHyoqSs37WTc6VH6OXqAXHJUtf8JMRuL0qD9EnrMnIYcxdKYlC+23Z5hBxxZb9wy
nH4GtSWyodnW0YMiaLhoQOyr+s7tNLqTD4rwbkYqpqOjnNmoRw6Eg2jzTTRJNagAnMFQoQvhI5Hr
4+nk/fz0pzmIIn/Fu63aRYip1RFRvJr0aqAhu6flkp1ZAEfHwpuapgpCdB+Oc1Hi74z5gizWV4ht
NiszNZYC7sHpwRwLo/F8MilHaHTH5Qd8NxiRD1aCFSiZ1TC80gz4OsIPXeDxc6aIOW8IyNXGg/Of
QLMUzp+MprNwtVgAk3VxQCySAd0W+KPmbdmE2KSAaZvyO1rShr1zw8ZvIM+phr80PB/vz9OjPnJo
8GNAUXAOUoab67B3Kk4uCMhyVw7pSg3vktZZ2NxPfRKfOTCOzi+1TPlGBbsxLy016HbYVsG5bkS9
sYIEjftPHhTbDIn3z5WUfs+wxO0zHsQi5mULXURtNWKquzAMAERVvXIG8WzWZ3b0kSMdwoPEhEAf
AUA0WzDGkAehoYOw8cv+T8NOXkOLWvvpz3Nk0ojBQgCkDfZkDslLon5ARpQycz2piFXXbfZco1Z9
Fbhme2ZdHg3FPcjKpOZMC/hw/XeekTR4rLMsq0L80AokVyBp518LuJPr06M6sugslYoSjTcweWDJ
DkNB2oiSomTmaDdJqFB8lXSe1Lx0dqgj9mfm8Mh3eh/tbT++29hGoNOhsmlONOjFwmv9UkVO/u/E
oPxCwmnQuJyDXZBQC+xO8LiOoiKwNknlYcqiGYgtnQl05CuBAYDN8/9IO7Mlt3GkbV8RI7gvpyQl
lWpf7HK5ThjeivtOkCCv/n/o+f7pKlkhhXumTybaHYYAAolE5rtQL6CEcthA78bc1rKea6TyErHH
v0wgvTZFD5i4xGduxaNfiRc8IX6tNB52C11hZksjmBPKDF0gaU2uL+dto0Yv8+ScC0Rr1DvIXpjY
P6MdZC9jY/dRmjBaNETokqCQpF4s84R8qNQ1KMqq7mu0SEMcRbK/z80QbaQfCnoNXJ5zcDWnZIkF
/jxk725sIbHfxfuy1q0zm/7YNtSgSkGCwHIDAZmPmx61phEXM5IMZXG+aajzzrF6ZiJHcgyCK7F1
5VUS0g8iUuRmsxxwrPFNtdVehqRxnidcBobNMHeIicgCVGrQlRGQ89MH+tjH09cKPncbtNnD/l++
TEOHNzfP6Nmp3vTBbFCfzZPnrK4rRNetKkg1tbuw8HI4c2sf26TvRz74dp1caKaiO+L3gK7dPEYb
4UqLZdhF6pmR1u9zuEF54fFwdSCO/Hl/YSBFRsVNScHC2OCxk29zCGkX+ZzDyG3xN0elh1e+YVcb
Fdn5M7fN0SUmAaaQTF0SbOfH7SO6dJgkcHNUxiIHqFFG+ywosVR41aJZvuooJ76lrtY+tLoFquD0
9z0WdeiakCaD6aKMpn8cXKIBYy8KqyyQZE5ckpa8+6k78ZkjcnSOPKOBQIIOI9//OAy2EXrazzxj
U9dMngsEZi/wAiguRmXAL0CZsk+Njb1xOc314+kJHjs5RG5yb0o13h8nx3KUxGvxp/cTC4Pl19np
8GfBQwXfgHE888A9NkvLNnWdqiQUFPcgEIDlQvq4oYqeRb3YjJ2b7qbRwcpy6vOrqo2tbaum2JRZ
Y/P59CyPHRZrBaTTW4b65x0cFjDbRd/9PqbZZzv9pSRfFuVpzs/V7o5O0AEhRMOVe+qwqFbaRo6Q
IHUoo8XqcqG3NyCYbRWYZAxNEdRqnG1omZfbXm0/nZ7hsSBL+kcUJIOHhn1wi0BzirxSIRDRPUBd
09OnTeZNxf70KMd2C3kfD0auDAY52KdI9BcayshkFE0ur3VkKjcS1MVDbtRzYChocg0uLnGnBz12
BqlQQtmjtAU2fv3zd2lMoTdJrCTr4aiczzLSLmqr+Dpb85k75OgwYGcdh7IoBfODYdY+7VTEDJOV
9VbTHbqLQzCfg2seW8G1WoZCMh16SPMfJ+OqWYWwOysoDQHfrCiSNPdF3MztKlUI6EKz69Lzx35u
zvH//twioCgJMYRw14RmexDL7AThSDJ1+hIOciLgoeLHBhjdxemvdXQUQCSEMYBfsGk+TrBzq8nO
LBg7dFuQcwUTb1sbJ/PwZDs90GHLnt3OfN6NdLDlpzrL2lQndCnJRPPIULQLBA+/uxb+VfTp3I1W
yFfE4rEsmHZNb4LKz7PuokCyJ0gsFEEpXoanf5N+bPYamKffXWoQOwez7/nw2HCv2EsHO1kXUdQt
RnQYB/TVZKLDVqnKq+KhmbLROpP/jHNWIBtM1pX7kV1FrR8nHf5caqkBluvjaL7upaL8tBHwBMjt
5rgato2VqqE95O2PCeYuwK6yTRZ/EDH6xRV+wPY1GqvPp2f2ZwRdkw22rEWBGVbWwekYRxRAsXiF
x9pGoVeIq2QqPxV5HtbS/vkvhmIkwjXBGvLxxx20FAUI0pEjkiSJgYYvoIyYazcQcb2fO3kmvfjd
1fyY3jCzd8OtQf1deKlQC03xz2FmY3qx2C0dihH7c0P/lBgJ9lVY3AfIh6p+oiYX/Vj/jFzxgpTQ
Dbp0tH9d7XvTI4dU6s/UEyraDplCBXceAk9AYzBqnGT10pvBFLvAwxaEy2bF1oN5Hu/KRPnrK5bJ
UGflGbs2AQ5jZUXPpRIGk8mLWTd9wlB8G+Eo8mS4i9zQH7CRZPbrKJ53pz/aIc/x92lkQKiHdHRX
MZCPy5hhbdqLBkQ9LhFqUOpGd2OZibgvshaQRqm8kBlgO4plC74pqhIKfJnCGZ915FHd6evpX3Ps
GOrUhHlhcxvyoz7+mMpYasU1iOVGE5XfEggudmgVOS6Qp8f5Xep4t3mIPnBjQOyCjAebQlT9OJBG
DUOO84BA1oyKol9480s/mC8rHcPHcd4LYntSvvQl5mpKUz7KPE58fLqRXoLe6nd2FrE5EjWMDFde
YuOgbYXwxo2wFLkRbu1ua2t0EQwr2iDGXHfbttUcOq3zuqCs7fcNcv9RDetIZNOLhnWUD0Dq0pSa
FRREXr8y8FAu1CYOrELbm6vnjKUmV7kiLuLe+NV40VUauzei896g9+CIZcn4qtFLlMCi5qUZ869F
nLZBkmDYGauzFUjgHDfVMFi73swvvbnl2KhdjCygpQUtThpn8u+DD+lio6uhX7uyCclsAHh8XF+9
Gi26djzsCqFmT8mSFxulmqbvpz/jQXD7PYpOmZ3BwONQZfg4yhIpANod9u5k5+7F0NsdIkCYuI6B
hqqob6TxOQb4QbLxnxFNCkEkGipiQwcjppMyexPmOL7IS3LfGM/D2RmbfYz25Zk9enRydB5hINNB
/yPrXvTCsyqsNHw77uadgVJemGLUe6dEQtxZTn+Ox3+If/i/uf13wMPySTfWU1KsIFKrxdHXiIa3
2iiym6xR3qLIKX50w1C/RaqdBlWMUUuGDiCaJuo5ivdBpvWfn0EJdMV945dxWEG0TeQOqnLmKtYi
81XF0++iQ8A8pJs8f9V5RT7kHg7p/2LDkvvzWoYxwEtj/RrvbhPkSJuVtEw1p8pDtSxevCU9s1uP
7p13QxzcjwUsc6XFd8RHr7xDvc0arnlUmru0t+eH0wfjsGT/n0W0V/wlSeufLxpFkF8N61gmeOtf
ZBtIE8ULsY1zSQzTvF0fyzxEfbHFOaemoJ0vurM5/SuOThhFME7Kqk12mJmPstGkUFZsZls3W09U
85YM/tlszrXDjm9dhKWo1XMyeQh8/HpxK83YW/MyFU95bynDztbB5iMkSxSPGoG9ACo/PCd9q1ex
Rk3O7J7DnPb3elMhW9WcqQlSV/34A6ahyHQtkQizC+ydsQ2Uqc0tpkEYwgz1ypH9q0IGUeJO5tvC
C6WHvSIeacpeScYrze0f/37p6Qu5Bi0FCoSHzxWECqNpqEEo6qWNucKYNVde5thfVP716+mhjp3X
ldW6subAoR1+ZdMoEIcbFbY1t58ZzqkAulz2Cz7mSrPactGSGLejCtovOD3y0V3OCxO6ApGYOHkQ
jXOqW2ncA9tDG3PYFZ3bPeD16W0Qu6m3Y9HTS0l5KDVDb21Rs6+u3DI7Bxs7FqapG6AHB7yVtsfB
TQcNxaroRIAFVXr3a9FLO0IA1IFArEj8lEJXMbxzCmfHlpwejqH/fvD+oduW5JXdZBjY+X2niR/Z
1GmfQJAYuyhm+yM1/dMTpv3l9GIfGZOekclMuWp5hx4EyLZNi3GuaFG1XX+LNOSuKtFGqmR719U4
GlpRcyZ6HGam65ligsjSAXcgKz58uuAEX9TK+k5CxzZLtylyn98loQSLwkLVfnSxEEmQjFX12Rul
snGEM/yyBok4Pj61kYvgcz6OZ7bc7938PnH8/aOAKmFNQu0YJYOPB93FdjnuVracZk992AlF2TZK
BHqGB5w/JhOabAilVWabh7z3MDmuLB3xT8/YF+aYbxNU/LdRW3uBEpvPWKNm94sTxX4zIbzNIzS7
xP8EJena2cw4EoRDKovQFjby345zh2cIskPiczuYT0rTqb5dxRLLWizvNGiqVZbvEgfCb5UraAnn
42ap3ecytb+SuOM3kFfaxVCZBWyUeLxsTDS11MoSvivz75lonrJ6+g6kQYRTb+71rqyBlZQ3hTQ+
jzIJJse+KbPhPjXKX33hbfMq733R6phlLL2fZuqDSBAL760vQzNmYWeci2nHjjtJ3qqnBtSf2v3B
Uav0QrHn9Vdnbk1iTnd5mrHvSqBEzi3GncuoTm8oGiJrYk95ZgZwYnEYSYHInUP2Hjn1FF858UB7
KU4eBr2kNeXkyojToD7gkLmV1h7xtRB5mjMb7sjVRkEGHOMqiMdZOIT9JPiSIblOr2eaVSPIQX2/
YreRPGaTn9l84j7Koi/wXZCzLZH99xsVDJ2GDdvp439QIuUw8jNIsUC906xxDp+J6xPHU39Xupda
v+7q/D6O9OieojHWYU0WvXpFY925TVv/XV3q98CrqiftQxtO/iEMBTHnyarWm1Xo6AxhJEPKdKaR
/OdjBXodWA2dYiWCdoeXd2ZUDn07wmmCCr8/9dXXjBmdSRH+jJ8MYqxAbZYRXNVBhpBpyRzHU8Pm
bfN0XnWmx3jTq5Jha0yQMV1IzFb357KvszPFhSPz43UEZgKsFa7dh4EUcfdeQb+YJVzsCGl0XWIX
YBh//6EYheYrqklQpA4vYzt3RNEkXMaFopaT31oahqgYKw/nOFJHVhJRSoeaOYmt+Qcl22xTui2r
iFFtVPrlYsgXGKKPtouaqOeKDalCtDu9+f9MZFf29yobSa91FSP4GPQVtNjLwvHYIIgscrt721Id
nlS9+3x6nKMzM4Cgs0WALR9GFc1wY1tJuVxqPMAh+X7F6OCbwv9vHL4eCo5/v/FXXTHgyvAHV+2V
j/NCVXZ2bPpwOEbEm1ZkT6VBv+70nI6u3bsx9I9jVJioZpXHGOYoCF9wO3EFTyd5Zpg/A/JK9/ln
Kgd3g2XKrkkt7Lt1LScZyzEWwLmZjTpstdnUflWYPZ3L+o9OzQJbzlaEknMIwEKTJHPSiDEp0iCp
HmdpoPeofA8Ouun/YhXXRqYDHQfhroMvNdMcw0eX6KRFVe8GrUxbsiBXFv5amnr63wY7+GR6209J
j/WRPyra94S8ys+qQfVn1TkTMo4toEN5miudzfcHNiSLBs+kGU7Foe8uY3e8rurqiR15Zj7H9sb7
Ydb4+O5tXw6ywaWbFwrOVQi7IEl/0xkqdg2FU10tVjGe6XAcnxboDOgAsI/++FhobVj5SHKganO1
cXBd9dEpm8kWs3NQw2Ohne7+f4c6+FSSDAf2I1PLS28H6fPBleWnv98NDqkHIMNV9/qw++sOwpwH
ex1isG+6OasDK/GulqX4uz7eetEjyvTfcQ4z68YAbDK5bAZ9HORumpshpPkiHxLhGmdO09FV48W2
Zm+oAB/GPdhLSqKS3yJlgGdZmOeeqMmcjXYMT6/dsYC+vl64DmG58Zj5uPMMXEi6SGftrBijbtPH
b8d3KpzpjG89LgenBzu6zSlAUEciP4NS93Ew6cn/2wtVcltF6avp1HeLom/WMtDpkY6u37uR1mm/
O1DmWKvdohCN4ri8QzEpxGv87fQQh9JIv7cDcuE8rW0yzj/e9lWu15picBdmUgxXSaYatwYGEdsi
nyVO27ncdYkUwbLML04yaIHXeXiZr2UV1Zq9YLE7M5TGYtAKLuzLyZzf0iR2r1Kvsc+kV8eOO8tN
lYMG+2pn+3E16lbDenRm43Yd7UFL9x1d7tPu7zgi/1kPEAIgWsD7/pmkevizWGuszCvrwSkKGQxi
vsik8YQ5Bei6ej4z4NFpAdvRAbcQww5L+DnyTpk7s3ftqd1YUXs5QTzVcCk6/aGPD7PaKCFUxRPj
4GaLpaeV6JnXfuuOsPtedF36Vv6X4sT/WT0IRv9/lIM4mfSYQ6J7hIzUgN2ra8WPVjd0Z077sQOI
xD1PCaDOq0Dxx43ggXjFFp6w0tuuDDpwgRtvEclVTwMnHIWZnME7HjuGFCLoRKAPgijQQVoqvCjN
bODs/oymYh2gTECV00xqQ5yZ2LGBqHVQ2iQDBoFw8I2iCEQxT4iaiqU+74cpSqnqFefwaseWD74x
gDzmxGVzEL9UlTMLepNK2jw+5U3zUDgKtgdzXfixO/ybjIpKwioMZDDgYTGBwoAcrTWjEgU6MNoU
ROk9EqWb07v76Mq9G2X983eRcpnUPmqsVcWz68e9WZdit/R2dibBOXaGIKmtVh8AUpEb+ThKXEy2
utRo1RrS+TZjFU+NWdljvf73iQ0qwbSi1t4esDPj4zh6M5SG1a1fqPN2YN9uJuzhrNTYnV60I9NZ
xYgdcmpwBDy4Pg5TRVIWsWDRLHVCRngptS8C50w/cWz56fRQR74POQ2a5TDdgSgdImmN1mnKUYcU
RGSnxlbob12U/otV4ybjIrNJNozDdLCOqeIuM1+nd91ouwwDlwTWbSryG6cnc6RiStvsd1mKwhTg
+3Vh3+023B17zZypMdRONythXPMtb9D5abRgEW1v+p3SNmNY2U7f7fJmKShZ2rIfgyRKU+E3WYvk
q1nZ6vfTP+zYB/UAgYItWhuyhycbTE8iHYdA5Wbm3sjVL6bb7kWl/jg9zJEAQvfyn2EO4u8oY0cF
SscL3Rm7X5gAD3dJnyZ31Qi2dl7a+MzmOTqt9Tq2VoGqP6ihnhtpXW+webRWz+j4FJ8UCeB7yhxr
+y9mBh8Xkg9KAn+UG81UNwoH9w9fAhFB5DWweJ0NSbVtol+nRzo6p3cjHQThYjHKulrYQtwDMkQD
Oxx7dzuoaBSeHujox0JFANVQlo7l+7hXS1PUUSlWv0+zuVwKZGwbI0HEXh/DEtfW/22wgzDMM6DO
bAtJM+zFrzpZ3Uj8/VbcMtcl1uinBzu+hP/MbP3zd6eQyli6YATHKUzF1k2TW3eSOy9JzgCgjoUu
ZLpW3CMYRwqXH4cxED7P8p6cbEnmF2mU2Yq2OncnHxlkvYpB/4OWoZN7EIotK10rX+BkYtkbvtX1
V52rP55er/WHfmyp0FPiL+f1Bw2UIunHiSQKwQr+WI1Os7yI3ZcYwJ2aXluRRPRgc3qsY/NBjkOj
gk3XkNr9wVidcMf49w2m26Ezlht6IuH/NsT6E959fk9kupkNRCFC8NyHSZFpMtDnQfRnNvXRdePq
Iirw5PvjXiH173V6nOwzukaO+ROtj8d28Lajpres5Tk9haNLtwoqcF1RSD6sA/SWULu5XaMdMqVN
tK0NLTi9ckcODnAPHhyOvrImD9MLrSHFRfGyRvh2kOCFENzrksjb9KI98+g4Opd3Ix18o3y0vArI
IAWAehwCvLa+Wl3689/MhpqdAbwOKuhB0pz2RTIq5cTn6bsX6mdRUJT62yAK/cyyHZ/MPwPpHzdc
HkNFK38b4FbeUgQzc1O27mLSOTw9o3MDHRwePH1jG3Yfyaxb3om6fsBd9+30EEduBbbAP3NZf8K7
w1Ph0tx5mCz7bdncOkt1jeT+1h3Sb05dPp0e6ujx4fpZyefkmYcUoEi4hVcgfQq9yQpVCkDZchUb
yo1qSt9pP58e7OjSvRvsYOnsrK2qyFwz50ircdLoby2IE2c2wtHz826Qg8XzmiSX1qqW2RneW+oo
n1u3+1EZ3jnZsGMfCZlTHuwQPWmDH2y4xRvWhISPZFjeTuFKwLZTOvqWZ+K/mBHgN6qYNv9gV/tx
O0yFEvP4Zdl6LA+yUtlia7xDEHd3+usc2wqYVKy4BsikdAE/DkMUHbql5ai6WTVusfSqnjJozGFb
6t6dg+9f4Cmqfqa+8lum//DeezfqoeI00PqWyrRKgEC4MA8WRaaxr0aYupp2j/SGoZe3cqqd0Emy
5CLHiPWerkb7aRmrYdfUloKUYwpoOVrs7CGLjeIx90pxHfE/zFsnadzHOEafQ3Ye22RkuyvjnMoD
Za+Pa1VakQEmj02G52MROJl8Stp80/KOO5NGHdtla9qh0wsDyHaYFqwR02stdpmHfk8s3buYeldu
R88Cf9kzY61isvzuw6/xm2KxEvf/pBpJtRloCsyWrxWLnQeALpM8GPRM1Hd52dIoyNQBF1W7cUS5
naHbG9tk6oQRysRwhjvsf3NcYuZ41nYmf5Pc9YuhJTeIK8XGbdlRpIfwYJdTdRHXlVo9taWRLM+6
ilnt0wC94DFVqjHb6GlUxE89Onbxt1Gti4R+BeIwOX7gvIlXSnBf5p+WCY27a3dEjTYURlY4l0bl
la+el9jmxaz1cf1kJXnqbJNC6sp1WmjKHEZxp0k/SpyKSZrQqvC2XtU35mGx2k0lbaMffQ/e8fLN
TWWabjC8mrN7UXirhdyQtq9VK4p6U1b2oPvVpE5FYA4uW6FmKs1+sKupxOLcafKvRpUNEw5CSxKD
iVLM+BX4jidvjEwXd20RxS9yEIm+KUvHLS6WpSmr3agpTb2pqUP1TxArcB5HdRgv2x0As+WrJWyJ
EzaKFdZzgbAfCBrZIoOclp6abTJyoTS0p2xqbud0wpNeEcWCoaXq8FvFSDvL74HaFZe41lS3ixbp
eohJ+vBF76r8h7K0+pd8Sh0WgGLk995uhmueyfZdbRloXTizpeyNYlYv2OjL1wpj8irwTFMYgV2Z
YxXKkn8HU9UpXHqPo8C8IhkUgfp5C4ymjgqwMkk3wgKJ2Tt0NjpklYM4rds+jOg7I1zc58OPdE6L
B6XQ3DhApr1H1Qjd5QClPJlfC9dqfuWKCW2U/qByo1O42JRmNH+TVj/9GnQJNaYFgF4HcMqcB00b
+oAuQ9P5cmlXFGDb5q+D0jvAvvuhv8N2rtY2Yra1X7GYvE2Hmw529Q7cSX/mdZ4HjpXoma/FxVwF
Qs79haMLnkvkNXkJnlNOiDGnvZtfiF4bLzUeVj+zTDDJxax11xdaijo7SrSzu0mEmV/rbWdtp2Xu
zMCkJYeL/Zyg+Rf3qrhs2mZ+EVlrvaVpgoLWPI2PpdYvn1U3js2AeYgLzeyzbdNogny6id5qdcnu
23ZqPXg3Y7ERjVV8n/AL77a2SZW8qDr3R87kL8o0d6566mf3sd7Fv8SsNvdKBbDJKefpxrQaUELs
262rlm3qlwoEkDrS2wfc6JrvbVLw9nGaZnhhtgiKUsLxtunQjfQa1KS7ygxpXY8yyt904Xj3md53
GVqDVSJCoegoDoqmcG5F6jpqkPSZFd1aS2waIVZi0ZtwRrvYkB7IbamzpVHd7kxO3aBUYHyS6hfc
0XQIh9HMLGim9dKH06wZl6XsE+4mr7uzvaHbKFH0Ysbiq9Fmz43Tt0HfGzkWcE2MxdNC0j5N1/HS
7zRbPKOai1iuJfKA3ku/KQfDDdDq/6LKUhD47C9wBblHNLPcxno+cj859wUIHZoMsrqM8jgHNwaH
uJqd+Dkxo/aHMZfxvauV0Wb2mguUOezA0sd9UfYKdvMVB8ipoS/M2bLjQ1W87YzuNUogVbheexkV
phb04MxDFiQK5Ngu/pLViGtGmvbcDl1/0TWTcp/FiQpTMbFFcdtWtX7T2LWxxcfPDthIaQD+NL2R
47iHlFA8WGPsfEf5fXpu27lsH7m2zM1kRaO2d4dFHQNDtuVNaURl7JdF1ME0ka33OCu6cTlQAxeB
FpUo8RoVehzm0vRfkmUZ/KYefqVDbYdL37jhPC5ix88HfNco28zzFt926yzAVqEKdRBy26qp9KBn
effS7s2QlOw6ca29XXbY9K0O8Yrm7OJZ5JdcGxXD9a1BmyVSgrpxy2CYR28DEP6L1XXdxqkM6wYN
EYhyulXdNwjmBJPRPuutovuqUy9X+L3Hj0O7pHu1Qba80o2bodCvVK/wkIYxdPSgjTKQ3BN+03oP
i9ZeG0ll+nnk1LvZk8uzEO4U1tkMfSTStrXogBJKZwomuPF+ZHKiNYmnoNCT+2VJLZ/HlBl4ZXdn
dmis1/aqnbh0BJ3CcLd5wVbIHafFQs61wkY4+tUorHvcor8pXGh+7M2reUm5BLOIMY/Omy6Agzde
jZTtfctaBuQCIdbZGbxKY7J3bpO5iJJX8WU7Gpdwy1zf7vMq6FQviMai3CxusssAqPmaC/vFq1RQ
4PVib62mQxJ4FNJvFRqHrVdVYUdLKJjAWN5SpXIukLtPgjJlMxrqg+QxxRrhsKLkEWtjLeNeHdJ8
a0vcMiBKXdUpKF+duyRQjHIBpKN6IZoaL94waH47iGHjuvRligTCn9Z8aypHXiu5+cnsnT6E1PSM
e7QR9CoUbkhfckPZIt9LJ2tDL1aHMI+bYZfms3WlRJWyc9Vx+uzQ4vUzZTA3qnSumnGCkFplBdL2
032R9A1dp6oJmnbSuZT1PcYz9U501kWbdKEna2uzZCXQvSS9HNJBhGk8JP4wZnxnZTQ2i629dj02
sfBsWz+pWGDS/yXIzaLYZwUMNLPOy0CLW9cv82I3m3nsR+l4TZdq8XtRArrXu2sz4o5KcsvYs6sU
nr0QyPIk+6KPKhpsa3M2Xj4lMm9Csxiu6lJ5cri858Z5yYxSD4bJvsA+HNCEk9w3VvRZmEsbLFPz
GNXmS2IS3r0SVG1stuMD6pFNyPKP95mXTdtC6EaodloYyVIGk1d9mfLJ2NTpFIVpTsXdq7KGJ3Kl
BGo8xPB29GqD6lhD6zFugjQliSuF1fklJXS/mPNfAnGgMEf2PEADyQiTwfkRkcNo6fwVceiXpmm/
dqK70zv3Nk3EXeM52wrYvz9gwWtXivKcxtpd6eBPN7nVvDF691Kq4lnrosekU42ts2h32jgnOOj0
8q2esPQ0rLRBorJUM/4ad25Sf8oLzH3GPtubnZ5uhW4vgYJj0F6im0f+ZWXxjWPmQ+BOKtvCVZaN
GAyLPDVTNwOC/rt66NPHClBUWIJWv8pizFmjYh4f1aaOniuPi7YzzfERMrOxHb2xumkwc9/hUJNd
y1FPnA1sglkGhVJa7qaasnZ+UJueQ4lWTSpDz67aC6txPmtWag7oieKb6iudPdRhtFSa6udNSYhu
1f6mt4xdbKgq+mh5tEHhZLjNZas8D6o9Uy9V+5CF/BGrVu8XTgcQelqS/ShHzxfJtBCb25m0w4lI
icdhUzcOiZ8lMNWy2LT2nCYBfgIJsixu4y9YVF54Xnwlo/oFj8s8SD1Nfik7T2ymYm733kryFard
XeVlqQMFSdAIrRFxEeW9aXS3uSXN0BqWbusIY75Hq8DcRIo2bbNmuIiXZt7G2rBPo/gCGu8MMrmi
T9Wk6W6uHNWvjHK4UCbIKJZXftPsZbkVIiauNYDTanhq6uJ6e9TUvEu1zOObPmdZWFVt30cJ9Bws
8j4DNyfbzjBE0PXkLsnFbdWYU4i0Kedu7AwMApMHc5HVzovNIojalr/Qvh7VCBw6pImANNkIRgWh
uKyRRljxuX4Voi93UEufFs8QyJQ6HSRrs9trBTX4ZlA3zixstD/TyO/qJuOey29JX7fmMEEisrzZ
j6bmwpKYrkbDPlfHxUfl6bUfxh8NnfagQ85klyHoHLpJ/GtIk5u0zfZN0ey7otsaSpVfm0N2t5Aw
QzcrTFJNIohau57veKPr03CIN2hiEj2nkXSJBxDZG6z0/BG7q0tidMjz4UfWN1+KcQqjol/uBb3l
oOHFGNAp+eqUjbnNa+uXJtN8MzvmjyphC9EHIwmTBGhLtHsAbltFsFNHvb3OoulTHCXeRpcorFLs
1qaVyvzFGvQoiHVgm35TFc+NpT1pbvmAz653p2Jbd+2MOY+H/qLUeV/NQv0xqfnGrYtx69lt/GxH
BOhS0bLQir3WH4biYpDFFe69yqU6EhgSpZZINRfdtZvxxETl9IEr9mqIpxko/3CNCg6muvnsVzPq
xF5XwEzuo8siXUJUFV/Z0cHoFDf6jAI+72Q1i561eeLhJi90k3x9TrRvPF7QtJhygU1mkm7xxk1C
p3H7IMsAEZpJBjBzoo5D98fzOU5ZUIwJO7+KlTDVRjtIJyPzVTtxoCgPIrCcwfksnVhrfWFH5mWe
gvnFxQtRhK69aXM4005Sp+i05twFunNdOtoOe7807BpD8TuVX5Ln+XM/uR26cj1CAHix8LRovNCG
2B0s3NtaVj7T2b7Srb7xZ22+k8n4luoL93hta36eFWNgTyK5jpr5LiJzDfRJe1gK19gAyYSAARen
M+W3Li5EmEHwDWxN/Iq8xrnD6xY98Gj8NlfDa17qMTSGWgniQS2gq+kPxWg8xEW3S6IEHN/kPSGJ
jqq25f5C+iQL4JoUQcpzPhBiyvimA2lL2r9Ipf2O+8RPOyG/xwS52rddJLka9XareIXii16HLFK0
m9FpeAt55WVui+HSVZwGyqW2bFS9FVdDo1H7Lsw39OYSzPX0zw1m68yuhcVWvVV6ttMy66bJ3Sng
Abbwtk8uxJxcxlF918j4ro9JhHqj8zNnenWT6LFDgXeztOnPilzdn8dq3y3jV31BxWBpvZIQhxu5
1sUPCroAuM7c9qNzDSbwTeKCDYtX+Ta17p44eJmmlrlFWvlGJrm3kVbkBAL/7Q5lvLjtvsdu9FiN
DZngYnSPzmLuZtf7YSQp5u2dRPKoNr/w8Lk3ivxGemN8hYPg1zSVMdbD2guKzWXQp20d2PXytVZg
0BiRexFlc/mAlIHcCnTDAtVFFrhMryfeEg+Z3Rk3MspQr66swCqnK2N2Zcg+DstYXGVeXPh00baL
THfUa4pVaYl1qYyfql5vkO1SdkkMOz+wIZdcFVL9mTn913iplA131qclTu5rY36BKRMIVe1CM1EG
3uhSDVSR7jK92DsyuxqW6gr+aB/oiq3ex6W3rxQqD7mepj51HXKyycM0abQo8XVTthnbyOBOzC6z
aQAXoulhUSI10zv2YxLV3P66+yvKp6ekdv4fR+ex3LqxRdEvQhXQyFMEZlIUlTXpknQl5Jzx9V70
yM/PdYNIoPucHbccjQ9SU+ZAMeY/Ysl7D9WWvuvM/qvl57GmYsbn2YZ6Nv5yDV/K3k1CN2c2nCL3
omtOkBvKzYq0Icir8pFo0t7PG2Ojd/TrjPLTvjf+DDyQTJYUxpjTXhvln6U06Q49PMmscbVbI+xG
8AxojxXyZou1/42bJMJp0oApTCH5C69xUtySVtwdyq/MOWe7sb6HtDZ8zp0qbBXL9ga1VE7lRL65
QTx2Lwt7m9bkCTn8HLIZB2904jJMsMmep251GbfSc6bqBzMCrsmmH7d33kma1zeyk/Jo8XfxhJLi
1qedccAO7i+Oc2kKFl54pD6w7bHzomJevWzpCQ4R2XMaG4+j1B6FrDuvNqTwco3HF4QnbMmEBaWR
N0L+/KI0k32cOv3W6Th9jIK1L+pZd+2dMtSQrVG+p3/9xVWqo9IaO7tXTlkr9qaUQVY4jL6xuQVk
o6ipcLgaqkBQE7ZzVutjGaN3d+m2BBvwSsb7hSh9j5T0EYhqpVGE5bLt3SfHSuNgLmUUtC3zhjrt
kkoIP3WVY8Qo4Fc6ABNRYtu+NU+zZQZwM0ugxulPVWkWfsR0X7ZF68Hdq/u+LrfZME0+V0x6dnLl
17CG2FOG7jkSduPNVE1KxTqCMHtjowOFVyBenR7m04lXICQZKmytbxnXj6KvA7eff3K9OSpO7wPg
XjpR3EbMgW4/bmuxviduFE66Hc7luqLuXp7KQQn0nFMNAPDTFDL27SlBljkEbmGoWxbqR4qlttFs
b5sqDVtX+rWIQiUTJMSs4QRZklBY2Fg24f8crXpyyJdf946rsR0xG2nzc+XM73ffK91y5lNvDttO
dfw8IUNxfRu65YwI+4I1DWegy2PXFKGw5z/MLHfQj8ibKF1fynR5WxzxZNaoVczOPJJsqGynqrwt
PEX+kCi7Sm02vRFF/miZD1ZiPypxce7o4yU2Jt5VvfHplPa32Zvv5ECDgxg8LI3Zh65h7YClweG6
pgmXXi12fVLs2yIidbttN6K2/hat4JXuDsXECWWou3K18VuOL05e7tLJOMJRnBMgnbgtLolbopSw
th0djyTOWIcmbqSnacoulpHj07141QajDDGFTghmpwd3kcdeK/epNE96U6G2lMviJVb7acrJL9zx
UEYOfSkzQlvZeWvdbMpS2Sn9oHtlXN3Ksn2t9fF6H2p4PJoDfQp1yJpMfUBRbOt+BZBogNnMF7OP
wlpchDLtCgbmucpDLuvIS5Rmb+lw+/Oyp8rqyFd+jlv7Ue/TIHGVcF7lQz1wBTix8xjXw1YRtR85
EXCa6+YeSwB0XWm+KgjEfLQJfEfMfGM7XlA/b0hb3KZs/Ry4WeTnIjUCDv6HLFL2RakVfjpVPzZO
Fw5vT4jUd7t5S/+5Z2dsOyvsXzb+qzP101qik24Ur4o63sx1plVoXvhVdbJPl+5JN4dNd49KMYp3
JWuCaFHCRZ+Z0Sno9nSNjRof2K7oR7+to3C0xnCxjEAC4kCcyqve9Aw7dbLLCusyyulrdadnx13Y
iIsjGR4Hc1YPbU/b6eL8qWxxHuEwhte10huW8dJbtu2XhU2hlxqS+cWxGX0qwvibx/5pHNC4NKnx
5oyZ6a+J+yuVRvEmzAiHRCx5UMVMMRPmkWXNTnWuZp5o3YNO0GhY6Ma+mcWmtrPNsppvS535leT7
r7VLYTUfkSn3SZ8cYg6ZogE2NO0L0tTQKf+vHJu/1Fo/iFn6Es9Noqx/WtEFbPonjYmizUQwJfpD
JNgfJvzgxjod+r78WyrwoiJPzi6QRaLjhI2+K0bGXo27jS7bvSym2yKeKDp8g7dhrHYCK+53XB/e
WC/XThtMX4njr7pRPb2ajhFNqmZnUJKoD8/UQjxaSo7FNWoPjVaGWUY803THJ2VUO/7U1rbfgjX7
tRzhRqahC0iK3wN/facyC9uWetTCdW6zFfm10k0bW65XwrBficog12mtd9Gs/NPScmYNK2+uKk+O
mougb6IXM2MDLJZ8Q65lYK0g8MZonZ1l/Vos8+pmgCQAFJuCZ8CvF7aLeQJfJCYAMKI0DrY27jMW
Z3Mot6Ls0XZK1hQS8lUbaAIH+OXuiqymJmA0vK1LitRk8UbID9otzvEqvupI+44qcjvdfhPNfaBF
1TaxcuopW3QCg2psM6kfOkcLndmFZek2RKg95JbVAurYJxsyI8yjLujT8ScmBafqzUtaM78OU7Of
hQxSyMlu7l4rUezXeGh5QcmktwbSZfp+3s1D891WBpB2o+/agbibVI3CWXQXdYC9apKT3t/GrgcF
XMUeXxgZBeajUiSf02KFjdttUKA/mHBFRRv0sj4WvRPq9x/UMjZ4KY9dYeyqxgk0W3kimOeg1PNO
G6PzPE8xLc4tcRfGTdhqEBskwyyOsmccplJ8cnvf6Ape1ELNNp2ebvr1tddH/l0enajWw6nI/5LM
ebaQXgelUdzFQumyEY6sfNaC0oeO26cQMiTA8rDWIg6akvnNWunN0EzSZ1PQQyEX0grZUfI0C5OS
5isS/HWvkdmvUzuX1Z1/jNV+NHrOmDzTHifpUmBX/w52CoOWHaC+eQd5vXSHp715U6Ebl2a8NsN5
5D1e6uhlSsRHOnTDhiEz9nIUTTjmyZiYuq2sRRizK7qsAwufvbI+KVrHG1MFiiIQVQ/yT51i4PqG
0qCGmExgHMd84cUPi/itjtRtLpxdYvA0OWxTybQFkfQb2w3zNdc8idk5SVhki/SbpprdUIug050g
UqwJeoJ85LxXyyCa4Lv0coov3YowspnBZ4dSs3ZmxsKmGbAooybnhzEWHTBSzxxW2tW5iZJ+g1hm
OTYL0QaO1XWbpirTRxRPkafF488YWXVAwHTkaw0AYa6q5RfkVUw0ea8FeSvSQDXT4ayKlvQhFfRJ
Vvp7G0elrxVRqBrFX65UBwa9HYdzaE/fcz0RPGdtx3L9bVPNt0EzomLb29G+dQOEsYjFJcgrnoie
81uza0YN/M+pOCwVfZyNe9BA8sDMz3GPZbuKBr+bxW6s7X1NP1OWMQCVecck3XZbMycURevhK0dv
HtmStWprjlVo2gsPrHotYaEk77ss6vNQsZXrNnzSRHPOcFX/Xz/Hc0+AXGeQXpaVQabUxxKtgq1N
HU70fA8v6KUEikdD8zVJZTvenfu0Gq1Y0wpBsXmePKvE0Xq0y56KeXjX0/Vs3ylndhM5vAsbTV7b
eLhCD7UVwS00vsPCpfyME9UTk0GIgXbmwzolhdjVhuOzSHE65zsltQ/2qL3Fwvqx3Opcpk0I9rFV
ShuMmPRweQHKyX6Syu59y6XEop27MBPuJh3FDi8nX5oWwL9u2G6JxCoOjUhOM0SMMLLHPALbaDfo
U+AtcvlHdM3eLuAI++FsqJyeEX87Rb42kfATMB+7Q5SLncCct1kOiAQC5KIjSBXrWuYv1fRcsVik
ZerbgIVdfs1Ah+CGKDyd3zNr9Ifyt0vs56ixdkNlP2hz/6LJdtN362/Ujxt9RG4xJuEqY8NL6+Jz
lsmTHEeQpV85csgVyc2equ3c5Du9J6ADiCEttYzJjie5iz7c+lyqyXbgeunm4ceq+jPpWQFabgZT
u/DLlvqd0hJbe1LPBDJ6q8NW4doHyJL9kA3b0Xnh5w6qbLmNOrRSDOYzfA32Evb3p1m4h9YeLkio
jlVkvCqiedIw8a+wiP2kH1NTO2XsKdPYbE3CwfSYmRHMGzizz5YjoeinIqqCVJ/0g9ZHD2qUhLPj
BGoNylxEz0arInxID7XLxamMD7GxHDPQiaGnPjdvbcS2YN7KepSr851HlndXj7hKslNcmtZn9bmL
taPU/tQ134vVOg4M2DVoYLagR2jsGfik5iy0x0/ehl8X3UsZQwOL4iFf9oN1hdp8iok3k013Tklu
rsvluujtcU0PLgiKs8becmcapdgmkAWLCxw31fq+ipRta3dXvdVfSNklgxrE1Jns77JPfupcmiD+
VgksUO6L+0c0FN+5Uz9zQgVzPmwqdFULdyahoX4OJt4l6pdrD6dB5kctjZ/orUcWBWdiTfm7VeVv
gk5Hf0iTcy4TzgflyU1M3r3pUMH91gNXGRLczZ1gic2587DD0JgZHZN5DczVuiRWxRJSbTU4kyyr
jpWUe7POAqcbQO0glGI+zTI58fVceYRO+bz85VbO5Ei5cdeoryWpEbbW/s2iBYda2nCyqk9X1OCA
09PIJ5PR1tpHDV0K9vosTS6wWNSLZ8m35o7rmd2zFkn4viHMmm6XCNn6xiC2E+OxVwN28Ev9CTfy
0CmPejNf4YHD1NAebfeTNvNQhzrPh+VVm7H1jHYclsBgqwP2C+AbU26p8sm6rP/jBN9da1hzuvi1
Xqu9JsZNrN/kkH0RzODb9eOk6gFxj4dspqA6k9z8a6DINqwXQpaWijb4MrDktLHq+Kjr6GOdw5Bq
7DGNvPAeHuFSdrZevmSpflhsCsgTbhd32KBA8eVaPyjW6ukQw6350sjpobWV2gdAdOgRUmld3Daa
8q/kaAAfodkj+Z0N4zqn00lt3saRq5X9oxqSq9rl2OYgCtL1oqjrbh2Ly7jUH+6i76EKvAZZiuxy
n3I35PwAkjkRHxFTcAoiPHbgz1n+MxJNCj6OYwIyYdC7H+a9Aw9XTaJodrQT403Xxm0r+kPWKo+q
WPf0bb5a/ezp2crG/GAoZTi3gKON/Wi38y4uJy9P9oO8mpyWEWcKSpJ2/Vvzwh/XddOivq1Laxvj
ZVfzYzW/cmMcuC3+5BSFolY8R31JHHeXjMWpXcawarsNyPDLOnTbIp+Z9OM+bM31VTGnbUzqTKr3
e2vINmQZEM3HdQGx7TCGaOPzpJhnjBtBNjqPBjgISV5e0X5ZzRKALfoEEp2XytybnfQiOYazkX3l
MChGRwAMQdBG73r5agSiFyTSKAQSZaFZa5uYiDM1TwPt/81tprVPdV96Rf2NFWWbF0zKVs27iWX3
SNDeJo7A0JvpOnbJqadtiy4OlmqFDVw3Qg6+oE1w7s5jC6ypnCrDfesr9zzE1TtQy7+5ik4GXabg
1PtUucsVUx4ASPlwNQ9ZBuHYqmHsXpXJeNeT9Jjn0/a+5Kh1srVF6y9F62MT2kB6BJWmABf/Ihr2
HZe3vdP/xkEeW7BPRXkhTghdQT1djWI5GOgkCDa7lcJMPC1NL5M9nnqrfmxTI4z77JRWSKgr/d+d
E6GV4DoZ2tuslTuqTLai0rGiDbD2xKRmTYgPaJ+jAsqKMkxtEaxmdNCS4tDJLzlnFy45+L4E3U7J
9Gg+Yqfa3IPj+bHfdCO5gV5+kHfeoh8CUZsl51FphDk4QDMXGzvqfDm9LAWXk6mPnGdIMab0e4bI
rpb6KKjQ7ZgMOjlikkZyENIR6FOshZiKFFm+36UeSFX6dKBEC3iZJNVfjWykpF1lk4BAz4cHU6VL
NO6p3+LdtZ5FTBE1jDHCBTN0gQpUGtQb1Bp1G4jYAjetzjEYodlebHkq4u+mixB64aDkn7qNCpMj
SZfVl6CGIJxofF+19KCvE4eZC6Cgw4Gl00PR6e+VQmRnjqqBSmV61JZTlTq+bR0LRbCLXgfBuqH+
yxf70uVGSOjGH9G/FxJTNgkFyXW2csX3p8n4NlKU+9kcpmvmLVJ6evw31EuoaD186B97nOc07U+S
xptF2idrznyl64OiawDB4nPOQO64Z8oy/ZhG2kDNTY/6odPAhFsiYfQEp12fdQfJiuXYWMDSvVRj
QqYyL2l4p0xxXLr3viXIqM0TLxfDM9SewcUwX8Zc/7ZabuR1qC6Mwh9lVoRjxIXgMAh4jsEUazXD
V262V0Mh/6XGpeTwXmvy2ypRsZlxw1RkVf5AEIhr5h6glq+rcUFCahpO2vA499lLQeHC0N4R62xj
KEhetCQ6LF381vBH41N+WIr6FPGBTgj41CG9i1pyMk5rr7WdoO1ukfyuk4/aVH3jTuKZDry/gdqJ
Y2WgxJu//rI1i/j+oS5vc6J9xqDvHpkbv2ajuvwuI/yMJXZxxDDV11+lurw5Qlwbs/lINOfTHF7B
HtRQLHIrU3VTmPEbwNtn7DzMZfbXL8tLWWy7Zd1k7bOrJx9GNG8Ey1CdPBGN96FO5cnVUP1V2lef
uP/wh3q1diSfxG9z+Utv0q60km/TbsVW7SPOqQhRihu5gDdjxqVW/MoqO0WSQaxUlovs4uTmzIv8
bO+PZFb0L0miOzstujeZEjsBRCyS0KGG+7GvlSJIoPGDsmRGbFehhnXaOUezdkj8qvssMFLEGn3G
VKgmse43s9v6kmjwXTnH7IBGX7NDs98vqsgDVc8aL7P7lVWiiY6LajaeW/aNP2t6g2aa0s0odr6m
2fpaFxJaYd4+bcGXV2h3VFtUt6Kpso20l6/J1FLEYJCByowTs5xtw0uW6GVoyD4rlYGJQTTndbaG
bWOAgnZpXyB9mo/xoAx7E9ufD8pQbRSbmxvl8L2fNr1OGtQ3uURILUs4CtwLPAlEydmS36aAzLJn
82FcnJszJjZIaqEzhDUh4lANq5iWIFAsxdaJ15NVY7DSUhIihmrcjp31lXHbMWvSJGdHtJyjLYa9
iYAHy280zcGQMb4nBh0Cdb0r4JxoNdOuInMfRxP82rR2GWFZPnmmMdWoMOvO8OSUw65W+SMI06sT
sbGcNqDxbz9Z0ZcDVmIDiaSdvCoK7OnSNjdr0E9uO9y5K+U5T5Lj2tgBFDjTo91/p7wAs8DdmQuQ
ncmzjfLCb01kGp9pJPXEQzHZ7tH/fmMcUP12jedwLVhvJ200/NgpIPzm1jelStCXs+fr+aeLytqi
Ot+XVv44pfV2tJdHoLIybJGpB7qJWxuhBwBrVm9MkZ9spts7s/k8LZgesvktIV1ml6JBpKEnRynn
DPsCwxxkbG36hGl804FpXYuiAvqSLTmOI4LVPs2CleMocbI9jbJHR0VY0sXdP2qLcPWxRtMfmD9r
ffabrPM5zbtNZPa3QahPqlP9M9blfgEBjdGHOZAwUv9YujKTzhfvS7UK6tb4lI7FuGEqB4OkTG9I
GuyyY/GrJZaGVHCyva5iJqhKiN0y48mVzpc0ipT1dd2LeEFDkPfznmCeh9qKz2lV/1tx7QNyDt98
rj/U2qj+mttb/s8rUrnPO75V3QeSMr1DUK0fN10CHkK+7mKTZzFAd0ytIz2MAqM/xRNhh+n0qfUr
udToHNf1KzNWAZo0bBo8b4Er5aWqsrNIOObYXxJvLJJ8MwxrhrAy2nSy6dEhuGxXGhu3SLslIM+h
8Q1eLS/tq69eiqeVl7vkxeZbXBME8LyMMRmy+0EHD57aKIEORP9WGnLwZkv9BTuYw6Ur0VPK6tWt
u3uLPPyRTCvSXvs87Mlt8jJaRbXFpQbGHX+TEqVNM9mItPvkQbObPBgLNBZ0vu66Yv5l/592bScU
mtfGx8yxdpDdLEbZXkGg6Mf1FHR3mNPIFfB5pCFFoxzgvr5ywwlr/oeXTqhXppnB08ArgNDnTC6i
6lFyiFZkVBm677T+JLSTWcd6sJbjxKEgUBizN9spB66eKRsInk08qtzOucmWHPVbudTP1Zx/MZkB
i9TaNqcfhIQSRssxuugNuxsVIt6EStqv4XtrImU2lpQv62I99KX1U5L92nZVkOfldWzrz6ZH/lgp
MJG0IAVJynYjxFONqixwedSCqTMp6Iil4hlzdWwKeTHc4dTO4pi22k43Bht0+YNGaXWTL9YTrdQv
o3PPq6dYuVyGn2yIH5ah35epfU7T9GQWDbxPOu2MWLu2CUiIEPmW7OOHXjM+uyJ6W6fxFT/zW6zO
nW+r+hGydKP2CjCz+08so76Pp24OFgHSm6TasFudEdBo3eqx+gur5aXmunVLc99aOa8MzU1LFTUB
cdJIFbvoapdE6+Eu8qUx7Lt6Qeku2g/2Lz1QTLsD5Wq+6gz+SU05JyHG8MAUtzS9D4Z3kyj+b3Tj
LQ9HarYPZeagRIeEJN1VDTKbG4fYVXiW9IJMmXkOg4Ev+qRjVTdIdS+n9xgltacv7YeInDiguusW
zWBztt1HHOCjvYnapvCXSm/CljxPnlMD5qh/aoRz6Gfq4u9tLmE28gBWcoGlXFGd9eVHtETXKR8O
smp/RjiuOUuMoEPIC0ZFNLxsSrmJa7TPKh0lpJwc8VA9aE79t6rg84uNGXlUGKI0kcX7uprOHf99
7KA+On0va2vZWR3vZiMR7SS4hnpZRsikU3CkFGhdKfvjkrt1kJjdw2T1Bz2a9ytvPHqcLY1rd2/A
eCx0qwhnrWoCNHL0/MKMm4pzSyvxT9O7OCCbmNs7VRhDJTQcYChiJYs7uho5Z5es53AqzcwHe01I
u7dvMdEBXrNGu9TlmexgfSSiH2RT4ZLMYxh37kenmG+2lsMpyLPNDWsn6qNbJAfKB1mnlBxGt0KV
C9R+o1HtOHUIEYia5QxjSM/76hHMEDCnAQeaYeInI/lskGCs7NpKFH1jgkr8WXBigXCjxRR7pnDI
2HlInnqHaBxSvt61Uszodaxw4Ecv7jrdZSB3OaXN774YptaiUAUwphscqDowZtfvOjfGTCmq9hSp
I8t3jThntK0Ua5W0r4M+2LtW1vcI70chDG2jldaLmzrqHivREqy9RTqqqFjoEo33sWzUoC+MFAE4
a32LIuKqor3wUdpmm1QD/s1XxHZVs2DyRw3SzPQMTK2ymzor4viULwLKs06tz3oG6Hf0+BWLA92v
Obn+efaKeOqmtvk+Ris2aCxDOrqAeEF+5zz2tvK8OuI62sari8DQhOPvphRaehIMGsI+9+v6PPb2
cSmou7TSuz79XtmuZ2kgFI7vutXgW2P1s6+n/YBkUW/s92ZaPmxXqOCN3bIpsoQNghTsXUJhE0KT
iPmsWGA7NH0MnUlMfuvWp1EXz1Zk06HQVh/QCJcRxBcHyCTDcVSfspi5r7bMl7XqnnCW7I2y2ys2
9GC37u7bZFolz0qsXMYyeolj6yxdhYW9P+LHOon2wUVh5osW7X5dHcmPQtmWKxzDReJ3RrJRO2Dj
dj5bZUmfbTF/YZRy0/aFtokd3OwBz9CtrHi/3Po4WsopFe2LajMtDaAbasbQKqxKAlbJ62ou7z36
JL81Sgi01p5hFfqAb4i93PB5KqMjEsUmwP3/0udM65k8xrB8nVmdHJSVrLQRo78eP5r0L6m6+VbG
2g8ajF2vx8exai4QwECe1eiPTv9dAa0GilAeZjdHyZq+ocjw85LmryzM4/kl1tL3qulBesVuJskf
cCE9kAZ6qjr120w7ayPV6HmorBPqgJAvG2KG2TBFY9KO4CtgtdI1N8LugmpFCzbn9lHpPvoR7V80
5keKqmKqVHRfTSbL64WqMdUVr4Srv+mKdcgRueALejMWEdBD8zAxMoClOrwtEPJFMTgcqUkKrGBA
nHW6tS16ljGcjLFesvGlb/IuMzCqw5i5zyQqb1s3DjvNvJVqjoLX/ExXdHeI0/cpW7etmDtXmZ8N
dHWTWQRajW4XTUynrWtInxe+AhudrnGclmiHneVBWSNQh/JdFubOMEzGnZ+qgcQitxqx+Jq8jb3x
BfZhe8Xcf3MrPxUqx7eLitUyb53thJVtX0kM/NehwIZYVH6ZCcOB7OZCc26tABoqYijFDoY47Hty
macZ2VCEKSirUm9JPtU8z5/ZpV4a1hCuQjhwI/VjW7nmuXNJsxGto/qEpe8GgBo0dweVRr/cJmWH
9xrcaO895DeZnTALmkS2wEkIv0zQdMpj5SpiO+YNE6pOCPjKoLJ202ffWFtDWZmklPXd1rh5ajd+
vMfQRjMjjGYuMb4ANoEFImZJ27doRlalFozk45/OLelbM8R60xS7uJbnucufKrc6tq66wkv1bKeU
DwHiD2nQZwNwTUEArC3snUnfl6PTjuW6KqS2WhyU2Rg9OIHDlCUQabVQwmgsj7OtwOos/XtUtW92
q+tbqoa3Ss7dYOFmxYC2bxhP62oIGkv3EzoUPNSHMQa7IQtHY32dpGrDpM/xrsgWwcsgxJGV7dlU
K4hdvJwYhhLfXVGNV+MnJuzrREa4MvLLy0QfdimOyO2YyufEsg+yZt5143M9kONlDOOOw+yly4H0
7eXQQSc3ugjvALqII8AuNIWTMh0NpFCsn0FVG1AL/GBuHDjJAiHrgjaZDTR+VS6XNHVCxWyPZcvK
amae0SohHhIBFJLsFSJtEQlhvslcZ9wqOkFo6tJel3qBz2WYdOdlh6J6a7lcFG5R3QZlVhD3pscy
XpAO8jnWsery2E+5pzXTgJA1fmGo8rVeD0dt+dCYyVAJ8trrLi6TsVGWPTI5vG9w5RQF4OowJ5R6
BUxsnRY3bdEnXlvxSBnmTomtn0VL9mMLF0RmuQ8bOzEr8LPFk5VvHafFgTfw+rMy17O2pdYRMQB0
azDwUlIlHtRZdqhn+wJrFuKRC/DDklmvvc9NGRJgkIVGyvWn1gzWa7N0notgIpDxXMHwT7UfZzIP
3dplHbQUZoRUHkyozgHhaNBrziaREHqGRTBv/FTQWsS11TEr6g6wsZiNb2vmAjF6sE1t5IlaeWyE
0eJzTaobwcZogkmVBx7WnSnsdV6VAePM3HtW21j+khmXmqK3rSKdG4ZIrqIcxYM6oPxJ6/Vf1OB+
SmT73CqZ4yNKBZuLYraQMXmUpnlB/71N44TbDQkSoE63NTIu26FnXUgIaCr7kX28WF4q4f7WyGL8
odDOVVzs9Mjkr1OFJDt7scmxYbe0wJmPFkihX2Ws67YxwPbHz9iTfozRfupr40kU9ovLTOsJRgXd
aHfWaDzYd3qQjeY2pfmHq2jPi61/u5m54LWRxxUXExt48zFMmAKser7aMxVsqWiA28bp2mEOBpuO
F/xjc8G4xclO93Ia1HYMjCnTd2vmr3VXFWHtC+aq+hEuf5aqvelm8R71QOSrrOIwkqjXHWOjTtbg
GUJ+M5evnrBlt60oT/eoQuO/tR/oB8ggij80Q/pO5+wgyYytKy2wiVWbApA1JtFmeksU/WVqlkMu
C5BecbONii9bZTxuWXeWjmNotqyHzgALbRDluHIFfwcKHubfFuVvuaZIcDSVS0B9I9Gpwe3JhSl6
hbZ7LdrIHGBV1DcWX4Zg1z5OuCRS9KMyHs9Oop+Myd1pM8uCsK/SUADfLX6PLA4Zg44pcjO8n0HC
jsiQqe2UMtq7U/MQkT0CHCYxUq7DDzhJesJSVB3dzv2XqFmNqTNDLz9fkF5tqXLSMGIpBNVlMT5g
VICFIv9j70y25DaybPsrWhoXWGgMgKFWZQ4cDu8iPHqSoiZYQTKE1tAYenz9205JmWQoH1k5z0kq
uYJBd8DhZtfuPWefX0aBOA4Xwhr2mX7fDN2vbbac4SyTgaTzaufbDU0xM/tsJ3W3KxyqKKack2le
EQTeR6ZXy1BAzrYVcmQE4xyIqpUdpaXO7fMHQpS5z1MWKZh8ELCybVNphgQiHTfZqI2wS6Btt/G8
WxEzYwZhxmwgt2d9x4wTG8ww+4ET1tJ+MjOnv7RfOHxhUyf+lv6QU10nsvuY2IiFAlnzr/mkk2cp
28aIKrz1zGsOYgfTQqRgtGPUKPVrMng9FTPFQJHPDN8Mcy9iLwMaWZDRtWR8HVoOXYZVJedUBU8O
JFnmaS6nWFyZmP8Mc0eXIQtJGkPMU/hdaGhGbmabMmZLkFsxVFl8vDXmErou+oMuE3yfCu1/mpay
2NK2Y9X36awu9owV051c1FlSyV1VqzyyiuyjA5snNGI4716dt/uqJo1qXuaPLee+HQ3EJ2mKa88T
HOfjwoEHx+fRAvZ8tiQ0ttlcEesK5zdaZoIJEIa8ypiulVfM2wz5PQt/NoV9KVv0tUi66PccGoMN
Movj4JOdp5JRYZe85dlCwBEYSzj4VbQ67CFGiyTF1wSLlQUz3nxkcGcYt6TCv4jFc66KgcOd285s
Xy2yOSGy4VCrDPmBpg/ChLPZkQNQhGxw6p6tbNpaRXPf5tYS5tolLjHPYBjQp3zXFeLBxYN149ui
+oWEHhkaAQW0OTXJTVUuBGc11rDzWxLieTQ1vhTxxCiZLsjMvjKVrrHthb5HadPsYqeet6Y3Kt4g
NVDT8YTMST6xHLlJfkKdh3Ib/Oa4IaMHAUhJ/kG3Zme4lf6TF7vJi8W87gFSK8/13M3BTq+OfYir
Id06k6Y3W+FEaGt8VW5mD8TzmO6u6hFPDTWcBJkOzaEpnfGebFiOLjxHEV3vF7bbLnLlijmlSz/y
qEzHmi78XdK7yy6O+/oQLzVKWks5u1WLZ9GjndQpHT7cOJ/Id1vQlqESGCZG6baneGY8dF3NkPb3
ai2WEPUDumrCZ4iJnKfkt9Ivjc9DN85o6oWWV56b6y2lrv5Q08g7qFqMW5kQK8mYcnDe0fjtqTIy
RCdWH7dXuMGtu3Qou5veL+SzWByfO722aCUMI38CFqLez6lQ1xm+aeoMZaC5MZIuShVq7U3npJdV
h917D1BtPtQ8/2ceCc5WLDUUPT5hmA6TD1XzoSydZRCCqX1mVM1yXlPBFwFxI7WZRs+1eOnJrez4
PKxIy0vnojppk4uyuy8OFqlRUekW0x5hBvKadJR25Die+1LPCAqyGg3waLoTNMWxIS5lyLZVor0r
v6MXsBbF8mGyNBNujzJFBLj3l3kBJ6HzCXl5lXA0aC3rg0Z1SSsqwE/qmN1RaY1eIfPwxkoqTtO0
5V2X04qPU2kfnBKJwVxZl3uXLg/8ybgyu7VBzEkgjkK2B00aAZhw+FZPnP4Pk2q8faG5nWXpVZ8G
q3c/ylFNu4KAyn2/JuNTRQ/n1pPsztyy+JH9uzoz/2AB1xqDa9dxBGIKEg1gvW/ayyw7n0nsbW3j
YpEL0mtZmcFVmybgOLsugxKQlLsxC+QxyQIzgjrJOQvh4TZox/66yAc8/OvYn+JJFee+beff4p6W
jjJwsaN6KW/9Hh9E3FXdlacIc2q8TJIWY823fGjGyTGEgcqj8W+cBO1OgDkhcrLCom5ROJ7p9l4t
S95j7VutR/gJ7ilvs/Vtn1uUuPRHtmmbr7dIk5mnU8Ae7dokvmaULAOVM10B/qbVPrK8xKtp7a3E
rtHdcaYdnPg9Qjukk4Bbmqs6n4ydWYHg0DWjX3cUZlhoDO5m2Zjsl6585/BJPQ5z6jL7trhrImZ8
htE9xGA+nAmdj/cFbqodDqeUbPAmPlms4BhP825nxosV5XbMIQUf+DlpguFO4MOOOn+yDpZTEgCa
tdkRVlWJa2zOdtT3y34okupdFUumAYhCd5VOnaNou/x2ymOe7YuUs8QoArTH4RvvxJwWurmOhtX2
99AfYgJAmNN10/y5vcz1pqJvrrsk8Tf4EL0tSenBVVDyfVUxNGGro2NNnmh+nhhvwk6ccw6jTi+u
deuKPfLj9mC4NBLLfhm2xeQhTshc84bzyIpO2CX/NfcVPoYy2wmUKtjh8/oWafm9zIR+HKx8PjIP
Z/qA0j7ewv1CNovBeEuVpMtwtFrU/CXzmwjHHJvbgB562M2rjz/QLxTj/mkI0MaYJab4iFlte+eq
pML9OOTluZKIMXlKy62VxvlzG1ftQ06g5R4/5mTmW4aJkwKuwFLTfCrpNWymeNHHunGC4yJaN4J2
NC4FDa5aYYaKVUlTOzPjO21kzTkbZ2fgORrVfgS/HodDbBCq1OM9jhntpsu72SvdB4NNJI+MSbsD
b9Pk/D7QoMChb442nT4y17FYCU//0sm4CLZV7GM0zpPRJPWq6OybpIpx0LdUdbT0LX+MrG6QC/3Z
kZJekgHncdQqsh6Jk6ZASFh3H9Y6qOTBr3Mj2MhmaB9huhQfcBZb0zF2KpXueEgDpKW2X/rXiBAK
492IKkzcOAYEjHsyChVGwpXA+9vMLR1VIhHgczpBldGUn2LNByRlenI1Kg0qmqhqmEZ9GkglSxC5
BJodLc3nEfLB5M4XS9Lkv63dQblRuqg8OWVOSQ/ElxeeZNc4k7dL8BKw2uC8eltYafIcN0oPkTsV
wQNkLERnS+OiEuv7ixkRGewahMohRpJzE+dIb5PzhLcbRzePUFmpJlUllzzMhgJ9HseaGRO+2a7L
RvdJpZn1Lv1kvIwqmTxEAZ1Ib/yhoBVdkOhUPybrJe0KgnIhzzKxCtqribQ/4JautnVfyWg1C+6t
ieCgiUal24aW0JgNx0R02RriDgEmNdnYCSPU1+A55FzzgVLOlM5O5xm/Cz1ysK9YWJomXOMm+Zwo
n//rSLaGrRxYU/dF215+ibBMeqT2XOlrYrSGejuVl9rIyLtWPkLvmJ4cTqtP81zxMOdeT4Ru3Syr
sxlT0TDdVynj85z/sBS4M5KpLgF+tJsQp5BdpToLKBhKwDwSwJY4yM7DRZCVCNpJhsS1dqzVZCZH
Iw7q8uRTL6Ammj3MDKPEgHub8pRcqCCOKPdJP7mQzRx7+mT685pF/wXxlyWuMfFsefFWlpgRio+t
/ygoxVKc6R3Z3EkvtwL/ngE2INaXA7m7qk1agkkCcZHTX/CRpdNywvwYVOo4rgWiWzfMmIG5RE6q
mGkdHtkvtLb//jT/T/JS39VAsuqq+/v/8udP3A+dJWn/6o9/P2efdN3Vv/X/e/m1f/y1b3/p77fN
S/XY65eX/vzcvP6b3/wi//4fr7997p+/+UPExtcv98OLXh5euqHsv7wI7/TyN/+vP/zp5cu/8rQ0
L3/7+fkze+4263qdfep//uNHx89/+9k2wWt+ha67vMIfP755Vvzm+bmvf9pz5V390+f6p8eh/Be/
/vLc9X/72XDNN4GNKT6At+z4XuDCHJxefv+RfGN5vu3CiYLgJt0AGFpFxlTKr1n+5WckYzDFsnwi
PwC8dTWhKPzMFm94XOC+kfBN2oFn2j//eTO++dj++TH+VMFJqLOq7/72s+O+Yq4J/iHiKoAIss0C
zg9eJScE88z3w7YgUrN11XwjPaQIS2IExUPflRyaGNOQk3rd572b3I5rjSt3UyJMvrim/bQ91Suu
0l+E0aQc+/B5dX4kC6cz7kxOwunHxe5c8Wy7BAj+ir9VBiF7YNNMOyOB5wdeIk96604UIDYuxmTV
zr/WPuVyJOrYIruPUZobFUuBzIiGomWEqvcnhR4QZfzdoOJh2i9JZ6nIdEcmoKljcbpaGBLV1/RU
dXBVlN4UPMlhLu1rhikoaIBhMKYwgzZlVgydobHeA/Flrk5bph7jK+Xx6XywxsZIkVH2LDml1zRl
lCvCoU5ITQ0MK61IfBp7afcrTUeBbK6PxdsJw+m4k+XEYjktU1BfNxXYiqDJ3fIu08VIO2ckHYCy
ktPYwVReN4Rwy4ZTkRe9PyBH58c7lNOenvnq93QCxwAB0FYrBswRZvxEoPqFyPaullkdXM211aG6
DGw7e+dZy4oJqEj7IDJLeBh3eUcMZ7epZcHb6gT00NuputDipI8EJJJLoFuahhbr21QNS38vqnIU
JzmjOcFdmxRQvhgqeQcly3K9pf5u8uNqoeDdTxhtzVPrISBBakt24k5UcT6EQiFcQdDaDgENq5Z1
mbMrruNi9XVwmghaDkXsIrE12yZKTChB/MjFEi2KdPQivD4oMAq/XdZDgjqIRTyrtXePphnL2hY7
AuewKbWGkij4Qph7swpS5Hce6yWmtlWaD0upLRgfoCrRsmP0fFxqtqUj+ep5/9YxcLztSOmB+iOE
5s5PTJeZ/89gLY+VgPr3cRnnYApNz+Akh2SPqTgUTmPcuTjc/a3rIoM/tu6kaaBkwRzfJv6KZl9J
haXJYmsHnCC7QmMmrI3pRDIpBhG2K2VH9Wqm56QUaKr8nF5LRcoyvm+RGP0vZt9ltzaSI7x0NEg/
QTxjbi7k2PyWc3DUyCzBRjEOmd12n1ocSzc4rhl8m6rpfRAwEtEF1r4033DHxHq2k0wCZIOstKAv
orSGp1Y6L3m18nwgH5rEDeyiGIF85vvFNulXVx6hL2EfEnQsbJyNSt+NrazxVTTGsr60go/rsVkD
OV31jCCby64Tzze1z+0L21LVZeg0c2bsMqXHB+AZE6NK2rBko/iBkQDF6x29N3Q2p/vLXLsM5WQx
wZA6N5twWCfGfHDPJnU3EdNMq8rMcK0nKg8+asrzy1bfAzZ4l2QYDa4bih6GKsYSYRsAr9JdnldZ
rtN68Ap4i8G2tSdz7DckalTjlcx79noIUAlDJWnQ6tV1Rm8yHxJ67TVqt7h711+aUR2ejSp/mebc
HbeTmIHIJTB3JkoHSohQ1JwOkFSs2nzI6rEMtqiUsUDlpsdoerZkzSqFFw51LmAUf89UGUGfY+et
ezdW0u+iJRkuFKDJbbt9X3EUvW7WijHQoNJAbwnZnCFI9xMT9CRbaSdAm6l5UJF4bcAOTXaIYnvA
PERzPtlid01qpLwkJzxUbhv8prQ9+YcAfxZtQSPBvmUHzdgh/W0LipSmJE0sM4gQ2aOJ5ghIIhcc
aaCG3ts5RjKzZ8Dq9VFqXSLVSncyuoPt2LGMCvomqMN9bf2iZ8z8IZA7gRBYz5BsnAJ8H83FAgHy
YJpIRb3JjJ/GYfIe50wx3PbsJN+7NekAhwQMQAwfs//seAvWqmnA7t+nbuuGVW4lYmNbtULT1M8D
UvYENgqpzqWvkEWCykM41xvOYdVlZVx5oso5B9n+2u6WgnUC0WPPQMCKzemtgyhK0EmeORO1whwm
TFkBYtBW9t14Xumg6btuxH55RWk/De9iFbTtsXLaVlyZhoa7NXWBpjfjNNP4MPEOvft0jeEbxbH2
y0PmrEv1VFd9wlhaGgz7iZzplojVXOhQTT3aR0OsVf4Wu3jVv221BZluQo6Bvzqzhukm7QZ8O2XP
MnFFK3Ner/vemd9bs98k2673cdH6gICeKi0GEF6ymO1T4cvVDmfpZfGhQpVihrSr4EgSAxUtbnOa
ZmBVGyVWHixVqKHHLFMvwU7GmP5Cr3Cz6eTQ+EUN5Ao/PZtVC7Zs0k09RnoMEDQJgJif0cEhz8du
LsWdFXMAY9wxUqxKvXjJ7zF0/ykof3aQDcAd/+8/q7S/FJSPLyj2mpevq8g/fuePKtLx3jiQCaCq
mi6z3C/c3D+qSEe+QboHXjEAISIFBeE/q8jgjWvxI+wTgSekcL6uIi3rjUtQO4QviffWpjj9d6rI
L/Epv58RLiWzx/tyeQtUjx77t0cM+LdA4sZGmKhcVNvmaYLQEC6heqDZE3p5BOByQ0c3hKRFezLU
YbKTIfvq+69u2R+F7deF7OtgYu4LvHrzS9afdHgfr1DvSxUjVZEDh7lj0m2wNOxd9r6Ndc628Q+I
2Jer+epq//JSl5L6K0A6O28rhaovzCTvbh7QAycDLlTHOwW1/wRl46prkTr94AIvRO9Xrwr3H0SQ
EBb15+scu6TQFscMLnAKrR0sqGjJr+D5RE6oiHgNZz/6/gva4hWS+3KdX7+ieMUYFxWVXtnlgBbn
gnTztNG7tUOpazescCP0AvYxne0rvzdR51XpXYC36IOsJriZbTlG8ONZc3ChH40la66YdNPQMFZV
fBy7mrbvVGBZPi7ah/YeGyP8pzjLi4eVxvwaUZ+2BkTXoPXAG6zYK0xPaSwGpLx9zOmHhETMjTeB
wqszmMMwvqB2vpTw09AzKGoNwKmdMkFRjcmoPyi9WrA4EVxfRoYQscrQtLJqua1KVTB412b7oNYq
kNAWO/GUwDlKt0lXUGYOQ3XWpTXezzmj8KUIjKfEXd/TUcq3VL8Ef8OHZEKX0uY79FabX1ud5Tx6
scGBCE9GaYWu1/p3OOLRD7etga9SpMDotla9yptudpf3hmHVtKjp2R8raxWfGk4uYMacXMAz8Ott
i5bgsyrc9qOjrdkkLHYo3xY2YNMoaf3+pkvhY4eNhwOg8pRC51YyNdkCeQmeiHBHKu1bAyanRBjv
VZfSE4DoN7YHpGnVeqo8owfAQsNnZsC/2BgNDQYcGzUGNjQlopP0Wcx5/8EZs34NLyTjZZPGuLdp
5y/xGSF5e6iyRoWIFPKdHC2eBbtszhwIwAYE0Bu23pyiN2VSGY7jXN5RWy0HwI/VqVvKcRv3qeoi
ArSmKuTxamhWJRcLUVfmNwMt+K0cHUZtduN5VKqT2rLgmBwQSufDyEByD5Ana5nQ5TSbHC54PYFR
aocQJdYgNtXQ6Md1Yh73gDInaUMbTVAQCh93vsv0Muzp5oWmOV/G6Lo7ZfRDHow0G9JdapTLo08R
+b6NL4MaxYCobLJuS48RafbY4I2aU2yDuC0qdbKLeTA+ZgEzhKBoTe+oS7fd2kPW36S2ge/b1KP9
yClaL2Fpj/FT1zKddyo3+MVBzfaUN5P8MLOYAcSs2iN+V/kuM4z58cLgT0K8FOYTWieGjnnlH8u5
aK9n6Ko3sinad0EwLL8m7lJ+zs24PjqV7G/6CpxLBr0OZCiOEAIS/czb5XWX38cQL2+UMMQzh2Pc
LBRet0nnrb8mndb3Q4HxIcMjdE4zCkB/1uhVEfiE6wJ1cFwrfVQF7qn+goedARVgTXORk5VQiamB
kTMgwjIPvlTt0RjH+orIESRPo5iiktPXzq1rqFYthNBs9Rcwh9Bi0eiCx2qDz0mBI0/mGLVMCSZU
5y31nO7lvWytIPSYIOL7sceDb1Dooj+xn2EK17DZkGqwYFy6cllybLxaR3Qt1rDxXQYQyilQYNTx
oWZ8V2O/xOYBM3O5ylpJgjCiqiXUjpsefFevx8BV3QG4Y32AXDFHNoenU5Z3ateiy9qteWO++/6C
+5f11rYEYUz0Y8h3Z8MWryIQ4rntWmtEFuON0LOr9hb52SMkkxPZ9Nulqg5EPnyoFnGTDU8JUvrW
PbYIu3Ry5/FNFJOPrh4ETvVoFVdpkEc9uBpXXafFQ+kf7Nbb1Ny8IfiVjuVOa5YiuY9NawMRAjgy
NGrDCWvs84X5mPnz3kyNKHBue0x3fQdjPb2T8Ipm2qjKIf1zuS9t9wcRABbtsG/2OO6AuFQjVCyW
b7L7fLuzQhl2psVlj+uiGbP7FhBFs6v3YusFuOhCfMrN/kfxgD980VfFiyHHWGY+LzrvyievDfEi
HPhqR+Ma0V4NjW3+g638VaoCUbRfX6VrXu7CV/VDDFi/azFOcklICJRxlMY7EgOvkdpsv/9I/eDa
XPNVqVLBpyyZnTHz2eK9Ckumf5EfqmsrhIv3CA7zR7WR/bpMuVwczy99yS8l5+tsinYeU9OLKQWn
0LidgCugVNqKsAsVz/V22YGQAiVvRN2WJcKJFpShIWXhPt9//9IvGRhfl0uv38flQ/jqJtM5pfua
Tg3SkEeS255y960NiuD7L/Iv7+/XV/vqgRVd2c6L8eVq0YUY7k5ENB+4TLUGu4SiF8Xr75FT/zkp
/XzpkPM4/f9PSueseu5+2r/o56z75rj0+y/+eVwK3kiXMalvYYDmy3bJZP2z6W69oddj0uW2+BuO
tPmu/6PpLt7YHKIQTZscaOCm8bN/NN1t+vjIHEzTJG7A9Wz33zkuufLVl0R4luX4HM0YGJMdx5r/
7cM5zlWgl0rYYNZTZLuMwvp0VxqLzw5nAKuLZO9C8GrUSmOuzwwposqXxl52F2gQPBYD7nsyrVuG
W9DQ9TgO7vVkDMAR8oEDSGSMPdwzn/4ikhFcJQI+9djN1z1DK7KJsE71tICycTrY/oB6Df4C/ahE
qB5D/WoM7/JmwPjsNcj77t3ZGH7zvLaHg9rVbjMfp1LGXQQNg81znMfZDNsGKcMNSwOtqAWTXnHb
6qa5HQGB3LCuddMjAQ0xXvnR7609kufEZ0q3mBmE8GRycNegWyQioQLdCcke2jvyI0DxW8iTOt3m
ceeU97Unu5m9qnEDeENWiuMGViz+X9MwEMQ2ubmAsE0nwt5th3mIeSjVmPQXu5CN1G1FmZ7TSS8s
qlcjyJxPFmsj+j9jRZRaVKp5J+cZS7WD/i4+eIoChH5bMn1QuPqT09yZKruJDQPGgSkMJnCW7ZCN
1Qelso5zq1X3NpCpEKGdxysjd6a0xqEyOhrXrSmtJ1th49+luim9rcpc6/06O2mB2SOgydfGqkNp
u+AIOEjfyv3dktu+S6bw4HjNuSmzoLsT5lhz6CORC0+iNQWw+O0h6A85OYTUCEuKFZ15huvcW5Xo
h6h1iyDHkOun1D8uXgAM/eDct/SAxuDaT5k9E98tZ4aJxGrMdEfJ996gp7UVOudxWh6RO6wdjOwR
hAIxVJyhKlVOzsfcWrHvYRNP8QaVzRCl5BI817rEy1bCVx62Xg704lp1ft+Qa9KNzRXRGog5Zom2
amMaA/jzBh/z/AR5HydzV8YmuNvMNaKaeVFx1D5KYFIR8inYY+CLp81SuutnPSjvM+cF/Sg8TN3b
djW1Gym3kOAqphkTPWEcjvtJ+Pb8fhbGAsiizL1o0dpwtwWkip7+ljagyQ+JIfZMH0bnqjTWut2X
Sa+KU6ZI4HlKlzWOo8QKhuyBlGLlRYEuaogZLs9zKFYELA+Yiv3nJvNcB8ZGYH4cyxrfRu3iq3pi
HVH1uYljxjcVZfYvaggMWvezP5Oqw3TIgJgpergZRBBYjO2RrG1WLCZsWllrBF4k7EQZoTvTeaRw
zLYCMaeDfKK33qG0IDGCLzNRAwPfl0hAqGA8EuAan5Zqzy+s7wPLZcii9FKnd3B++wl1pEMiUc9H
6IbCto3hsRwzRaOmG2y5ax2NROnLwN21xZDvxLK4Od7jaYTVNVgcItZpxpzlzs7Y3lc1h8KNMTkK
hOXSZlFsuvVeL40XmhcVyJ5lpkG40kyLQIvTQq3jLLMQV7DqKt1NXW/NJ8XZGbu9NAYP/ETbVFfE
wVAVGJNLh6Wz/NjaJ5Us1pPO69jfT6NkQlUR1OTt3dwPVhg0ttsfh65Nl32Dens6esnA47EhU3CY
wY1OMZDXJa7ML1/hFkenl8/6OE2Qat56bW5jU4Jj2AE0JAgC28rEoMEggQBIBWEfxcVAD8YKPZ7V
vS8QefP0BrWR4c2kBzyfk0UKHN2um6vTwNOFNscgXeUuGfOaCIXR9rhauM7tk0p83Ak1PMibwNQo
8gluRmyIYUzl19hBm19hf/v2rUlSDyJ8jnIVM6K+BjJuI5l7nHWQ5XvOjKhBBzKV1RX4FwPwnIMx
OkxT2dYHB3yCAlxDjONV5iZLBkFyjef96JvryqFgrkAOr2g47CcLOngQebxlAxswgQwPNm4D+Lsi
WS9qYGca93ZD7sotbjw+NimPAe16+ACFTN9JyPGSyU5C5/9gsT8oUhXktH5e+qTkjNnAgt6lZGww
DrKmRe0tx6rvPbo443GMHVjkS4vs/lCIJaGD35MnFeDmmBPneiQ4azjx5gRjS8R8KELsse2uuibn
GSzimf/tio5cymn0Li49s/dVe1sBUq93XcUQezf2RZ0ANulHMwrG0UnvkqaNa5jYNgTEYyUl08Zk
atGciIBwmohTL2NKpoAXJXGBsGcn5eB6oaGM6QnyfDaGmV6MeGsrcMfX9ADHGT2kAnqGb7vMPsH0
4tUVM2oOEYOIIeU0zayzM0mkg3NqsjWHuJuWyowGVvw2CsiIWU6qCKb1vhib1TnlOT7BjTewXF4h
0rpQZv1K5LcseWCF6MEPQdR7SfO5ng3sp57hJS8VzCVw+4XTAIUMfEiEy7nsEaWJqcPB5aOPvS6W
ueKnhFQC7cJi9h62uRrugqn0bLYcE/175wzWunOcGMqSYxTgUBMUvFHX+OJtrWIEhjnpQAR1xCVY
IHmZEF1jgXMHAH+id0Pt9awdXB6DaxeH4PgSAA3v3AzsjpORDrOGTmbw1dFWlb4fLcwUrEI5Kh9Z
sFkkiFk/ijlAWWT2F5VOopJYIwTKFoanuuGsaTJm1NuCgLHnL8KeZDBZDQXLYQ18xOEjNDWOIByq
jma2ba48NjWut3r7u5RgwiqcnIk3qId9nieyOqFfG5adAK3ypEmpKDbgjhPw74W18mbslqevYEjX
M1h23eHUL1ni/Ga3AeC5mkyWYJsJdIGgbhXaZcineIDpd6LK2k4Ow98dSvPVjjoeaZZqfAmYZpSC
iSxhk130znkNS8no8pBYH3Ib5aCaHEGCm06nESxfDiYvK0b0q1W/NQsH6HQ/+IPBgBdTPr2spmBl
sCEM+azOPfzQBc9Egz7Qg03Wkgxj7Zj7MuhslcwmWlR+/1wxPm52y2L0fBdEa01G5NpTU7CwfkkN
I7eOj+1yT7Yr2V7GufFTLfbNhDzkhvAIMMJGi/ID5oi5DJd/X3ePMbpjhH2Up8i5pkk29d24ut6y
9VE3zxfLtxa3mmIM4knuxIk6+wX2pMeOdSsGrld1a/0kFHPeX4CA8KlyCcCfrdIkgUNPba7vWsn3
/T6Xohh2jtEt8tpFfVxGWpvDyrddtBj/2FZgLhY5zyyK8qp6IO29qe4duWT6bb44bnLsUZZiG/er
DOkDOaPJ5771g5r0Lxn4Yc/eCU2AuWgbHxNYKf0RYQQuHAhhVXrARMC0mu9ikT/lfkGHkip/wHds
FnkQDYFI0vuyY/rOJfHJIfTVLBOYwy3sf1lt1r8RurAUv6iqwezcpfUWIhqmavTLTfVMId62+1EM
rjoIq5g/TtjcfUwRFGLXdTKbC9wXAwWePxnNg+haktY3hVcD0UjSxYDVhqW1fa9cBy+Tl6FvCY16
7NdzTCKiDJsscROUEnArd2BIsBm1FrbNaVKUZhM8HeT72uJz9xPTXIFOOXyBfEM5CKoHLhmWsVoB
Arc0ZLFMqiy7EC5R6iSZgyxzdctEH2TfjqiEXBzlYOCp4tG5iuTCC7etq4EPC7tWZfnFHm2dap5E
VvfTeeUQTR9KUR4d8spFjZIPVlfflYuD4ZbW77EthvaT4RGWs5mXOh8PRivxutPelR+KMuuYhiIw
zXagZVlAmRwU4pC6fd9ubJtx7dU6oI79vbnyn4P4z8zxrO8exB+fK1RxIdI4zZH866P4H7/6x1Fc
yDeO7fswpiQtIU7N/ziIO28kaea4JjgHIzu7jOv+PIjb7pvARdsmkaahxjP9rw/iwRumqZI1UPho
lz0i6/+cq9793v35XaX4r9Vv1qsJF+dwX5o0FQWaTse2vVftsZVVps37kR1i7+yWl+xkh2hYQ4Kp
bo17ckvC5pxDgNr8mxHor1/39bCSCUzSVzOjtGJRGbrcQuG8c85f9Ub+uNpvRqKXd/9VC+wvr3Lp
QnzVArNWtOPj5eryIxil/rYOYQtuUAPfqCdNb6r8YdPt0rf43iu+6mwGKSpqMtLq7aqeqvGMA6Uj
Ka6jimIZJl3rBz0+2/zB6736/C4BwUuWscMvpylCAEYk5Gk8tHsyBdNDvB3D4B6EbOhOkXl1ybvw
N97N92/yv7zHyMWEtB36Rt6rBqAHONfvbaPaLmz/UUnMdTg7zo9Gsa86xr9/kv98FXm5D199kgli
+YYiEtxSBKiOvMVdcnBgSG7ArT2lYXYyosuU3djXT2R07EHxncBNnutbPOxX37/gV33Vv7yVV3N2
v8lKfxA5QuusS+9VTY4KnCvvoFNGi99/KevVZft0kFEmOL7JQ2OSPvXqcYIbrLOiY9pXXY9b0qb2
EmYWDaC32b7bLogKfC8cX0qKk80PXvkyavnqQf7yysK0mLa72CH/MoiwyAZwKVfUl4UBrPOvBJx4
PmKG+q0fTTsr0nv4I5tsO+d7jrs/Wh9e3eS/vPyr/mDcNdWQD4PaJpnCv01QHRi71Ib9H6+fv3+p
338p97V0A4UyHdGLAG4dURJM9w0uHSqb7b//Ksy1PBOyludYr6cCrlCWULGtaU69swQonae6/8GD
aV+ehtefmYcKhd4quwpL+rdfEqmV1Pr/kXZmu5Eq2xb9IiSCnteEbG2n003Z5XpBdjX0fc/X34Hv
w7VxyqlzrvbD3lKVdiQQBBFrzTmmb5LIAW/vX/LH3kzXJIqsgZTetLwb4Vbf4qXZYu508sd3KYob
v31/nefmzYff8K5S+fCiaonsVbbWwkRfW4d6a+31rbaptvXu+2EWq877/DBlA1M9wS42YLHPl6qO
OVsrG/R6ziYsNP5Mfe18P8JS0vM+BGVGBCe8eixbiyEabaSRG2uV29Kc3bX049CPbgF0K4f8mK7J
GlnPn8jGieiVOfjJ3Wrz/U84NzM//IL3xf/DvSRzuKgwzWcuqsWb0dN/DLW1MeBefT/MuUXGMlHT
U0KTbbpWn+8lRRNrqqYB2eV4zNSKPfDgIsNDfCGtvx9JnL+i/xtq/vMPV9RQmS1hGKYuSm9AdC7M
+GCVbehjO/hdXyHMOr4bXNgGnLu+efNFQ4RgRF7Cz4PmeKSixmCudEmBVZt4p+qtBYzfIdb+/vrO
XR7qpNnNMlsTtMWnIUoyCilViq4FpHI7PNbmW+z/+n6MM2+5IbOfpBGjKRZ7xMWmpsMd7YUV3wTl
TmwmN75TXXVTO8Ozt0fMv8+vX5QNBVTwKw6EsA3qoJGaQ3bhUsVip8Pr8flnLO6qZaUcK9IidRu3
c+saC9gKfELkdrVjv6Z7awMLvnT5VtNoBRYmX+qzfr3Xn8Y3Fq9nYga0uSinwG8+xdK9rcKMf/j+
VgvuJ3Pj85L6aRRzcbMr4DAY6OURm2TO0cvKOPo7VmFOP/qhSU56o9uBgxv2j1SSUFdQLr5K7AlV
tjVqHo5l1fin6LjA7NYOVkpnRW9SH9qHWA0b8vvsrt83vmBzKCTkWCUhsXZiNaR8BtEOKJfFobyt
DplGdOVU8n/NMrN/SQarP6EeIUimBEjVIzfbIFCkT9L54U8/BIn1x7IFRkWHOqYkqJR2Fn0EtajA
GAEwjvLohAgLcUSTA1nWA9i0Opmb/yg2W/s0mUoCYpQSEVnT7HB+0CeR8IwHXYzds/JJgacv9BbD
xgtXdh0APVKBAfvcAgVHp9c9J0R+r6RxmDZg9ElxlHwtk0kDEOJvXBrtzkpatAxpZN7SHeNULCf2
z3oyIBXUYA0g5IwsDIA11tTQoz0YE5NioBHCEUDwf9Bii0JhGBvXFLQRMSkQhlsE1vdjRhvQCUnC
rp24nWSYKoV83yUJoRsUkmBOwa1OCF45Vjh6N5hg0A2L0XKsMkPWI/T8UCWlem/1VAwTOLlrBd38
Fu0qBSoSavdlJ6ebwBg6vMFUbYxEqQ5aoYy7ITWlfW2b5hr4SnYtQV7aNIK1VIls/coa5p6jScXt
r6ToYOy8eLrVFZEefDpbDhsDIgCnTrzUqhzdQN9AAYWA+WYidmBDR0P6MZnwpp2cPRGZq6Dp7iUo
fY9DaYpfEYQAGMQUtqU5ckHLa3DbSdXKLlaQ/oaCOwnQtZ4+UCgO36QkL3bGQL2PJhywmokeTG/2
iYM/h6oa6JEfIc0J12BCTnDYI1LN+jTPX021BIHsz0mP5CpAkV6hB8egMI5x96r2CYFTtoBoAnlX
XVV9QZRweahG8jXz1vqljm1OKUUufTeRdcWlEZVvJypnNz50q30ntPg2TYvySR+A0HtFFV6XGhWR
ImyaYysLyEBBI9J/UiFHT9B8/Jgx6gaqiQS+wJBQtBkSyTGyhDx/thdTwE5my7sJwDvCq6uLQfml
1nJxY0D23thkQj9gk0ExGAjaK4P2TFYMYllZDw425cZubaaQ93TCH3ckrmsvE66qtWWSamN5OBSU
0sSsMAzpjYSuEruOCoCA5lGwIToQUHeCQpRvTR1cRWnY3FvYoKONbWdjf7QHLP6u4sfi6BvEDlIP
nGr0c71V+jedUiu/62m0f8miBXLeGdOG7IV+DVoPLLEKyvPgZXq0TXHz7MOpmK54OgYyxPG9yEO0
lkNptTvgdoeLKMzpxiDL6IkeZH6yZak+5aTEPaqTmrxlacuB0Sp1IoIxugXktvLKqdUsQ2063VUx
QbkgNpUDhNrmAcU+kZt1MgG1RvuiummT2PTWEv+10br4Crak+i9MI56xiXOvWJFqDzkY3h+ntknI
D1achzu6KT9UTEB4yVv68AExR16c94+qPGgN6LUJSyu29Jb9QUNaoBlHMGRQO6+TNKi3Q9FPawDa
0hsiPvh9yKjI5xGiRZ1llW8jxfZfgPf6rQ5zaQjJy6Lvqbk0QTJnqhvlKkxtllEIDDCoNf2h86qa
BiVgF0IPygdbxbaes9I6wM9MN5CH/jQZVXBNXQ4+WOBlsFkk9WDBFLkH/zW8JBmV2dhTgmu9pGyc
YTja1lIUbWlOkRljc+gnIwFM2kgumeqZmdMMqnSYqKYCi8kT0uiHyjpkCF0BwKbjDjuUeqTJlTBD
ct3ltay3Bu2VVekb1tYoWtxDua9SPbQm8it8bzMlEi5XoRN8hFBx3ExwGTYsBflNy9GcOqFNMKdC
RyyzFInUqrrZY1/WN7pkj9u+aCAJqlG5Ex4daM6b6g6rFQ7GevQ3GMNYWgmX3Bl6EN2WWW0TBz3A
9JZCUfzosOtfUx6tb0JA4ie1Qy8ogt57yVg2nZhGF1yFopvlotVOgQR330Ao3HUwYHaWN1g7wDHD
wW69kQicit5lStuxIp0KqI7i72DdlDeNlNkohIP4pMimdM3MoSWDaOAGje07hpASx1A06xzB9Xaw
uvqxp4lyaKSxgvtdEo5Egnz1Fy3weFtJVfw8Wab21qiajZkpzoxbqeGrVqLnWFscAE+VV+YndVBg
rEl0FXKwW8SkVt1zl4TaD7Nour9RlU4PBkHH2y6oA3SYHgy7WH5psJu4IqFz6LDT6HHhj3W3HegY
/Gp7iIpxbIC6RxlwAwdMe/Zq9MgQQXsIxFpg7Ab44duYCsvBnjIN8SfPwzawOtH3k9BtCxjYKar6
URuHAHAYnr0SYBZZC1N/qyHtFUTSoMimg014Ijf/hS1ksTHDbKKHKVsrHyPuOuuJcKbXJjt9PwFY
9PmdEgrRK84a5C8kMLRxdSM/Tqg+QpZIMp6JkiURDU5Z2XQYKh7NPvO3mZKHCqylRH8Lc3TuTmHU
yRs++CIjJVmvSwLQFVCoM5BHiyWTFDpdVPd150+3oYjjjaKpzT9INqHK3evy54KOJO11W6PfhT8I
Y5AXGus8lNVnVbTtL6mUU9eSG1LIhBTpd5ghqn1i9zavo53eatFAgbxNbZAlWOBJLxn9EYVDBtWx
8vgsVMzbawtlCNp8o6Nb3Wm/WqVSr2zi0NJVTWLzNu2Lkt4L5derCkfRv6ImAkkxOuYKDCW4HaiU
4M9YZMKJ7gpKPbkXXiQ2/hh5t9Es0J4fgVMD07wiRMZzU3vsd1mClH4UivdDmgrvqQW6clUKw950
dKIPFT3ojdUayT4JKPbnfPnXSLTzPUAZDMH46HZDIhN9Qodz36Rck4/6nh/UkhaSkIYF06m6i6ep
2bZyzRtoxiAhzCptrqqpq5Edk6ojkTvz15Zk1uMYOI1nRlckIdJI84d6Oih10Fw1VVbCVUQyrRtB
tmlQ3F/FPRwu3UAzwXd8VNnzGb1Hq3X0XoVcqIRVDcFINkaKR3KFhVkU7hRbUIXrEE63GoY/hhSB
0crIEv86aoPyvkrH6C6o9egXmhG4MKopPZGY6B9pa8YPkU2mV6HbxxJ907Pul73M0aUMtx6a5oNm
gWPvenjtSiZ3lN4MtlVSricsJMQROkUZ1fcEl8c/4SxCKeZtmW6Cjqz2lR8RBQz1De5mlgd0yLvx
RkZrDmdZRvHQVzotboV3kyScoXlt7LLeA1yUsKYKdnYok/+kXjbd57CxrgR0VlCZU86CW9pg0X18
caumamvCuVM5eo6HvHn1NR9ksRwSaLCSYwvXBfKI6gdhY+WM7LfrbFPhtPBWPSgiCJUKHA1JjVtA
pVJm3Uolg1QwIW4jzKF/Q4itpGSnuAQrq1FvpVymYylsTiaiy36bJIAYa6FU9ktfjWKObgbylcZ1
81ZIarctW/7SoJv2W6P30Z06hVCugb1JO6IKppc2tksXBnz5xO5f/u31tjY5WubLq0lqot1glgOp
mqTET7gjaO2jvkAyBFknMJONPYUkKw5ErkyjRpDToJAMmTQEsipTtBvV+F8PJcv1fdvaRJi7nqSg
hVwHS2fbCeLQTAoQTilh0ybitl73eaNd1Tl6E8luugeDUw3nngo/QaFys4hTd7uOX0HFIkbOF6dH
wBT9lTWK4EcTcpMwzpqgotXiruIggVbMA0JE1XY9Nym3cpHxSsdsNobaBiESEwsZaFGwhjlhnyIA
V3tIwmRQzF5Tcj/ybVo3cB5VaWAdG+w9cXL2ViL97MYWQ/YgB8SY46yM3EwioZE+JBl8Hm9RoZcS
vUKu3OhDf11F/vRqRUNxPxrtsNYrubiyOztZm0rEpjIiVbLHTHpfmBY8q6hkppct0LFykN1xKknb
DHPRr3WtnjO67PqltMhkJPgj+RUSpXAMDCX4UbdR8MQ5JN0oCYwnFKDKv2Hsxj+BpJKjp8WquANA
qO0QjHElkyehkkjth3oAJWkgr9i1VRFCG7ACR/QZ20xYmHss3jQkhR/8Vfs6WY+SSrI3pEECeNsS
LCMnMx1zRU6GZhYy2z2fU1qg+DNpUKfk2SiTdS+kqr3CLMKNR9TjH/Wyke9bj/AxjZPqz4Douy2L
onAg+771ZGy4ul2qe+zCuMy7qb5TfEsius4M12UglCM6yQ6uymAGDhx7qg6zCmfdCKCWTmuFykOD
DOtVzgYE8xOJaFGD6VuiZvEz9ib/0NOKvetlrf/blmrbg2ev01+t3Oa3qaqZTyZajtuxU+RdqsJT
QVSq9red30vPPh15pH29qmyqFo8rtoMqfFDbMH/jnNi5nZmJhshZKz2C7JGfgykHMok9lupyE2nK
Td8K61cGDtaVEcFsJHsKnknxy3aeSaoNAY+gzioJd9LKgJ1E09kU+XHKg2k9llODZnQAiqpOo+SK
PpaaVd3WyknSM/UgobZ9G0FXOBV6gn3O3GFXXoy843lYOZOc0A+XbOs40HC4ngIveRCJRtc7zSP/
iTwJdZvoSrqpFDb2g0p+CBACtnkyW3Uy47JpLXIR3UHomIBHg0nrhhj/mNkNG2xHfudY5CCATBbK
b9SxA9l2TYkKCsqgnaImAPk87BHwzOG3UPNuZUAzO9Ihxn9knmgoVgfI5BPv7AkK4wRZUbcJrIaJ
4M9wAu4hMkHhBHnRrzN5SB8Tqi8QR+Oyh8SZIFqoAqpmjhmpIWQv8Fmxx+tLFkJE+DbK13/A2qer
GQ3gjLJq0xDMJeWusL32n6fo3l9YDAm0MuI63SH2/Xuh9/5uLGP7r28JagiS8O21PATSA7wLY8d+
IeHY4uUvVTAp1zHYyZM9iznws+uPounYiuPQg5xf2i/ekPUPIgQQnaa2jyeAfNc79COy28lz1Fos
mEYrJaUkSVY1MuHSn4DzdGPCdkSP1QPKheYX0pTkSS58jbs6FC+5meXHMhv8+6AA2zUzK7FGRlr/
TysCIKFIz/SN0YXSH22EnWHZSVmC7qn8wgk9HPG0XBuw6zqZcLO7dpd7lfLTaEp7jq3JbkltJvy2
tYprJJKaWKlynO6MljqFIQUC277QHTsIVUIofDFdRYCgdvGYSM8lYjCJE+ko3w1d2T+x67dIAIwV
zA/RhOHRouSlYQTftwhS7khDNk9QUwkNSTTphDxqmHkexl0EQ/CJgyxMr6oT+zDxkl3WTsb1AHvh
9zDo4siBK+Rs7nVXgFrCU1n23S63ZXWd+R5VLVVpujdFbazHNGpgnHthcWePCLeSYrCepM4vfg9d
q2WO1EXJU2L1+o6APTYEaQe0Vm0lsOYq938uq/jXVNqim1q3DBQ5VN8yMFp/jcLoXmEQUzdJy/Yt
1xr5N+FewXVndxp5gYiGOZ8OINVC7Vdn5/W2t81kXYxRAWoiKcD5Irjy2mTYiymfTry5w5FJzQbV
s8ersh+QGFFthuZVSe1IvkpMlGtdp8iCylTb9xElewcZDwolOsEHQ/gdAdNhe0QvE1LR0OSUM5qe
/pXMgK3bKMwDjjTCcM1o4NjF5xBNKo97ReVheIvUbDq1rMiwHEngTcZJ7AbP0u/sDia014a6OyHP
3xOZNTr1WGmPiWFNB1vpkqMfpOk9lkx12+Jj+tH1Xge+C1LBthkb5dVsJ/3FthCTa43nbYl311YC
HSCSY5X8vGAYa9LQakqIrRGfdFgYTiBVwwO6/+GngoBxVthJ21JWBJESlnUiTic7mGGqPNqlpe7V
yevvMZHrP1MioVHo1v5ukKXhukJegMMI/P7KUP3xxpq86UpPI5C3vST+se4FW+Igo+sxAmEOh6/B
iSD6Tc7ABI9DLg5n0ouFeQzBoBKc6tKAx2rIww8sDMne6Id43/I5XlXFQEkskHmLPcKgXKUepT16
SuPYsO/+QykFPEHpF7dKVjbrsY8LUNEhMno0UOENVd/i1S67xJ2GtL0DLlz9rgSMUtBB5bYCYLCB
LorgmG9iulXA3rzKLKYHP+yBzDUjllSrtOyVPhnthqyXcBOLlFUQbRIxkqVHJGHKLqXsQP9DHr1r
Wt8/iTqt7wBp+is7IO+t7xBRNlPPIaC1vb2MVOqpVAgDL6ZxcNRmVDeq3SOINKzud92r4yltivih
wB28AVKRPhnmGNxQWQq3eWsjyh4a4tJ9M3kT+nTtTaSejl1R3lQQXQjDjMIHNGao9AskomzS7Qmo
I1VZbNUlGFcydpR2VG+HQkcdpSXBgS2WzTIZ6odW0rIt5yI24QiJb0bqk7dBKsVuVMboS6eK0OiB
Yr1vQpyRg7zn73lCWalGWB0BamfbaSohUYiIrnrQADPt2lQVaAQ76yrUSG+sA2iOMWctFy16vddF
ILkxElCyJVjOIhVDBB/A9J77GOw0KZFcG1ziKpzyZGsn479cRuOoWVL8CNLmX9brKqTvoWXD3rPf
tf1pOynICwOr0W50c4hpGrDl21OkBtICRfJekQakg6mg3FylvTtWEKAp4KZ7s5OLu66KCP6oI5Nw
AAz/Sk8aTeBRgu9GVaZ70Jmcq1PtGoQS/6UF2FtU3gsT7puLGxt0ugULA/RNsTVE9jcC4HnfkYby
0kAFXQ9o+QBV6c26qHJzA3iQ4Cyj/6P0ebyjFg6oearso0Drsh0QCB9COeyuJubxFngXAmmqki6I
JGM7GDa8Eh8WcTFAO1oZFGDYNU0zmlDopA8GeXbVxnp/qmRJXyeca4EO9XOaDpV1oPA9VRElvw5S
4YPxsMtdK5EA7mlec1KbAIbhwNYj7snbyEM1PAEWgkQMzejK0ChNBWTj7KG2xhe6igvlFNpyS0EL
gnhKE/iYls32ImT2WjldRau6l5NTZ7zlqs0h8E/TXRjpS6/780jLlnqXoNIA3kpocPUnz14G+eel
NteyybUYYNG2LCYa+mZkMoDUbafgqMU/NVVxM/ONmHQSFiR6Fw86UcQ4fh7wPv83w0OGM4TQrVkR
97k/W2A4IR2QeCbcmzc5bnqZTwSV0hLX5jRhoy6TY+g1fNLHncwnqqjX3/+CMzdYBeBBUvesxoMh
8vkH0GjDDEOXx9VFBvlb6f/4XnihX3pmugC5g0+hobPjQhftUgL9YNbXQ4GZTW9XUWm9KsLbZEO+
S7uctMs8u9DVP3dRCsgT3qFZvrBUTJnRGOJjEbmbKwmFhZ7Y72q4+/7GzZrIz+1RHpgyawdNjTeA
rvfnOycPuUQWKINAC6OdD37XScGOyJvZ11pemChfOr7vg9FeZxwNc+PiMRW2TB8LVbmrxtd5f5eo
h0k/fX9BX5ra8xD8z2d3ogGZcvGUAMqXsqfM8j3jTxH1JAjc+9mBr8zGkiGBt8n2+/GUM9NC57Al
YI9wBy3UnJ8EEbAEaf4VSe52v/1X9ffgomVbe3vNIbIRI7oDlHg9XVGOv/VP01pZwfA9xm79oDzb
bn7hNVg6l+cl7dOPmafUB3WGB42q6zFwuZWbPzV7sQNydyj2xYZdw22woYxHtsQqOI4u6bp31tVl
Y/iZSatTk8D8ryPsEcv5NMVlJMsaDSOich8R5vwEQXHhRTwzi7hM3dToQSHUsBdTFrwtqAbfzkgf
zVdRRxrkgz/6q++f67nr+DjIYqo2U62VbJvpNqMKaCzZCexLAowzU5WTBjdJRw6sCXWhTPCbyIgh
mLHJxBEocvDLXjE6nmU+66QaOHKh/G4q+cLNOzcor7nJgjKLvPR5On+YIX3v11arMkP6siYGB1EE
jMbkqu+Hv37eXoVCeepy5cL376tqiAdmG4qC6oV/WwA/P40qJa1kJ0Exiz8bCYWyvRE742TcWqvx
mrKI7EK62eju94/w4qjLV3OSKjSnjAr0ZN3QhUTcoh9n2SW7l129JzrjIhjh/Vv+SW8yK3ugZVpw
UUE5vqtuPtxgMC2AHcewdJPrwcX6eTD2GCt31ba9sJiKM1OU+Y+8U1Z0pEry4lGqYBfGiazcd/1O
f+x/BC7I8wcCzp10k956zqUbOn/Gv1wax3ZbE7qwLXNxP2tC0aHmcGna1t/VW6rXm1kZ+B9iD+ZF
zORQizie/zS5uM+ThYRfzrhSXbp10QWrLo9olfTWjRJV1X/+MoCmRdc/7wA1bOyfR8JnIYcalVo3
l+29Eqg/wqQ/ssV91HXShenN92wHrQuf3HOPTYDURRVsz5+qxeVFcjrJasJdDMX45KnpUzSoF6bG
uSFmJq8F9Xb+NC22g5EO9MkyiSiUCjq4hmI/0cm/MMaZVdj8OMbile6MAKdOmEEGUlDBhPkhqK4p
a37/Cr8/geWUU5hrCkskADl7MYpk03zU24Tgz7KVT9VkJr+0Mite8Y6hvsJ/47bt0DvEgmgbC0L3
mgrk4Nb5VDgFcquDFfQ0Ymv0RdT7h41oLEA9oZ/ZJtReEz52Y4ckFfRjuQOPGlx7pa5f68nQPkpo
2S2nxfv3lvaZfmRx6+6zqrDcZqq69TQMyk3cZAoZn6KSNkGrgPOyKyAhccrn1Y/RrQsDU6KnG5vG
qP1/ViKX12oeNn/lJoD8ZOver64JglNDYYAIOJJw20EivFGPsxs/wNCFixBijvCio1QVKe7VXpMf
RNYLvFwerX/JmA5l6FecjoRGmBNqDyDJ6cOkwGws646wPDj+byIaix9i1Ghx+XkRwMDtjZ05hN29
Xhnilfpt9Bj0VDum0bIPRgi1Jht9VPiCVgqrQffTQAWw/v7Rnp2jMw1nllJ/1XQqbZoZdsaTVegu
4qBaBcoFNfXSGvO+kPCeQYZmMcHVs1ivpCxMQnzLJJRt4mNzrbqEULnGS+wYq25t//MdYxe6tjtu
//Mrs1SLPjpbQjZDi7fPkxRJFJJeuL2QftVJfejz4c/3Q5x7+T4OsXgtCsi9Ko5VusIqvIccDd/v
Sfz8L8ZgUVQNDZIT0JDPiyP1pqGrY5JgPezBRvq7io2VCZ3uvxhFR8yIpJ69gbawhSQW/giJprqb
0FVs6lUAwCu6sOKevVumMoPGBYCc933Ch0+yEZPTFlh94Soo20btEID/9o0f31/IuY8jh08Fwgok
SUOdf8SHQQqo3HhBxuL94yh288cx2BUXP45fRe18HT+Os9iYxkUh9VrJDUNml+xBBzj5zbRPNsop
3aILcMwD5g6iqfbppn9G8OB+f5nn7qU9l0zQ1M/OlsXMo8enJDHFK0S7111zV6EgGePH78d4/8Iv
V32bpJQZFck/6mJSxH6bRpGdZmwX/fsBB0R+l7mRaz6nW38b03xiA9dB4kxd2SWG3JH2yU21IcTh
0goy38zvfsjiVZYIlxaRxQ9Rb9OnzoURsPJ/mevh0LuqM26QQW5D17qwKzn7iNklW+9nciACi3VL
lRsvx6xPiNqN5YBuOPbr8Op/gZmeO+yAp6wFwCnrNj7VJ5Qnl8Y/tzR/HH/+8w9TOWxyBQcz66b3
S+SrcKc5SIzkQ/DY7Out5BDU6a6V25RHsZ/5Yk7odkeOtevvZ8G57bslI6LhLM920Frqw1spSJjo
1f++Ud6w9w/Nztt0B1TxyMtwNlqCzoxjXpjhZ67eYgNP0YWZB1l28SIrvddoGuQf1AAR4eA47NNL
N3h+SRbTimQ2jeACKHnYNxf1MsCcVo2yhwVpGzzO8zvhsRb79hiurT0xpzeziHNF/uu2vS2cZJvv
LrmzzqxWDKtT9uSYrqrK4hdkBWDDXM4K9GkBAHM8owZ9VkLj0hr2S/Da1v4NzI/N94/0zOLBqERf
80UhgGD5SYF108/Oecp0ZUaMllVtJ9OiiVlJFw6c554hFSDE7ip6MGEuF5AePe4wBbO5qNoi5b2G
7rj//lrOTk8Bf1jlU6/QplmMIdm9AOzEWwIexe2fBA67btesEBNh1FLXyTrc5M/fj/n1/jFfODXQ
uGdPQ8Xz84tpIdf0Kn/mRLU2uZlbS+sJnTz8F4NQwWd1l5V5A/N5ELMGvmo3VATl4reM83+AGFv6
1/+/QazPg8iB0aA7ZpCIMHciYHINcVVs/sebC+4XRUVzBp9RIl+MwuacraeKyos83OvMD8kylq6K
izWVdyPZ5/d5HgdzkqYoGofxxWeiEg1CnLlS27jRo4adBNSnaz/Hh9yJHVL6XksX9ZTTN2siEH6Y
l2bi/ES+G37xTQYUZI1mx/DaFoZH5HGMcLFkXRkuQN77cpPvyf5eEwCe3l4qQnz9QLK3FuSuyDSw
OREtrlyB7qYZZpq7aUFbr8rT3yLysZaWtHy0/sLycWawGS864+3AharL5UOf9GjyLJUs9PwJ98yq
SR6rAML+pRP6mVcbx+yHgRbzRmtiXdFKHNHDxv5N68wN191Vtas36V7aViua/z/sP9+/EGeeIXsq
FTuYKehjyPO1f/jmIjPwDGJZM+KgfEIR3kz5R8bSqAFE8S7taub9w2K+CJPdttCws7J2LeZLH0qJ
6aOMdJvNhP8sXYtdsJFP2sre5m7xt74w3plLM0kQokJOPQLj22Kh9EQgcn2kKS7nv1WkQw3CjDnP
uu2OHDMvfFvP1N9sokB5Cdkx8H1dtmlKtR/4tg6Jm+xnaKfYaftmDcrpcKlMtQRncrxEQP3+wEwC
QL/U31CHVppPe51d6hCuFKiZ9lpsB6egAGdQWr/kl7s44GJaltVUqGXMgJ1EHJyNZUItNigx3Hq8
M4l7CfOE+FNvFcO8Mr3O0Wp9K1q0/t9P1TOv4afrXuwdfK9VPDQ25NeBDxrxJiSkOvTEVvtycmGo
rx7F+R7PnzoWV9bxZckxiLR2EOSKv39kJ7dezTuk6IF433CrPXRrogFX8puQVuX6kg/64tjzJuPD
KylPKbIAn7GzazYQ+AdX5ibGQFys1UNy32yD47wLn/2ul7agZ+/wh6tefOfD2NK7cmDkSP/dTcqq
0ZAhxK+t/fL9kzyzn/h0dxeLThlD4dE0xoEttDUpUReSa9Xiwis5z4dPy41BDVKlyWErwBWB/3++
j9pAHFfRxylv5Fw2bnbMSuADl97Hr6dGxlFU3krO2Wwzl3va2CjDCHgbOCAHnw143n/twdpqr31J
YxNC76698V7I7tqbh2GbditNX08QGlecH932wsT9subNvwUltMbmmt3uElocF8QSJTP9IDShZNmB
O0HnroxDDoFJwpH4Hz7HxWiL+TIOROZWE8XQWmbrWXl3qVrdh0398P8bZjldsEUFldLgu+qifY+A
DVW8FDpRFv79bwbSqf/z4rN1W6wwQdwPQ1UOKeFHt0321Cj7Ivj9/RBfv/HzPQPcQwlSofm23OZ2
AltwN/kpxUHF0RzzFt3pZtrRQdkRkHkfreLNpUPXl1PJYsjF+h3LCmmLaQASw2yezHGkBHzphPVl
5VgMsbhzYAEzZHhh6noljtDG4OH8VZA0NUDlvr+BF0YyFl/1gr6N3encvzaD34c/13qKKgynhHJ+
P9D7e7tcPz48qeXuujen0bcKbhvpCjwjQqP8CtB5/Trtw3XgKid1G5+y9dzLxpV5O9BOjDe84adu
TafPgaj1+P0vOregffxByucFjbcNdDP0Qfbb1VwRWbcbaavsLi1oF6bLsnzdRdZQpinPMmrETTH6
bleNm++v5MsHgOlCl1Ket2bsBpe9qAy0XGQjL3FVa9qaCvEI9fAv7XDBfD/OPLOXj3DeLFFVYiP4
JdkminJrrEuVTyns9DLZa0W78vVn8piD+p+vXwAsnHu3OSRQYMCZjw5k+SWA/VKCQuaLg/NtInCN
rJnaeUdHOfk+4f3jqx3eXvpqn1nzGZV6CkQHiDPL44nRZL1WICd0M1JYVnFt3cpxc5B0KyBcrdjX
mdh/f1fPPD320+Tb0GWGerNEcIGMk8rBBHYD0HVl6ccKDWjbXFj0v7aZKZt/HGUx24OqKxIqAgmz
vbvWjFWyyR3MBTvNnYN7UPkhVTx9f2Fn1pZPQ6qfX7BAbWvD6MbKLQbdTQITwN9VoxKSY2cXJubX
PfXi6habE1y7KATNvpp5JtOm2ccHGnyr8SedunmSXNzanXkTPl3a4lNtFkYrjQZMGjMO3nQ5XmWF
tB5677WGoVkYV753YbG6dC/nP/+wi+0tjC1Vy6xshujGE7dlG7glZO62vYAROzsb50wCCykLwof5
9fgwkK8nkEdJ93SL4hF44soKyOx4/n5inH9cHwZZfEL9QYdOQffLNR/Co74pt56rrYaDeiCwnY34
pSPXpWtafE5TBLoDIm9wMPJR6V4m6STs6sIU/Cramqfg/13TEhIUo35GBMwgyp1crfJjtVEOEH3X
xR4L10o8VzvpBtTleD0zoMTaewvWl5au8ysmMjbgViDgqAovHp4xqHqfzLOEkA0rRjHGC/6YrKDD
WHiM19kBdHcOKuzCxZ9dMz+Mu5idmQVd1s+ZNG1xzKrYGcN8I1mnlKxQcmgvDHb2aX4YbDFDo0nR
RrnmIudeYJK8RGm9igPpwijn5+iHYRZzFMerGmcqw/yvpJKQmi3WPFYVe9ttx92l8srZF/zDcIs5
KistfrWpzHg+v3WMWhWFACNcDfmlM82ZbQ8OfQAKskz3AtjU5zmi6uQ94IGpYDHO0sJmN0Pk/qtt
D8PQHKCRqimUbj8PYxBbjh4WTHJUydg/cEwL/T9tD8ydYBqYyHiQrrNWfR5Czgm0SeYKBq4Ep1R4
QiQAf79SnZvYHF4EodmzxmEpLaLr46dVz14D59RaFjuf8qiQICkMryMMx+8HO7NTBN34f4MtZlwx
DHAeagaTCI8y9fInIZx/vh/iK8iQe/ZxjMU0i0bRG63GGTP7qRw0h57sXy29l/lqOtM6W6cPPoFS
pJo6fnPh6s69th9GXtYP1RbfZxtk/8PeeSTZjaRrdi89Rxm06CHE1Te05ATGYDChtXAAu+m19Mb6
gPmqi7yMx7DscQ/LmBV+XcD9l98p/AVNopX20EnXiyY+GeXDNeTyI0ZBZJS8x69nwpypzpngFft6
cs7Gwpv62f/zEn70oVLs8n9HuLjrjMJxskRBW4wKXRdrkRZHJNNS8pjj+MlQH09GJ9iKsB6W8Prv
P73FNMcjUWOj/diBS4vCayX/xEL7cE/Iyv57gIvVMmZtpgiA16FFfkgrFL/t3+yw3/15xT6bxsWK
KfTEVtYqYdmWD1aNglCuf7JQH8/DwvVh323wmxcLJemFEZkV+Mk+v+NTndeW+h0Ums8+0d/j0uv3
w7n690jqryNRL2aZACxWp9E8GLs1VQhmlCqNz1Iyn03p4poWczxJUSEIt0UIUojykGrOPgmdT07A
hxfcT/O5OGIOh3YeDSJc1qx+7W2x0yJpArKiXSdhuTf17tPi9g9Pg0q6XF35XFQU/7qCKmw7nD1W
cNzg0SFXkm6qx+xL56W+5OkuguyeTEmG+tJSG5BPD+Pj6ufFX/55YcK6lVCZcLtsHijz4oeI0FFo
b+JCyk/DIR/dZYWDbbuzeUPufvaym3kfH+xPzOsPZ//ToBffQhlNiDv0BN+QCjf2otGLKxlw+WfW
6GfDXNhIBtBxvR14SgznXFN0i8jEn7/pD2/Bn+Zx8VaJboSDFDKPuBgOZZd5WtUc+irzNQA8fx7q
9wj+j42iHItcDVoklzVZKPhojbQwmdWqRdDer/fKifNyPe4geSoeSMBdHEjv0s1nBvXHy/ifkS92
q9IWGvt7vo7GUV+jZezdNG/3f57ex2OQJlhrDTHKLu6uuERLfijrDsRleoiKZT815icX8O8llOsK
OvQ9GSasISKyv35z+gIkQ9f55mZ8kQ1tfV/WECnAyxsa7beDb6Oe2m4jX9r8mNv/F6b/H1QyO8RK
/3tC3M3X9n//r1/06P/+f/xbj978l2yi3OkY2ClrKSDb/m80nP0vEp7ckGzY2hBg8sb8lyK9+i8E
i0iJ4NnJ9K9RWvYfMhysOVJskJdpNftb4v4f6NH/+vpQ+uBYuJAY19gGJhKq66H9yfJQ8gU3AcqJ
28rOA6KTuQe3fUBQxHr5aVFu/g4e/iwN/+v782MgU8URIdG7VuFc2msqEGMnrCBG1LYtvLwob0Hm
XhPPaTddnx3rRPkkjb1eTP+JYf4Y0CLtz+e2NouCrfh1ZkXZyNEokLxbqgKlYNN6z4fpZMvRfdTV
CHZwzShx5P95lh8MChKdbgG+Ph3H/OIeaaHJ1hgjkF3tTo/cptFDfwZ24aLbU+yrFV+CblAFXWf5
LPz8605yRsCgWwYUQQohTG7Pi52sAJUN6BghWbpUL3KXuNby2lny658n+MEoawMLppeDFvRvhWj2
0DZLF4aQoup3MYGbzL9okvnJm/P7IDqJHgpKqXagHvySO+7MCXyfEQm+sbf2Vnquo9ml/u7vO+vb
9D8/RjF8PAoq+mQ5V9XpCwsv7XOk0WRktEQrNrNDqah+Z9bWJ6OsO/6fY7huyzoXGiIwPRQKtNYT
8/MHVneQ2oRJ9YvyhGbc1dCKa0tcF/O3P2/Mxevy9ziGTSHYWn2p2xc3fxrGU1GHMduvOUdjtnYp
oKlP9uUyVPL3IOw6TxifFkj4XydDNC/q2pbdVyYDeBhynbrm6Xp3rnQNxSarzwIz1LN3OzSiU9x1
livC+GGJ1Nkds2b0/jzl3zfQoGZ/7bQl6chXfvGgogyRmE2mVqjwIWTblmvjkakHU4Sp9+eRfl9c
RgLRufb/rLUqF5sotaGa5hRCQvJK5lMkgVuq4ib95Mb6aBRFBfhpk4tGNuPi8kjifFLDOK3pwdYI
4hnxSzyVT/98JmjiE0ihsl7FJv51B6XMiJzZBnupihJlfBmp4+7uz0P8egeuJ56FWmtxmYrJal0c
kqbKIlEo3PRaFNX71pnSndVPig+crf064xN6WZuOIboPMKb+PPRHK7iWHvNwkvDTLvfJyeJwUiay
SAWqfcHoSNMu7zr54c+jXNYPrjNEhoB6TiguFKtedoyMaRclxvqtraWk1FsjgVGeZ3FG02X1bPBq
TjGyC5mnDH6bIYq8EW+fWay/3yv8BmrBKC61yCVdTnXpRY64hMPtlS2y48vOsCg07rcxsqN0qwnX
ro3F/mR9P9haavl4TX9U+ZOC/PX00BzbR3XBxRxLyrc+RmZYl58gg/pIBz873D/uRCfXn1cbp5u/
+usVimmCOrPBzUay4tJ0EFNqhin6xW5nHJMpCPXtLKE+VqMf4vK/bcuriueyfim0JhD9e1gTTR1j
XyKy1Vi+vgLIHfrJZi/PrvORcr1WpRfNH+1Dngu346nUpIc2Wb+73k8Kr4m+IFKIQpzsIQu5yfK7
YYFEDsF8Gn25zILQDiorABVv1IjgjLRDlV4+rhozXgKaS3SIEO6Qp/IKdGiUaRMWidd2xsnukiBy
ThLd+s7X0Tb8Mm49AQM1onZijuIAqx3qpJ2sfTWh2xZNUJvIK08w7EI7P4khbQ4FIriSRZhI+mI7
+xyZMRrOAiSfoai5bTjtkEPZRYPxbFSPAmXzeFcBz9M8RYkg2J6yfj8r1/agu8gB+YuKmHOqouMB
gTC/1eeH0Eam8TGmxBAB09l4UgYRRMWjPprEwHZdcSumB/i3aRx5tXo3DKD7rIPIKKNuNLdZrk35
OhxK11KusuovvUopbn1sJa7LFonYKIBA7COL5MdOtLHDb0uXog/zV2ujTX2VybulVWnNg2wpQDwY
26X+ZkwAx/qv2XCHJLEjQrfIGnc0Yq+XG/S5nxGOPOg0ly8r/3eVXyL/sWTnEQngodigDK0O3qhz
GcBXmAx04H3hvCIp5bK1+6mUVoKcJ6HLnKo7VUMiR9rq+SajUcFOT43lUVQfhyijdldTvhUihgx4
Fg1Kchn0vcyvokeDzSdkt1wL+V40R7StZOetqs7IRapImCbjcIizyuvHo1rfRv1uGGltru4m3fbM
8SYctxGqaxFpvl660Qd1UyFNrUuvKrWezpOKYrac3Sfi62QGUvgq58iNopr6PVoeq/6kOkRZ3Xna
iv5gZndRGhj5rZqhc4pceDK5HfmZrvkyxZXXpm9tW7oNRSZLkgSGtB+nxi2tfdHuFrQyLeeIhp2f
5BSijFe1vrfyzIsN4L4jL2xOaQr6vnX/xRiuMuEWFEYlDnK08+vifK/Ge4SFcro8sqzcTynIxms7
/2LkRlCXycE2Afka0iMCAIFE1ThSiFSPrwKX+Q456rw33RCdIo73pjYPo3MbNyzBGG4k2t3NWfeW
eHFpSt8lchGgzRWsYut5M/q9eZPByhoL+zyBsO71BvFhtNrQ8mph54bXKmockisvSBhJb2o43TTD
GCjtrqTjC01fM/0vR/i/NSo/uqtMOq0oszawEy77rXRzRtQ4yjH4DVmkfqKGxIzjMd6HFCBoVyF1
X8pTIxzj8c+35Ae2EP1yFhoOlE+sbs+vN3Pdg76bTXaqmkW4jwVvBozXtH4af8iY/j8MBt1jfdx/
WEQXg+lth444RsRgmf3Alx9HZEsUE8ICVs0/5F2tr62JZ4OOC2lXqpTWqf9kQQN+HbUxjyjTTc4I
9c8Uk/55Or/vGUI4a138aqPbin5hsDiz2hY6KmRu3VF0vyQgzSGbbBqr8Ws12SRy/xnq5lLGhTmZ
PGQUyDIjnWTJxZwMNZ/lanWj9Cl8L9PpW8hPDJAruXMk6R4WzGm2i7NGltfNY+Vxqcor3Wz/WVMH
P4LmSlwThCX0tav+IvIst12dFTjlCN0hQ/em0K9vtJ/U9vx+LhmDrlT6LUjUYKr8unnTkAvwpBow
hhUFM4sNZtt+ksdPtlBZbf1fbQTMWWaDgWDiCugXlknUGbrZ41m7HY3u3qhqKvcz7Yo76j3VfZ/0
yU50MMcJSffbrIiT2AVHHMfeMKSfWaG/m2aMjyfG0mIqEfr+dc4VRNI+q7EnRiuD+js8wnJeXAjs
e0r73v98dj9YXwPNIXrujTVxaV/sYSIlLTr82EZzw1HNc1hFCwLRPtTOz2Sj1iW8WGJyyeA/iS9g
4l/Wt0VJZlGWiMWpxIO5T1AOdIXMU/7nCX04isJcuMQIo1za1gqyelmdrYeSyw4VWIGeP4/bnwf5
YNX4gjUDkJWJ/3/5xWuLIyjg4EqhTwxmt+pL3YSo7dufR/lgKpTE4qGi6EBrw+Xe6IaUNtY6CqJp
QW5YvKCfXV0fDMEUWC4gSxAsnYvth2Kt92rNtY+IKpqZmX025c+Qh7+N4XCIWa0V5kQAT7vIJItU
nQwxccR4DHZ1ZPeuUQ7TJx/wR4MYColcje8XD/jiDiY9WShygktVjIIOyzIRvoIC5j9LylDQSAQG
qRd5rYpYmzl//TITK+mgbeO/LMt7rN22//i24+/TxoLXS94QebWLWXRKvaiVRfhvbPLs1Nh96gpU
NzYZxZSbPx+u344wv55mVMb4kaL8kb/86VV0oK1MSk9caTG4TZHcvi6G4rWUJP+fj7OWKzIpRiNS
/euSdZo+jnJVobIYCqxjI5R2dVEmfgFQ45OhPjgD6LogS8fS0Xl0edCMyuhVI9cJlUVX8gI8nAKj
fz4ZyvmwkdQffXAX+98O6Tw6C1eY0yj+mD5r81eCCZ8M8ps5QSs8kV+SjZZNdZ19ESxq425A7plv
0rZwKQc1iIEuqzRMCvEiSc0no/1+DhRym/Rcr7Wz6zPw6/60ukA6D9YMoyXXFPPuWhMpcGpY/7xy
v1ssa8GxQy5ifWUIMF8sXdMmQDFylm5qxpm0eze86Uas+XKLu1YQoK0MvXRNR8GqDucJVnUL1GWE
zYBUcfPw51/z2wvrrO3eVBtRqcOB0dZ//+nwT7TKWSlavq4RKc9za4YuYtgGKADtASr2J1O/DHog
ckFsnUgGgQ92Vbv4qCURqYhn8yJZLXGW2QFKps1Xo2nup6JDVAE9LKv+5KJi53783Z/eW26pVS2N
alb+Cbv+8pFSRsXpOo2QQIUSMMSEcdBK36xHSQrqOK+l7VDE1lLgOom+O+urbuqTns8GLMoGHXTZ
cEXZ1cnOKBV99mAgIFuOa0x3n5/E8lg8DWY40RwFUEedkPk3oB7Atqd/K3KNehoGnl8yUMqOdImU
7xPJcNQ7BTXd7gEBy648yqU5Lm9pPOholtozYUWEchEnthDJN6P0KW6liTruuQ6HnUZwOHrJOxjj
28XR6vqM2V1PZzgeTr9VqKpNfwBEzORkZJE13uh1W2dPRWqUIGaTLmwPQwYz4aCPsnQVjU4SHQZr
QqUZYos2eFCVUs3VhCErntTLSkovCnLLTgifZ67MbheHRpoeKA6QdbdKDAWdpbwBmZCYGjkTivLy
KgDyvpzHyLHu2qkZ9Hy76JCsdE1y9mM4t/usV2VX6VQnfW4cJO5tNAeciacqsdUhcRc47qkbO3bu
tyHy5SBZ1NTPDKA0eyBGxGAkI0QsP2/RgHUb2Z4HuAjoOrvDrCiHQs9T2AQmDaV52XW5p6O6Cj5o
ajyRRyHQTWQzXVhY096hrO/eHmIUjGlXyq5oPKi3dS8AL7VzAi4iTyCkwBSJYKH7cT0uvpYY8lVn
S/SP9ozLBsZIKEfNDpF1RN3h85yaKbUCXZJRtrMVaAtInIvNYNMNZecWok1M9thQVubL+K+uAeHo
bGSVfJ4aiS9RKSVfNqw4UKPQ2lalhh4SXCm/62kzzKSWig+TC30iUxHoxNOvqzbW9sNQ0ncf2st+
yGkdmh1r3oKoSDaA6HIvWqCCKFi116Zlt4fZYUHmripuamWUzjjXkArYyyCN027TGOHorwHg4yRn
k1dUxJIsAXIpz5bhjKp06WkAQXzkbiG0CkP9q5t19T4pY+c+M1IiCi3yw3nqyF4Ht8SzhwnbM9Kk
Dd5jfWSna8RTBuetc5r+0I2UOmY9WPlW1qmKGHvFM7RBPhZKhXBVJU/uGI8IrmeG5jvpsFzXfBz+
VCLjnTXJ8uiojXEw+kW5n+a0RzMbWb/CqhVXTTLFRb4+ZCWd1Iub2rrSJZ1IlbRIB1H08jmij8A3
CknHcC27YykTE7HiPr/OpWXYpksx7gonlW+iKHdOaa33hzwdbMSqx/5kRJBGWhhNOyl24HSA7tl3
tiF2HCrYL1j422xxnOMgO/HJCts3HRGI7WhP4BU0jZVruziwpVH1UsIyZ4iIxL5T3bzjb6zFS9KI
D6vLd0uhdzsKqMRG5WZ4UwHPoENvp5skE+mJZJWJhDYfZtSk0tVYNM4ht3j0oX91V7YdN1+LepGO
htrPYAaV7mqZhoWCSVvd0dfWBGur9Fmay85LKJ89qNlUBKEmd/ulzrpNV882WBJFeZ2HguCf0Kzt
Ms01cSeng/1S1bDC2nHZzlk2vwIxSrwqaukCRkfblyb0coRsoAhUlcZTPenKLQVGxvfQmqMtovHj
Ia8FvQb5mAXRTFyVND2V3yjOnlJUybYjd9I+74S9V/pI4qYzYwKPqbatFKU+jrnUbI0os/DxEYRI
ZyF2SZSOd12rz7uY3kC3bVNYkwLCHXnx4mjg1J5QDJ+CpBnqd8fgAnFleo3SDarTzo1SZPlXJzbj
2GWBlcO4NO0RmiOJ9sHK7K+5MUK2qSPlhi1qj0YCdacubOmtU0tjn4J4S7yy0pHFyMwaKEHfvlpG
SjuH3q7K3LEZ+TgA+TdUOeK/jGWUFd5/zbmqOiv1K76pZ2V9PdwOX3sTo+XxXBk22bKprtH3nmMt
egYRU8h0HI/AxItCj46S1cqWqzVNa+0Ik1gPiRYbNN1UZhnwjnPBKJHdPpRTkl6BCXseYcdsUI+3
t5KqEnRWGv3b1Cb95HIwrBNhlvJlCsfoUQHV8tQmhXm7TEu3mYnCPEnzkL3GFSIybknjfgRdIB83
aLfDQomM4UmkPQXZPPNL52t6SkRYa2z9iTRK8tiXxWucRPN9HIfyET22LZyq41KpHTlpzXZ1uaWj
2JrASOonGGKexZPZVOa9nsoQJKNsg5G4z0T1NdPlje1IkT+H5rkodV8bSoiJ9tWSL51n1tnOlrot
yLGdRZbV0+3CRgGvfYCZd6IW5IDUKL3/WtIg3p0/J6q2iSz7mqqi3I8bW3KTegoWQH9atJiBaPNy
HzflcYyUguj0ZHuJYx9NCdYCyW47iKESKWl1NxrNWLpyWcp+3XZfh2lf0vfoKwuZpIgjF4nTZIx7
06ie8zl+XqQFFBFwPS8rk5NuD6M3kKvA3Ns0jb2T640eqcdR/aaEZY9hmBg7W2dwqTWOBMMydwae
Wjmx1w76/SRmX+6LqygUO5G2D1gJgTZb/JrooIT57TjNt4tm3E95tJUIpljEUaSk2Qwazfv5fJoF
/AAj0b6Pg3GFTN71EKZgCAExpSbaBa3lIwtbYMYMjqfOTs6viLBKDakigRMHMoAVTusaABt5vNKU
H5RS+jWpJtgW26aUovlK4UDhSTAm/SHrKEmrkfhrpqBWpe8TAD7XmRBJNwei2hDh3KTsvhuxgWJC
qb6qyvDX2IV3Th8R+6YEfzGul5hrC8vLhXVFZbSJcHtCK5FSji8t5caubEjPZtnz2dTFazIS3Ffy
+xrZH9esDLcGXSADHa2L73wimy7l7U4i/ZBNkhcWXEKaZD1TCsILnjVvXdUHAvMkD0P6ZMekCIRU
nYzQTkngQz+anKAes/0UN9s8it8KVffLVHIF/Ba3nztuNBk1f9KKWh1YGrmFhDzJDBLH7WryHr0T
7QCY+DC7I+pB0pOIajh56XziSAYLoK1ygArZZmyyUM/9oO91O7tVYxILSUZlTthkR3CDvKo6yVKt
0WdXm+2vIBWCQR+PmQNMsEGU3JfjIjssZTm4cVJvgIbcF6NzBzRvdKPYCPdOW0k3jpM6bmi1p7ll
kqhAVQKjUVPdUG7QPXgXLadQTjwlU75IVgIdlXsfneD6blL7b1D3yKRFAo5FJL3Yk3lf1EJ2484I
0MLYxLoo3KwU105qbp1BA8y1sFtitN71ZnyslvCpULpvc4j11tjdQR2+tdo4E5KJt0t00kOIY+pI
ZofXCtqnKv4qy1dpWRZu7Ptyts+lk22LxThq4r6w5MlXqsgbE+LRXCcn/oM7buWEWFV9Y8riy5Db
T0uNeh3vl7Y1kolzmMgvaaZcj5N1trvxrxiKLMRtuzogJP9Q24BX5Cpza6BrHk49nWu2V8TxsRBy
gOO/48KG+Vt5TSuQney1TVyqT9BK4BTMvF5XRlV6pXPUl/6lNIWr9tZ7mEigwNpDO00HM9Wfpxqc
IOiPEHiAYUkgLJJzF8k3ViTcQSrOCcE8yLXuYnPNQk0RU04HUevLy6OpCBfPc6tTyS1Jxzm+bpid
gseVYjSS9/PqkFxR7Bo6Kg6qhfhVt0mrhp9+lUflNQXubjXeNEXpVQtUHBhLS0PTMS3OIh73grhI
1EFkBqwxgncYliZQ5fzB6fKD4JJTSnCluUSwXfZKwNPuBPdJa3sSwPqtLMFDW23z7kZEX0eavtLq
UcUaaQHIOaVx14zZoVdVlwPzJE/pYVGdTSoVUBSQ8NSm6DQkX430LgJb2TcgmtXpiHQDkp7FLg/t
bWWUZ33Rz7b+3tM+rJA0zZ3ZnTXJdUj0ttZTyttpGsl9Gb3biwMVUTzMufm1ab/ZEVrzZRMjRo1I
6NhZm77FVbD7ICvVt9qQ/XQi4N1ysURvJR7L4MDlKB6h8zyMLWyQKHcrydplieGlGVKbTrjNNM47
HWyJrH4llOIO+ZGfFluwO/L5IFtPGNrnsqw3c/wVa3xDGepm0hAZrkZ/6WpSjEXQlSB99CYILWc/
hZ0L38m1sRlVQHR1UxwkTI68bfcNVFZYUy738iOG0X4kMNOKMBjsUzrnGyUzvZ4uUiEz+EA0be68
GfkioFAQ/d5K7A0j+itRR7L94UYRwrftaAu356DKr0YJ/GXREKtqN4kGm6h7lbQTETW2HzmJ8WHW
0SvmMqzbreqA78IvKixlJcn6WcvtTKapU7ptgygveKuroXoqKDzI6cL24/iEuTZ4nfbezDx7PCt1
0bCUI0mxbTffq8MpF/el2MlF6Tpitwx7eJm+ISFuXYYuHv2aE9mmmJBV9I1MAvghJKCXO4mDLUuZ
1yphkJmHJa2ubL3cmHkJ+yn6QgHjaYb7q5ORxR+CL6aU3qAOfjREuz5XHgzYYhtaFGNyAGsFyviu
c29GeerLI0Q+jUCU0s+boiGDPalL4rZdiu0fks8X9WGMrBOJoxuiCJFbZ62nVu9tO19301kygJaP
4VFFq2NKJE+tIw/8Byngdtvx9uri3gqBUr3ZZFaFCsOQcLHQg0xXAmHiIWqA6wqMTNFsZ5xh7nTP
qcztEuKsdYYX1sM+rw0AkXagkA5Wl/okK197XcCEoUdAUnybRH9FyAPG9m5ZoZEdeWVnL8Rt0j8Z
NLEm2TW8RML6PjbwBlgj6f3i1NH/rENLwkJtkKhWeus2QyVNq6/75jDKDyrfokLDJJ5e64DC+ZpG
NHHSyVntJWJ3ibgVmBfRzdQ9lijT6mqgW4trSN90IiY1BpWtBBHBvtHWA6UXbm48UX3nFpNrkOFW
BSCWwnFlXMyEuosJjqyqF9u46jddpCNqwlyBjRQz2jhFT/9P4qsaDbnjN32kwiOD7JXzhcTzFv/y
Dlydq1sn2dqQ8MnoXFfit6V9plHZjRbFDyN2JGZ109mrMxXA5XZp9nhvrga9UGgboVJ+UHyR82Pe
nOr5KyQtD7atu6B4/CWsLV4TIF+gEMBpK5BieQSX5UqBi2dAMTMDa/qSyMchvJ7GwJw2iUkktfIs
sRXtVg9x587A71zKTvAgNikVBybAQqPeFPZDlz+YrT8SDzA7aZMlXPkd/uh3ncCUBmmO8oNRQpbM
uQJkGYB0PxAFdCW92atZeUAb0O8LJIw6xGjMKWid4thq+Lcz8G0VCK1mvrcio9InAljIW4/9CcIC
I25fqRQDvINU9pbsSnW07WRLHvHzrb1gfBjUSdQjr1Vx0p0939yE6sFaXtLrJmBh89mJ9aOsZnCa
u0OXJNQkZN+rVPL6qv0+SMYZgBIlUVPT34zdortjrd2ZzuJVWhr74xjHwOMW8aZHebarFhsZlmXa
DNFwWPKUMEBceIaV3pTIzRRgPp00OicaRUWgpENktwol3WL2EcDZUGe6yZ1dPN/2odhX2oNeP9oc
B3ikZDPv8zI8tnIaNCbkc9MKMDMPMdQAue1vLCzJODZxzDAKBG5QnOwL+drGJ1MeeuMmGs8ms1Y7
eyctKvfQl2mmgV+Xzln1OirnJpLczso2wHGfu5m7nfYuyjqOxngvpVJARaNPdgfWinUAsxtbiHp3
ONHGi2zNvgJ3zEzdwhJ+mwQ6BBbzBf0rpBBIOP/Q7Syr11567vQMAGgXWNLiRY3NstR+1NxW8vqV
8V5E93X8ZMgvsnlsw6sRHKZhXc3KQGVRMNS3quqnRBGV+YC9alrCrceton/L8nlvNBQLEfPrpocC
aIOuZftudDZqxrdbJpQLjq7R636uPwzLVnfuKrjbWpjivlV7NRqOo/5NaSitqq50WLjWds6js7O8
CoDpWsYrV02E51gvZFWJriA/jhB4mTxa9j5X7u3qBRE8ihwCAWnZtHdpeG9yAI10vygbo3zT9a2u
+bbygsMYdluHNPaSHvA2XHiiwG5343St9ztLPCbOlRlfz3rvOwMipFDHlsAgCgAKTYvjIEmDpb8L
qX8xjBTC+iluCAwHHQpGnFChyUinWwTF+PB5UK0xW99qoo0O2elml6rGBu3xO6caJM+BhuebGo+X
HdkvST8ioZvx/Uy2GybEQ5awDKbSeVy08Vau8EuJv4dSfyBpc2hEse3r66qoArW4B2h/yM3lppBN
P65kAFiQbnNipFNNhyAB1cz5Uoj0zcICliLLzwHB6/N5kV8Gba+II8V/XtdCQmk3BtI4VbfR2qfG
2kYAgzsMTulG6KeoeRDd9VS8SPm2zKHHqPm3JOagSn11nKgDVVQB5Bq7US79MNe2RMi/zMIMksE2
Nxm1Wsj3PViw35xR2zWpcgKS9Jet4OoY4hbD7iDJkQ8rwueZ93KcubKgS0lteFlPbS0OYzeWyHsz
Y5ugwty7GTAlVME8/s6+l98RaPblxNyDCeHlnN8XTb4by/Fpsalq6RYEsLrWGwE9c228RTBWI0HH
YWFQCqagLZumVB8O3hByv1gApAXESnTg0Rprv0dSfTPMgVKzPq9T5470LifgVb2eZIwezfu8edCS
x7DGXpr9fm6uNTBnZXK7OstVNe7COQ0qafaHabcU4msqYfxToBt1qPRY4yEjyBb1xbMtz9DbNk4G
snHkehXUXA83XVpgkTeUDTpJTimWfJVCve7CEudjfCkkiSfIAJTd+rH+fayPC1a2VZyXRd2aheba
8wn59WAE7tHsiQ342QKs02QWKal5ubvKp/VDDkL14CQHKQQSWHvZrJ26XN+JmvCHzI2C4E5fZu7S
JyDUxP248JIAKmn6geivfKOYkI/75lFSrJMBVk2BayKsxyZ6zNPcE7i46kqS1lCScqQnfZC3KQZZ
qMa7rA+MUtw4WvyuS85NVU+YiAXVngQMaX/QrAHCI4dVbU5YTFvM0nYJId3UdwpPuSpRaWrEWy1B
FbnV90Chgg5bpsr+GgZzE3cvMhbERMLY6O+c+KBLL6VMh5b0TUzlXpXfqXXxcpF6EhGJtqaq8amC
LQhsB0RleBCJeQLNB59a2c6i3U/9GIw2d6Z4JoHuIby4KeXchwUelPxnMYhXrIhNozsujPBdMQmv
aON9HrUPqR6iQHYe6mWjRu/cQJ6lPOAOB3Wy4FWZWN4574x0okB+X+TtZhhvex4J+b5srT3fvmx/
kzEGi/6la59o2HeTfJ+1j3GGBiD2ZxrKp6KJHsKs4zKovNwgwGkI6jWHv0rs/0zEmFDNscK6lRcv
nzH46B4eqOLDLzdhJE5o2+Y12rYaFAjxqnZXsXpoI4WnSNpXPQWA0GHIruj18xw/LZGJRYMvQnZl
zRdIVJEKLWjYZqUZr4f+2tAW15rsQ4cHk2iWn2ga3vRdNazbkwehwec4slJiCq81CTiSc4e6zZw+
9iqM5BlH/VaqcE8VaRuNbdDWXyypPxex4poFrruhPYcsdVmC0n6zrVt0XXCts6CsgCuSgM6fuua1
U9FINDnZ04tID12rgNGzfbMFNqLN32dKQLPS4Aaxduuba6ctwdlx9bmwWujp4jlr/VkYniGEa6D1
X8g6xacE0QlgJ3O3qYnyw6Q4ToruZ1rsx9lyJSfqrsDrCqVqk1p9gKuPK1Vwb1VHoOnbGoJgOGCa
afJ5XMwHXgkv/z8cndeSo9YWhp+IKnK4BYFyarXU4Ybq6UDY5AxP70++cB3X8XimLcHea/2RIkYE
1Adw5+3Ya9Sdhl5Pa22IfrmwbUTTNDtRvsQe6lcprJRxTTCbK3VHztG0yXnBabS/L8hgF0n1xaTv
MErBDkSHxqb0MmTsgu0rRX5L8taDXPemZVjVM7JCgBNBYWWcZ37coPV0bD/JBl/nbavU1i9M4aPu
giT9kRl3uVxyf2rDrZpEq651PtKlZYRWNo4YtkPuXGXn00iTMwHA52hEy2CY26fYe6Hp/HnDz3rO
7in7eUnJEV0kWppshRwGfTiTqmzfUouzMZFoOk7XFgrhTLW3ppyB+tJpdaZica0rxSsAB17VJH0f
TAuIw2JbqGfKCvGwRLRTZSYPt/ity9Et+nFVDkQYqNN9oVNbUMMniRrhquPmtJ/pvfYlpT+FWTwa
Y3nNst+miILZGt+mkTh7RTtFJILXWrqX4+g8ju22M6jKmJy3mLatpiJwn7VnSS+04/qReGlzjktD
/hnN/rdThhU6Rb+fx3UxVztF5xusao+Jxouopy6VdeY80VGboa1dIIesZd0IKtyzaEVvyX4YKL3t
6kczN8BOB6F3XpspQCKlR4kK/hhJGjYLfW42uFJcAqGDpBHlvgbwv1JE6y8Mrq08gPtqL3orrcVU
bx3zvSILzvxMHGfHgZ26Bs3ScxgF5ogreBp2nCf/RMLPyMErV+UvNuuziHWQyQyylicd7CHl57AZ
UbKh2PS2fhSKuRLTURkdmisjlRl5+iulf/ECgmun1sdSUm2vfjEBZSaERP4zj8/KGWkVT9m94zCJ
lfQjC0FMlCkP5Mh6NjazB9Acr741vHKT+O0M0bHTs0gmz7g0c9cvjwRB3nPhmSdi8BSBkJwq7fI3
4qMfe9lD7rLJorZ1QbcDOJd1k3eb0jRWJU2haf49ZK8TCS6DWQcqBNcYmtu2whWtmwE2mOM0YyUs
yR2tzYvWtCupbHZL264syom1MfKzqXsMUuUVcngal8pXwFK5kw6VUq8sIvOVKr6oQBp2Lv0CZT4M
cU+dn6S+p1J2skIDOo+Sa2Vk1m1X+nKeKypVi658vsErXf6qNO4zoSqwv43X8LYvmbo3gA+KNgos
AsEozEZHm246J91wg6zGZQwGMRySRN1Rphbk43Xq060e36G3vGKu+WgT5jN8ZFFypg9mv/TFWW3e
E7l2p356lHEXDMkT/IkOUkKPrXBuzaBeI1FvVKD5kaU7HNiMZvqvpe9BhTG1mR56bWckhCpmcbeD
g6Eru0Pr0L5oGqMAS38D9qIwNhV2QLQIsQDTWmvFX8aQ13B60QZKZPCSBPW0E721qsxwVZeRb0Qh
58akH/vM2MmK8J2KknabbBXWpN5wGxvM1jC8Kb+CfL2IsNvHvfVqoo1P+Q3xpSQ1UoUWJhhcj04c
6EX5Qw5ttzZRU0y1P0sdW37aur3gR+jIf+VcUK6yke3kvv8VS/uvT4d/wpk1puncWsdTBcaQw0wJ
jQqYoZ+/cYRcnak/jfyUXr5k6PltNhFVAB/B50xgg2EMLWcEjYXIPylE9jrmc3su5jk8x3V5t/U6
yBW8dVbBVZ/Xt2yYCXZRu88eFxL3Js4WvQhnfxLa6xxHP1I1PaRY/Jpl9QCG+CXdn9kb+V9Qj3WI
6iIBuq2ZX9NK+Tf2E2vBU7KLer33tXocAgkublN0wliP0G1zY6xCvuqq6Y0gNpqKzf1Z+mtoByeZ
zib8/6rWpR9NExezyZL1gjGI1oSXnO1lhWLD9EY6tl3biaZ1IfQ7rbojVFT5fKxrZe3MFrBqDyip
FQT0UaZRvoyRBvzhEN3/PCDqVv2rRB8x72sw+MN4slpy45vIguiXTckbaKv2xqa6UbkLzC7zZvUW
B6Kh8agYxkeUzGtbhJe+yIJoKXcdcUmxyulbqK8QezBA2lqdrJPJDr1SlOkSmWIVDvpLowHfF1yF
+lj/lbJ1iyL1EdnJeyWHsds6FaetLNHnVby2DL1urmV/dPTctXF8w6aC0kTMd4K873mjm6uiN7nK
yw8rSSE0lH5f9skdBQ8ac2tdSLRWCSs6GzZ6FgwLuz6cArQM2wK1AaC49WL24jBI9JjM48Fshh2E
zQYtbblO8+WNRGsA7y5+VQkBHCK2yEEKcOG9jBnQY1gFuAa+7LG+SAphhKlzkSdAo6lgOqh3oZg+
FAb7qmxBYNR9CiSpxRbhk83DtuJj1jVXQ2EhrRQV9bZsHdRpgXRUgwkDTTMSI8wRBx5yx5h8SPTs
pdRxlvSkOdWNuRl12AYwCu4zFBUrpc9vdhRdh4R+00a192Wb/aP8cqe2hYfK46WMlz+4EPrL5k05
9qtOq94G7DBRrIGlCeNGaMRtnqDKzIUQb8kUBynkxNGQdlCexPwVvtE5cdUU7Fe2OFPT8Biy+Dh2
0Vc+NmiVKEoH/gwnaRtRgBZofR+EKlAAldRjIfvt0ntaopwqNfoDdyWyZ9qiXtq21swWvJBLNGG6
bTtGipxBJ+4loED5JOB2nUrdhFF1pZrPVSruVyVZNw1J3DC1uTTtJCrt0Smu8JvSFE0RePFsrFXt
gyT1H0lm3msb8kHFzANUCIrGEoeh8jyrgtUrWbfDEMRzuS8lE5q22IazsouBfewq20xZ7tnOhMBg
Ad/rZfGyqNTuQptHw3edaA8xbrqBumsMWmSXcGjHbmZnFJoch4bZdyEVMB2O0tCt8xzLvK2eTaN7
LeJyOw35NRUgKUyZEeauXpEuWf2bYDsajJCD1hbrqTT8OCyu9pydOZk2atIjB9LeG+gYqbQevZA2
TXmzlnejfDhy/yrLUlBV4actRUFpWC+jekGceoq0+WgM6X6E6RtTE9lA5qOz85bZutaa8GMz3xZS
tSvNKkKBAGlsV7tnRnDWEbfp0F5hu4q2UNHWrjrL9kLmwMJJ1qqEpSzRdmndc7+TySnMQ5T8U58w
nVTvNBOCW3ltnX/FnK3VDmUI5EMca741M2DxMtIL7qUOnJnDzwNYor8sEXsSzF7pvMnQww2YASA0
z/OMdUXfETh/LGzN1Qt11XKL9ma1lhEvyOFv3jvBlOlBrUnrvGcSqQu/sEwPZT6g0YB8BxxcgNw9
d6OSW5J5ny/tT6vKr0xC9NXP9q6xjrL1BZPoOR0k9CI26L9A1mZe7OqP2XHbKHc1LzY1f2hrvog0
9p/q6CbvcbZ9ieJREWEuzfqHNh3mnq+2hmdAxSlKEcQppOPICF0DRKKc4moJZiycY/aaFDrTswZG
YK1UqJeubZnWNTcsNfbAp+Ez2VQ0C7tZ07+oHdeWIm2nbNo5c+yLYfIUKWdraxASdKtqQe+lHez8
wwZRb2ltNxZ0KMohyq7Kkq1l1jqtHFzqXBI3G8FJSma0jCa8ksudKbdo1YDH2m1GDnDsZ3Phlt23
OdxRXgS9eXtCTb3duIbcB5HhHJycGFZZ8hYn3jfM/aVNpWrBgd9/18pejMaqzfjVy7cFzxPJyo/a
Y5VMFyBD2LU6hFnu0KmZ+EaV6J8i4hfFGP0iSQ/JUh/zJfaNibu+CbeFk/t21EC0/kVwQmN1NYfm
W6LAvhwdpoEUKjdyLaApNKV7G/tktQh0ic7WrrQ1svzVZN30hu+Be9tOrEBucbQOo+so+VZP0djx
FlsiY0n/6uO33J62CfiKEtKeXCE+fE4tM3dkCww+MKIS3Zcji0QFcEAmtotidUXezoph/pMjbMUN
fqjb6CBDUSOai7R3RGrS+DZYKVQfhbByFEyt9ajT6aswrZgZttvN2kOZzT9Ox50Mw9Cm8nHM06CD
sVLzqzL+mehVIlaZKd3XhffUNjjt0REw3/NNZtIqn19rWW6KOfQJUvAz4zWErB5fainypuKYA4ab
vFxdNdNHKdWRi7f+PknFI2zoM+jqIClN2Z1LlLRDXwNeKm/F8rQ0OnfV4sPqpXEzqc3fKKnfWbef
0wlqKgZMjceQwwJULRWeRTnQs/sSPCaTzpYNmBWOhzHrPLJMCCWmJIPzOpfbl6XNNsvyZHymfVHx
5WqKl8GMdw4nkZZj4X3ehj2wWuNaebOiCJYaMGW490XqTdb4l+qOn5v1zoYL4UnveATz0nn0Jer7
+oNH/SEQ41V8tQkk91gnN7PVHuE081qCbhsx1tFwHXG/ZEm2HobGdfR7m70UlI+NeOH500EY9lW0
SbpDivcaU93ibARbTsqWgK5jJtbjEONY7eQN0GXbbbmox9KTz+bg1s67Wt/N5T0fZB402Ckde/ev
ATVi70zjYpVUEigbzq8k8zqw0E4G3r500/ci+bXjT+qXMh9jMxggVKBsIX/ni8LNbpGCjyaSLbBH
UcM4145kU0xBw6moFYNn/Mvn9wz0pP2V7QMhLeAAykX0B21Yh6HPu5Rl27T91nUPZSMadHdmJzTn
u1pDZJu3xbhJSu8q2T7UP9ucWXOdw9YlZrweo8dEvo6Carf0IsPv5Zut/ZtSFA54XU7SOGxa6xOl
gzys1Kx1c6ffRuqCsjN7t4t7x4UpFYOf2GeDhdIoN+q0jqK9lq97aQd47mamX6YVy+BaH2RvsOdz
J16ZvDw9XlY8wKEFxf0pNVcz+Suna22s63KdmHdDnJ5+25ykb8/C49v+SER/t29mvrbkI2Nhvnzb
We1NmL1pMeyGdaYdxgLgsno1kH7lVxQCqdR7yvgYK4/RrjB+koSd6GDUrBPSM11brJO3OkTZSQLQ
Uy5U743w3hjbXvIzm4aCQK0/2F5lMhTCunSlNnCSxW/KR1aurfLFklIfYVhhb7H0tjDBtpujUpMk
GM7GL8L7Mv1Zij9dKnYqqz5lxmpSbgXaRxRWlnWcG/jf98yoPXn01RJZ8zlTH920lpp7L76oRXIR
4SzjsVD2Vf4lt/qqnv0Ehl+N34yBcBiWhIJb821K1lliH/OBrlXpMuRBqQwuGqwLMCp3jRe+Rlj3
tVXmXPqJ0ttww+UJza4lTFbrwvyc9HGNLNDt6OAFpcj4RR3YkAShk3aG52g0T6HIFldlekcc1LXb
Pr45i8urFc3H5l8xYl05GMO6J+AlVAItQ9t1Nst7o665Lku6s0vBLw3yeJtLm5S3pwOyf6/eCnEL
DU7Wb5acrQl1hrokRH2nbUKp5gG4DK8taXiSa+E3cLQzoHNaBfxcpDgHGYuOwdw2BhHJBml5tBoA
dOTezV7O31R+OhFfRfnbC4B0WIuLQURwhYwlzoNY3abjtmsJD7goYbKbZ7/W1xApA5d4PKxC6wep
ZmJtNBz8yOvBoA+ipP9r8NQMhd807jW+dComeZJmF3IdOpSYB6RUufCNPHZlPqt0r3B/fPdcMtFO
K7h6T5N9f4a4kkV6hzeTUIBlYlzx4lTk2gtf6/2p2YwSht/iSCuPBvqFqQrJ2vKYJD98HmsjYEN+
HKCo5W5tjAfCTVfDV7T8FJgH4j+oE8TQvpygrAF9JMvhfVwuc7vJQXknff98slALrMbnuVc96Fvh
4GIuRH2uRqt4RtyGZiRi1pcnWIdXo9kP86cmvY0oaUr9V1u2SDmaJCgsv8BrPdsrmymMvj+l32qo
K1ADUmqn8YAI+6JEe6W85T3xCOYpmb/T4tCoh3wKWRaOsg6R/D2Dtlu80PEtGwMVdmZwY/NsO48o
C6R4ZQKTjn+C91/bFf3N6deSvDGVF6M/5MihGLQcbOwx0VLjrhOUsyNyE4xKxCXPx9l6JOOGWak0
g2K4Jf1h1HeF8ZW1H1YVDNFZpB+GFiQhC7dvWLcZtYzqN/nXzJOpr/lHJQ2pIryGYuvYWxT7GVl2
Qt+l8WEYeNX1zYRcge7csTx2DkRu6CHWme1tiRwbLwR/ebI6BxJ6yXpofTV1QXOK5VHYMXfEtzx/
WO1+No6GAyt6nuefMf7XybnH3UlWSEl9l+ohPIvRZRMyKh8GmTwV+RM83Mw8zSZxwn0iIJx/xtmm
iRz/Dkv/bUj2db8hOE1P2YqAMUCrhsazOP6W7AKkNSyHXsedAKX8nXYdUKq3fODseIp2mJjpetN8
ICtL9kvz24wgypEG9hKtnY+8eq9icGXYmiFfTmkZ1G3n9mCGHNBO9Bmr/8huK7KT8f9ttBfwpM7d
0V4XHYGwDy7vSvF2ibEH5y/N8h5BSpH0dlCTeEV3b8jKn+DlzYd/LatZtBLZdk6PZrSxs3VeUkzX
v88811P4kdm/o/yTaF95jZ6DTa2N3rrqw3rWcl+np20FZBfdDxFMW7VdTxE5ZG+SSgCEKnsSHdbL
N9r11aTdBTLORue/YuADKV/jHwjy9iWdxp09FAFXcjsc8vIfI9DKML4W8a5DrCIuyr9THMdAJbSS
nZuI07ncLHWO08lZhcZ5MtUAJhH1PXdw3L3GwgqUCZnm/BENH8Yw+NMyrbosXKVo5VsNK6tY3EU6
dMtrwcE1g/QxAGZKkDo0VPGVj+PDiSwGCNWPbM0v0XJaLFFNgT7R8EV1qtCCo1vJys34kpnqGdqi
lM6FEUgK6ivtbhJNZelHGAvt3ZK/U57DzARE1T5tuBIqTzrs4X4HTYUe30ICRFicmr6a+aYVeGIu
TnrXw7PZ3VBmZOlOU+5mu7K7fY2kBUpo4LjkUITflxEu+REnbyIOaWMEhUM6C8Yo7U/hqwHQ8aJs
r7Y3lN4IFG5d5qG3XS+T49bjpLud8ceHF6dnHcm+btJl3jFRffDnJodegnOsPCc8hfk1dO6ydu2M
raKcRvPSVG85ZYl2EOXv+nJsct4/P1lWkxxxHLqCPo+FBb0qD1IEU6l5agTdzuW8IXqmsu5F9aEw
dEaOvLIL05XAG2GP1WrVI0PpuIMVhGixtRu6k10127T7k4avKbpWgOfP1jjcF23Se7ruD4aP2keM
Nl+qK1JYYnk1k2mT+LJzSIw3uoFd2hSChFFpaRV0aX8tZPBgX3mc0F/VfIvNVmKSxtdwEjNgroro
2sP16BbDXZau8D9OcX6KXENg7SfhcC0wICSycdRsfZN3axn3jcII9isj3ss+e4sKd3i55Z8yfjkw
37Ghrc1ub1dvJhCK7BfRqrZ9iQWMgRBXLRCMniFYn8RqlNaF8jqXHw4AfdIgvE7PIVXvPRS0EvIv
cJzH3BrExCS3Ln5X37I20E2YCsENrK7HYZWK16qFk+9+l/w2zF9dtmuQxoH3xDopL85Jqy6L8TOn
xMccbfPf0xLVXsb5H4S6F8/v+ry1Qx9/UPS8J6BQpfmREK8Qs3B6I1ZWHVjJ9p4iCBR06raf9jIK
/VTbo0Jwpr+igwiV2GRrHxotlORjkqQeSDUiMtrodqQGzY6n6Jsa3J/gpUxBd48eM2pOEoLmWV6p
zez12gM1WRJvJCR2E/h0KaBonxxPU7EbxB7H1qwEoXmPlI+c/RUNRY/+ZhR/efOPCtGVYv1LOaNU
SF5w5F4i62gAaTrq1UUhASo2mRZ4LBZwk1Wn/kwEiBm5GqTp5wiuUqvrmtNJxtWo+WO6SetXu+94
YvZKxa05MsEQlsP5RH93ept1X17egAXWIPQ8e1CehXalDWmsN2b9aS4nyQHndQvpg8QPdXr+Xe2m
YtOlu0TmxSgAi6p1U3+J9Kwkp1kPlnHc9sMH/gSESviMUt/pwARY6LCNxRXI9uTVxnNu7t2uOMrq
T4lOv08PVC/1TYBIw515DFoT6kucyvAvZe5TRBZYemBVFw1dVDN9cWyY/MuGP0ac7WTzUPYKh/7W
pZu+vCeRT3itz6JtFx8qSy1yvbh+tZQ/tbq0zimBAuscMyhrj7W1RUauvoXgHdgQYPgyhsurmXqZ
w99B6Bb8NtVpFL94qFcCffJyKhXO0A9dOuhJuYK6TIiqzzE0VByWWUJ2lwUmA5ZkbQr7oTYueKHJ
R580d236zuMXy/qHnsB1wqv9gcfIjII6OzXLb1QzCTSQrl5SfGYIWqvuEcVc3/wULP3OMjI/EojL
FU4e6K0dwDcwvATDS8UT0KxqBCC94dXlDqOQmyarxViZ7Z/eBlm/VdT3duEScVAQtqfCWk0nA7Xn
U72pkLu1rIyIq77lyzD2E0djyIoAZBHl+2TmXBx/lGW7kD4xH1JxathwMjeObG9MftOYR/avLL4r
JCzWomyF/msvn/G3gTpCpUBd+4ydPDDy9KB3a8xqfvN8rN+Qe9rSi1StVLYlGzFl3t3S4XNATKQ7
qLvWin2c53MyrUwzMGZSQsN1IgIZqXMyrjlWFPkP6iSTjqG0qyVvGm6sIQMsdbOc+rRhRyQVq8VS
E2/6ulo7aeKn4eyZ+DrYDhTl14yOFr+mgwbtNVS7Z9Os3Trf2PPajN768KEBQheW7psc9/xRnKO6
CJzlM6soCa9+9Hg/KESdhfSPoh3JVskA5RUPx7jayPwHCbEXlu8sR8187ce9U13kaB9CZoQP4wXl
XDe+mxJ42z1ra6jjoIhZumBpv3QUUTbSOLpTgF1v9U/X84R/xsNPSTk8eI/bhscIgSs15eqDfaR/
hrNt7BBc1KvhVQZwPRQG8qdi/lI043ZQNJ4xPKzqpzFetXTbNzSJ9ruK11JdF+HNWE5xt3FSEN6j
AiUQ6owhz69Y4+69WcNXmnyViOIGQtCGwCgDJGdq6PHKQyJb02PMtkazlWOOdV+xPbJJRyy3kweX
3AL0GVsu8cXEb5IAtyy+4DDl6ZjpD36uldi8Vn37Ytj4wafPhfuJT0/moBZHgsta1LECMta8seIN
4Z8AWFcHYLVdGHaBjomc58mJA1FdEaaC6Jr5fklOofQWlx/SEICk6eJGlTH6ls8hg364yTI6x7WB
TW/iXGlWjR6E+sXWT4PiEwWaZNd2foESG5Ke1+pXIK4bqECdn74mDsh0SIKw3TCJG+pJtIe5+1Xw
xDXc7g0vzdIDS309D0DieygKB9CrH2XJbwWEqdVP0JPFNv+04n+VInZm9c8GYtWetgMoCK+0LgXL
CyYwt6ph1LmgkGI0tNcc6h68b5OT39gHFbJdHiVYX1Ttaf8lhahpum2a//4/tN0V+zXO0MUCX9Oh
DKDNmUtSM+fNnz0/w+4Eamh29fShaxiZTj2oIFl2dhyf2KtjyGLlm/BjVEVHjM9avnHKC/0YA8e0
tCfDAFzsoLbMFKh9DY57HOv7Kdwlxs4eV+OParl99buoBcUaYmWjeB8Bz1ktTRTA4jHDSsQ/y/xj
IQroGSbz+qBqCFKnDSIPzMsQqbyyPJXrtrxYbJip8ROBVcup4smPWVxEexuLTasgh9yE2rVwUEE4
16jUXCk1uEYYsNC5Dj2rYF2uhgml6TN+BGEDVrPmTzN/++jdWG5GNPDTE8D4XPFANaSYqIhW9kIl
Oka5lwC/4wJzluGoPGCXBC9fv4v4tlCwsPkMWAVQ7EIqFHmg/z75Cs1O8ONi2FjQArlJ/ipMX3U8
XewhEkYDip+0oHejPS7WNV62IiIP/5H1O0rWUC918UfNppxPBJJqrnzB+cVzYV/gKXti9DJqmydX
60+D9Gdpp+QhhThqsDk1yGKgQlMd8RmUedVy15xSZMPT6OM+Y7GyW647t8jpBdE2cHHlawtY3qWJ
h41b4iyJNs4Vch8zkSzRgb2zmw1EqocgFzs/v6BVH1V+K2laRjJVonuXPoiETId1TJ5j4YXlzEND
I6p6LRAXcE+a8VGKEG7/Ek4QTfsIP/ZUTNwzvmL6M4xidQuFjQMJe/6Xrt2qaT3DE2AK1AGusSuh
nEIlKI/7qOS9QJXkzsfUfu0hS0Kscsx19R31jmYyun2WWKKqGUHnnyyCJWMD2bTZWnNQdWtsCKee
lfWEy7UbrkMHJSMde8ERSAfICzydNBkbiepjB05aCZJ4S3SFG8+H2PpMta9Yf2uX70l6ccZ/arUB
xyUOwIXVdHpiVHX8wcyyQ/OpqLe4CwGYPGgAAD+Et0Fb70kNxYXhOf1ZhyUzkl1RuyFGH0OQ0dFx
t6k3B/47qbYAGEM/eZbB//HNeEU4RtahWV5L2J2SHTUYNxK5ychkTOwaF4ONqyr7PA7C7KdUA4y7
jNoK2vGddbMQ/oxPp/a3PBzr7lTCAIb1r6ZiFAQgZQmXYY81RMLrSH+QWMnYmus/fFzrntfJtL+p
kEuXybPHCuX4lUuEuIJF2Y/9PSUGEhWMh66vBiH8aL9Ec0ny0yTOxfJPR9ygwXRV2FV2MeCKtTfq
6zO6euY2TuGEULoM+xaNCtCHhsXwUukvts1o1mxUY1e1fjgT4wmbO2yi6jLE/wYRcbcNvNGDnyJD
tiMkAuOPITa4Ngb7YKPbTNFjhdHsjhCNsT0GRfLaaUzr+Z8+7Wv5EGd8Ws5HPZOzZqOn3+XiLFfv
bVn5+XhCQS/b3BjbhHeuHDetrR6s8SLS9YRoJFPw6YePgh/ByU5ScnxuPvrWHrZgZln2MiuYZ4yz
/pMqJerNqzzgbpfxDu1z03LDijfuIGAo5G2+1AxWNp6m66hc2OcqcUlwcQGjeyYblHrSwsAWvkUE
qEMrkeS8qtMGm1ZhfpdM4dzJiy9xJFYYO3p4gQ5cTSMt41FyyiDLzOs/dfQRpqls4DOHfN/ScMr/
drh/0tyrdNLkpg2xpU3OfxsbQrRKKjTB4o2hSYa3Df+/5X3ev16D6VO4LrjF2if6X0GTtcY1N1ad
bO/j6SvHpT5UPWpwrhtUfi3K7vswvc7aGDiZivrKE4af6mgkwh95+GcYr7l1NVGtIntjXgIba94s
/ml9gSIZkFNAjy6rvuHoqneLmayyqlrnAqACrUUb0iQfH/EzbURcf5tJ/hU2ByO7ZdPRBGZuOP+Y
Fj/Qrhj6b9LNcHqBre8z5qF2A9o9yD6BWkX0RzgmYwNu6Aj47Bgul0XlqyQzA9wj3CvDn/5jzWfF
DEzVb3P8C3wqv86vQQ+tmYl1iuJ4vjL8aYAt+iuZh63gaV+bAzT+2Ww2ijbimPa7Qt2q/NVPQZRi
6EPCXTZi41QCF1HziiZJJKs50VbciFNluGnL9dckuGk5y2dqdr+6dP8cROKceX1U3ELdjelnWpCe
gSaZc0zfzfpDAfN+Kt12/HgtY5uhb2VUcNsC+a5dAggepveu2xqa5xgH+KFw+Gdnl4J4VVIc8vQm
7LNSPSDvEMrq5jMhlsODRGC55SvYO/mlGV7UcqsMAfRRlWm+PVwAuDV7z0ccJmRqvDSIXmOMr0u3
s+SLJJ8Gbn2EP3A3NmidKr5HBTMFSjGU41F1HKPaN9PBi/uz2Z4EILvSnpP+OCccpQANefotP8+k
A9hR1z3vWLdLiDHemjbTDIKPAov0ci+MD9WoAN0Eek6iDsSbkgp4xG+ISvRilKRsbfRw2CkgDvcR
BljCEexAHh9df8Rv77YFJMx7VSIg5NTTDb7aq6RdCHhBvAdNoV/M4UpabcSUoKo3/b027sv4pYau
WvsDO0z5EmevT2KWCFXOTz0ipcaPy3+JEm4KQ4ZdfqunR1y8jOGLqTKXsEBuu/o2k0JNcLLTu/2I
HdldYowN7jKwDENSS6iHUUCNlxBAu/CXHiITbUG2DUFf7atQ9tJ8HMmLde6trgdVf+6aFvCXof8n
tYFdlCArfjNZO3YGuBfwP2r4Q6pNK8cefWWpvBSHZaizOtslGkjydxkPa93yVOKQFWIINvDCEhZf
PgfOjuxijS+psprlS6KfK+XQEwtcuGnRYG33cw05Y+rZnZdqH6iiydOph3o1/BINkQP6MtL0KMN1
IJ2KR1+p3lSMh3W4beNDwWwdE1vQtImrh6+m4duL16KBbJN3h1Nnnq9G8YM/naCTBakb7CiKerU6
Q/vXZYyw/JGXgWqvQ2YkzueWa+Pp3PmPo/NYbl1JgugXIQKm4bYkCHovUpQ2CLkL7z2+/h28iFlM
zFwnEuiuqjyZdcqUb/IZ8F367aEqj93vpIzEME07URB2Mft+n/wvm5oUhJrkBwNuIoOWwO+N/91i
kh1+wKfw/OvcN94jsPcyXxC3RWAsmuhfMR9RvOVV9Jfmn3yo6MKZ/9kwhovbtTWzBASN5+lB/Rtz
FFluIthRDa5TRmx+kD6Gvx61C4kB1xKTh53JGyaYpl1zm8OH4wovlPTFk0kYlTmir7pKubGNm8TA
slL3ZbmWeelqPKs5+xIDJ8b8GOngcvMo9DB5fxQiHgMPPWUb0qaMYRodSOxR4vZj8OwTkNB25Ubr
aZ8eZvGj1YYTckoz3xgYRfRfvG0kWmjiH5pDme6tDNQBSIM3dc/gyo7WSfMBN0K/NkRuxtwv343m
zkYOwZcWq5DaDFeTR665pnwz+UEiE1Lx3LYMp8lASrgJuxXag/oM6mZv259K8qhimQFb5NZWtBxP
QXAu6LellHR06o3AaleVfGbzrDMUfy3AgOJo5jbKIeMhGaAKk44rc3pGxjMaLpP3sis3S3d+/Wwi
ysf8GjQMYePdnCEUFZ8y8kRWMhZomkOD3TDSD5W5K4oQWelexQXmdhoW+W6iHUdPLXjDR23JiOyn
WoodUz4XE/zUDTTArnC8Xjzdbec+g+Xh/1e8Bzl8GziaLIP+Y1iJYlyjCVoEVud0RWC3tLzvoflU
mcaNClMifuZ+ZUbvsn+ysdyU5V817dmmvWBO4O3JFuB3GRYHj058FvUnQ7h8OXreJoxuAR65tHuZ
6DMeuIvxtOAUQYixUnLBkjsux5+Sf1XLkyif1nCNR7ewtv0pSo80MMSD9KE7cT/l/zJYqjze4mVk
ysnKN3W6pmREinYl495RkSR3yFtJvVEfcGeasZmMdZPfxLBKFZr91aAhFdQMnsEs8+4rhUjxs7tU
IjMzijbOyFSMKjskjl02/I1QNcOVNAV12Ir2rW8/1QwK5ovAMC/ZaEyu/fLR62QiqdOSi2Kli3pr
iMtgvMmEQMj2Vx5jSrjFKcXEsNJHxtf4XZbiZdPV2dU/oqYXhfVIilMswGa22vCbepvZmKKPhqOE
m3H4s/HdpcCg/A14bfRTNng0HEBG8U7FJx3735AXKWWEAWC0pvyVbKDv/qYl4O7ZJsL5o9XbLPiG
gg3NWzy3N2vCCjxxGiis+YCj6F/VfcNXET0+zzn99DgQLsLUKDDdYqD/jhYZXtEuOWfWm9xfPT7b
FIhfgOKv4FhRd1B4yGjrXfwvXriy9WODNBcxU66WMHBL9bOhNQ2wPXRZs5SIAgmSSwjlr9RECb0s
eammq5GctH4Nbd9GN9PfY/sLi2/J/NERsQEGkfoFx3UdroNwWYZLEW1UcR8nCscGfuBNhNh93faj
iJioXwYY4gayRJ5vtnaF+6H3r6VP17MdtV8txl8FycoAHH6EBrFN7nVw7FqOEDIKvTszDGGWCyu/
pdA5BdYvNw03OB2H+tI1nmNnp9HQsO3/g4Va130BxVWTG2dvKq7LjlH/FN+sGVGvP8XslfrUynls
y9aAmPG1J7jDf6v2WRA7JEiEDWllEWsWIwW4RgETU0Wl/GsaWb43f+FwyCo3ha7pPvz4o6fkKMOL
ZKKiDuTdjyo/HwYLAgeUj+qm+ojCz/qeRPDIB9PgJaXn5PITrSvJh3b4lKR8wxVAMS9zqDRrmmYS
RirvT2WKZC4b7WRMPN+byiCPwh2/w2mjBpT40yd5KhK6fT98C+MRkGM5ep9ShFXEPEvSwRqeFXXs
uA67laS7pFWHOEXEfcr3zEhHsan5QbSfsP/piCtRqV2Tft+LjzTaKuPLI3ukFkdfcSLw6LmtWbY9
liDIMeuZA1KW59mEnf6rP8psWFYQYAhYanvXoEMKHkGariRcTcZRGKdR28XmK00QFjbw3OAK2oMZ
rZed50WkKExidCSGyTDlE++lhVlaemaopCa3/WStJp5XI+vYwWLhutlKJsYCpgLvcfUmTIZwX1NC
/IP3T0sPsr4XgAnYoTsowuCBJ0wbnqq2zxJqUR6BcDU301W1EcFR58WIDdeav85fLT/U8zyu3uOi
TIKbhg1MpXAZqHBihMXRvw3lvYh1CtgvixSqfD1j9zU9d7sDMcH8m/rZovV3g/ap9CawsWN8y0DN
ZKw04znCvJgnryD7juyrnu/Ey2+WdvU+L8cgWVLgpGUcoKSg5ECGKp8nhWU1sKNBWvjGTW62fV3C
aSVc0HTGnrrvu2DXdYyLOWvbfKkAJM5k/exXbPzWaeXNqLlSfPHyZw5vOYqrjicggvhX2Zmb7SXc
WaQ2iKX6raobhTaO1Q8x+G8mnekbUyhtCb9a/VMS7Ygim1EXAPEhNZzt9lb3+6o+NcY+sl/kL5mf
TXBNJnldmWyLgeMiYqlvnLZPXWvsCD/cT/JB6X5L6ZZHq1A98LFCYLfjGsfHovqSZv2jg51l8Mdo
s+VBsLCs6aFjlT+ptzJ6Khz/TxpWvfhleJx4rk6Ag6bQc9HhBMpPUdoLA+SmZQAhXrG6LAPmCo+E
KwL03MVAoBxFRiDYY9RgaIqnKb13RCwk/s2qL9jEGETq3Vs1EPPzjE2TAScNRLsZIBuUnpQGXHC+
7fj8yWCC8xlIfCCeFO3LrO8ZOzak5NjFR6LBepzjibfTyn84Og352xodovFdHF5q6yqS7WDY45v8
HdpzSGZZ9+wKwFT7baAsk9TPUC3WRnIdMdo1ULkB/xRNzZfsnEMu65fFjCuiY9oRbh5H9tc5+Xqy
+mi8zZwNRerl9BqZZdZwiy3Va37IBpc1C8DUZ5VMGXMjqh15/ZzgezPeB+KEboSH77uMC141ZGLd
ciblQgdoiGPeHvvAGdJdXDiSsfLx/sp7vIYi/6wZZMbWI9DvVvuPUIfCvAz5HTyRw6BMD1zJVcRr
vBoryudLW/J7UFpJ9+nY06IABZebLDiUvOc1i4kD9cbi6uUU9fNFVASbsblnzR1e3VGzQ1luG7aG
LDmHCvFpJQ8/oKtZJMoGFwNsSGreuuHKEN+anNi8peqRK6r/MFSovXciqJblHYkZSQMJM+QOy5e4
yqypXM5282YD9CRYMKneuvyufKbxrWm7ZfPO7q1e5lPdT+WHYnG3tsMae/1KsUHZnQnKPgzvEEQ5
Py+jHPRx+F7rrtObBbxqNaB2jJtVhS5PSD3KbG2P9Y4H+8M4yPY6K88t2Hzo37126ylOZu6TprkQ
WeaETIxC37ywbWc3NvhqFrWKMLzGql0KBlKTO3P547MyfVDrG15mOaHsceOKhOYF20zDR2d19y7n
FWQeMKGuRSc12pI753V/5D7UVee0Idygj8J3lKar3hIuNi/Vvg4D8uteT75jAk+S4S/XL3HBHc0o
qXItAJqG2LFVWiGIdpc4+PDGVwPCzoH0CoO/SgCZkrRYumwHnezBKQt7LVH6sQVG3K35qsTiG6+6
lMJFRtihFMRPn4PYYIZF8U67N5/EyWcQwsQKQUDZFfqI5lgCmYUPG4qlAW1T6e8juR0dZK9t/w3Z
bkLFsLzfXn6p6rjyReQY7QeN8lgI/IXgJaRDBbAYgiFUEnKuRjtJX3UPI12O+LiDHQ4hhrZF4nC5
FyTYQfwqTPOt7ypf9dM343q9+1UgKoYVAz/6p1jZZcahpDwc9Ecf70dpM/AFqSPJYAoKSK4T4Pmc
9PgaZ4zB2cJj8lTTSm1x7r33MoOnhoLWJAXqLrRjgVxVXaXpSJzRkqYaYwmnYBa4BtEt5ClJJYtX
Vh2fwQxLi1Ukz9l1RDViDrvIjH1y8y+lzGKKQLJRbXCF9N+1eR6Sk9Arzln26fmblGLMUL9GkwwU
xu8NxFx6VIuFSeU1QsOCJpRrHnARnXR569P767FBU056Qrlg5lMbn8ojjH7guiV5FelL2X9p1UcZ
/YmQ7NBTjeLBaFBtnkW5syv2BL2p3MiY+5u9GC58ySQqCPs0J5306PX2ko1TRHeAeDIdrn4LbaPx
oQCM6K5qbwhV9SRgwU1HFBaZh/Le048Qz+STOg00FKc984UZuYD753wpeA+SAfSge2JRYWPZPTYm
1+hspxqah2p8Y2RzJx03knUa/aUkbgIOWuTNYpRaZxxA2fi1mSpQ//nrmJeHqQdUnb9MYIZMai+l
VSxzGVnHI9pqQA2X10K9p9Urkqqt3jzxZlfhh5fp3FnQpua1Mz/aEAcnMymtu4/MY8kwhaVV1hO4
gBKd2vqfH02rGqhOpTCAEhz8caNFAhY7uJTyjrHZSrIZHAZ06/VSIqSiAEwUlGex/hmn2za/VNXR
x3oQhtx2UfZIsP7bmO9KxZW8SwL/qKUrUpcZgBFJMSfGqgZzpRlvZtQinoMaLJOZESNQLvCY8TXq
QpCr0nbbMnBLdDc5vmZwpB1JSFjC3Mn7Nw6EFX/ZpMEhFaLY1oemi52kvqcl7RinoqW7g+9GzGz7
sFj0yI04HshLih02yXKxg6tFBjoWwhDGv94rIGYwwfgbkwOxm47T4K0sA2qFCUbUcIbR4+BtWpLi
u+AsJo7O+LLLeD2K39BgpxeXV0B0lBjdakQqMSacL0xcHJyVGSqfGEOoRRz+WKcYoQ5kKBh4YFn2
slGjmqEZ6Gx+xEa2isC7suE9z8Rmim5DiK7KxRHD/2AwAK7GOqbqS1XBlh/PSGz7RjboGcxsJzQb
ADOBb62/FY+8g6qOF8gVUbRNg3472m49m/If/vjXWlcMVrgrr17FOYhySzaZyK629CF5X6l1IGdx
OYyPzrsmyocoPypC8+gOplOWnYLoU1WvBbHxPi9cxa03DkiQiCuUIyQUEBnck0E7MTMs1ZQr9x3P
9DJS3uTkLprPKXop9rFGRhutpwytg+QZIXXrpbdkhReWEObUKudjwL3le5iFDEYu02Sd0qFcB0y9
wvo4++8LGYqr+osj6z7OlGwQ7Qkg/rELakbyCTO6atISFpVylisI5muftIu+n28wYj2I54ybc2AV
e6+CAHxFwPJsuzlPUrAMAv4EaoMujTYJM8MOn1iDYYUkZRLGVNfAflHoGsEi8xfaP2U8/XbHPaPm
q4FYeXSFpUe2R2Wwb07Qt5Ri4wHAdvAnhvnTVUhkdeNzYmuHvC8Rbst/DSFzJk8FMWVc1AJFMCS+
qlyVbbWRVS5VQMWho6gJPdDMjV4d+0iUUBx3pfqJSDhO6typqvey8ddhcbOknd5s+mHnZcU5JFi7
4VuREadKjea1G1ceucJh9ZnP//T5w6jb1Wgb3AUZWrhhQ6zObRWhLSQk2+quUHW+iIZA2Kb7l2rR
qdaVPwmaKSDAGUBl2TK7lKw3zTiXiUkUDRcMeSG61gCeDvioWyeBRmBqatjY6FyuvaDBfYfwEREa
pYa/OCMWxVwzBfDpW6HvVZQDkFRPXD3zZXUHEXHc9mtRJ/vypVLbTAjJOabXxtSXfvxpdv+btTYx
N2dIEcbJDkLY1ZpTELFjxiRmU7n1UkAoeL2cCAZgLwAPxD2NuSA2KdM0w0IvnCYmihR/yJqHWpl7
w6swLmHPrlImYCjscb+2YWi6dJmKnzz/neQY5/9E/qBboSzXxTc040mKXgH0ufRhUdJRn1WW28L4
wn+GPmARouhWqXjM9kVDHJC2kxtH0tWj7H/J6NUFlIq8ZEh3KTT9zDKCZ4ZURyMisl3rc16C400K
WcvxQQ+Iq2foKcMEWth2zPzHLEa3Hf4RMRNjjqgA1BjHoOubf0agnSSx7uQdS4P3cWZiuOqp3DW+
7DkZjNAAajKrIq1yuCnGj5aTHMCwKtzif6mbbzaIkdo5INXvCG3RGB0O/T1S5wjWRaMxfNOdxN/4
CHcB3h+Hl6C5TsGPOV4okFXpPbIwEjECsaBiku5RlCQ9yI88jggao9YiJ5c9kz4TAC89pP2brcYY
8yjNAVFUJ+dpqvkSlPBVWlwn4wwsA8paJIW6UfIN/Oy3t664ipLgPn7mZGmBA2CRWzQmVnhYbYFi
zjzS0ZQV60Z7+wVOEGWao6GIrn3vYUkEBqqOzPktWR25//0iYrhFhkqAWMGRFbOsgBSqYBsr20A3
iDx+Dh7wGQmdqFbIMb+CZ73Ej5Cbtatjkfy0TP6mMXJSJn9DfLcNus+eT+sO/Vrx30pvI+SLPO7T
ajf8S4nrs0ZpWYKLzL0sKptSX4qvDPpDF/Yhz2DQL9ME0oGu5oHUnGiaom6jYBjqGPwNIVODhuWC
v0IvCSLGOLA3VcHbwL/2Jy/QpefMsoSKtXcrhloiHYiIc4iPxAxl6ubCxzyVyNPKtLp1rFBPrYMp
JWMQmrJejQXyCfaAOUWk0zfgbylooC/nW1N9hKD7LD535j8lZZiSN/iYontDQqC/Lpvj2O4ki3nS
Nn1k0nvrf88eA/5TAnRpq8rbpeRl1cTCTG9S6IJy+mg/Go/AFZ+OVdzMEHZySAn1DBnUM7MgUksj
5ErFyjGCI+WSfMXcefSgVdiLwA1DG0THm/nlaYpnQZcs03qUXWgoN8Byn+A9GG3ra6QJaLp229gJ
LnVmTQrD2CDZ8k5JIzAipq6Ln7droMuER8O/T+WeKe4o1rFFgD8u0XkwHjZnTEuB5mbqiuWeJSaP
eJsMKyO5JMnB9A80ED7xZsjoGMV9awM5gc7Utx9+YsFkMsMcHDZNmA2hmm9tsSbvRY/XpDVhGxkR
YIrNqLoquzfVp4TL/a6W51xdFnh7MjZVelFMZs+dK7SdoCK++Xu6OvqQUV992R0QWtCA8b1AZtgF
Nbj2neMiLZqz0W6r7N7ABAx/NbV2VXIZ1e8jC1TpFovISXTmcMVPx4R9qCZui2YZNPkxQcivObBl
8/9o0VH7mORzXaNTqGuVDa1000zoBGfFFKyFCJ2ymtbw6rgbtEGCkHmqtEBx9D5GnZtXVz9BRfK3
RSlTXOLNC++p7K0Hncrh7KtY9nuukoGpDl7X5iYjO4viQ+IDVPnA2ANao4ynjIsfRfdvIt62Jh8c
x7ujk3I4rBr9XgL5N9bTkivK70vsH5rwaFIHqpJNgX0ItLPdXHQTeUXe29lzMBNnpJM2ig/2ba0n
edt6mFtxQpY50YqJ786hK0NyTLVrpf0LkCUk5VkEwNn9zsbyqKdfok2ZwWUA3EclWHvgIRqdGL+i
Vhd+wXaGGx6wpKFcOlnyNYndHPt2+J7HmxaBpUkAeTdjVOyY0ineJYeHSLBTSeavzSEx0kxW9b1q
XY1YYRwgBJlD3JAqRnwju4PctvbZjhvfc5biKpchPAbTB9BAaM8T9UavFoKwct902VP/aserr59K
qnAy5N0p25DFgplJ03HogarOhJ6Hbz198/T3iRlHy4vHTB0vta8SybGSjMaF3uxIIgiZgnsZxTHe
LSgzRQX5IMda/cfeGzfqLdyba6XYhgHqvO/v5PAS9D8x1L9asOepj9aWjoIgvTcc5AqWVsOfvZyg
AHP+NMpHG53lhMLXxWm27cLT5N2s6m7GICosD+YRUfIzAzNSkyE8aWcbJO5vX8xzJDLTQTz+QtVJ
pq3nvRv9sctAhwCC9HmjFaR6JG7Sy7YNx/Y/IoOxB++KYCM1k3ubjhjb5rJE8MtQKYJNau5MUndz
Rd37EgK2TmPBux1dLeUtJrKBFB23kSZ3BAdNakK7KoUZMgGTAHgmg1lFq9ZlVCGx/Vo0Qrj0FybQ
At913OBB5QNn5UuDmYE7CeZ2RdCOAaNqfAjie8Jh6xm70nsfhr0opT/083tWZ0jRBj57LpHcWspy
7vgcBbUVbwzL43wh/SsHg5f4oVX82vI2iH+V8KNFQhvMcdv2u6zqaUI710zldaeiS1DLh/guegaD
RZG7eUoid5vWn5EUYn6ynSS8FLZF2qBugqYzoVKMbmOp9nZ+eovPmtnAoGSwygXTsekhWzTeMsul
iUOc0IbV+KsFrCmw8KRQMCKj3gDFSDyIt8L+s7pjNLSohJjYlAAJx14Bd36FjOE8JTg0GlyZz4DP
I/m36o5TM0KWEMjPRLzFWOHrxlIQTOPZ3FTaUO974/9uddsW9GK+Zzgm/WDbNq6UVcD1+GjqoV6X
8CeGik+dm7dD56XsikX9yshMwh8wbK2WiAdFEEuAo2PgnzEZi0RU62J6Gsx5KZf9twksxtZ64m/J
uaZEBG+MmONrKi44nrREq3cAMI5ZG+ybJg+JZLuyMeGl59nII5yI6Q7Mla97SxX/t9o5lXzXh2Bl
Rxat/HPg8VeZDnbtVyxztBl/JDAQ1hEes7jFv49ak2b9P0xwjNNq7x54qVMMBqucEuwn5uj6hvap
42hlm3xh3aWcmSzrmbGaphweMcS955ONidOnGZg/Em+sAfyHFq+2uaUdozpHdsW44vExY4Zbmg1H
UV29JJi0Cmt46+3M9pt7ywd+yTEwJFnk2Kb8DNG/CEXDVWGuJg/IS7p7NVqMKK7ZpC1TpXzHWZuO
zU9pkOw/5KQZ5NiT0mUPFBmHniM1X6NM0IbQDj5vZ2bN9LC/TThocj2lM8T0wCNbluyfaZjPo1VE
XOcdD01e4RH3tw0z9L75SttLLLJzO0nLiMvPxPRtg1np1XjKjOccsiDbhwSOoJ88TLvt0koA3ZqY
rCeb5RIC1MO3g5OBumGWP/zCa5trW3n67HIMncynqtRt2Dlm5+MDowGyTjYnGa9YiAvHy8gSJ3Jc
2Xsr3cvElxmlvW6T8Fx2zNpStpNXo7roCKw1vwLkUR8vZsoAK9KWGpG17PBho1TuxpjS7W5jZIcO
omJIt1rUOhavsjxtfLjtMT9KoCM2wzuVGOes/yno3EcYG6XD6U04OJc5P7tYteqZ7D13qjD4soXB
JO25Soi+zu8NOe/e/PEO/BUxZLrOVjVvbMHHTwVAeiaNC9Y+7SI5dQRFZqamu2RiugIrCj+Vtw8+
hm3N1HCOUrehCzTFX0vpIUbtlWRyzItywhIzJ3K2bNBWDmUVnNnERT0IAExKp8HudKVn+quzmrWr
LgldtDrbedXklprDpsAgIoAac4RbtbkZXI+2QrPb0d2XAXtKe2npt//SMRkXVdudwyBeTWTI2bJN
C7cms8ix69Shs1hLGlUSnaiHXkRt1bXIYwGVpP7wsBZ6NadoaHWOUmoH+v+3OGBab5HscGxJpqaI
cmzgh6xlxQ5tqoSlINUycllIriXTjWVpuNUsR9LIbMdwRehSS761pklbic635QB5av26Ve3vnibV
41mOhPJvQhvj7kBtFUtL1R00c8w3SxkLd67RHmjxK9KLZ0CTqSDsNqnKzKJzG6w4kJeLrvszye+b
SgrnoCQtgrm+b5wVFmwPYN8JoA4Jzu7szGaO52p+j/ZJ/aCsm3TX5sZKj95MxvpSTUU4/uohybza
z1jCfXzpFnE0LYnXWnS0oZolM3kMxvAxSkfAvkGFfbSSlZGTINmtM7l4slEErL3vcTIK/ycfYzbs
2DMf62RF8WaYb02uk4xTE4yd+yRhkPHTXO3qYVpHU8vBtz7tKl0UA55Dn5zuxroWTX/Vgb09ruya
e1iDtWufNYwVy1Bisq7TR2+a+9C3N6lWgwVwqqXjOZDs37EMSc4DTR7qg1yxKrC+tzZmTfYvAcJ6
5UJWdXBJdbZS3fOOjU+mvgsbc9NHHko6ZENJdBxbHjDvQuY3OPVC2h7xS1brMo9oXWeogeuRHGox
73JMX6r2iplOqfF3azJqj/S/LqPEGhSCbRA7fUx9Yb2Jx2ARNMGSrCb6h7PCc9+2hC/g7sj9rwmY
1/PbEYWmwl9ONFJQ3NQMy42kOxAj+Pmz7IdZ+VDasL6/lW39sJ4MhIuFLUrvCMREpAL0WnuVM1wb
sbD1NUQ1DjSjZXsTm4DMiu96I0H7arw8GmOKvM9uCVtzVI9yTVmOXf8sOCrLjjP4jIwpI78F2p1I
+dI+FDqVS/WwcQdFdC/BXmsBY1gGkAvmzx8R9nDN91g/Qh+M+h22PnLY0TZnVXvmi3qo57+x/K4E
kar+JY2BgXuswJzX81qMfCSmuiUehEVACpO6wXTJuafdj+h8CdEoQ2vVq9pdIh9jAqAio9vpUGtT
/GoG97KXEunphZsJNTuYxV8ejJrvrCLSTw7lh4cpoFVlUtV7wF6xiTKisUvzMIXRjrxCpwfpkkYd
XdvKz2nN4g+PozKCqRc49nybiDOuEtvvXGVGbIFy0Nm1v1prFzhGS7taTbn10bF1jXGWuabyW/bE
iYMMdMa0zg1ypmFUbf06sIWwYvA7mVBBPIwqRtkhuNWo6/xGnstve1C2YUMOOM81E1kM8zuLBKKq
IeBcfgn6wlp1emhvvXwFXUZ2zr1iD0mN1bDAiFQ2HbmX5qLIvicdVyvjXXaT4XaTVkFRuwbeBTMl
Xd/aRTgQFeShIS3dCk+0nFbbUY9oWcOVhLBdqPtkvHp+s6+FgrQiHzXsGawKW6b60UvSTZih5yvD
p9Y1u9TSCMFoHQ8ba4p/TL8VsooUCJfKgIbdiP8kVMVYlrh5SENPu5XV72ves1IH8gJHUnHE9Iwd
w1hsej/bVh38vDauU5BJdsasYuo9A6RRtcJ1wUYyryo/x858T4wRSOsnZwKpEFxreiziaz7SXDtG
OvIzh1ViN7eoE46G6t2yBNFmxk2g2yJkQFHKZCH0+Wmm4mMC9nIGDsTV3Uj8YAnOm6XTJDeoiY3i
cJkue0vbq1brjtW+yi+D2s47R34jVdkM1LOVfBui9qJQ82STSVHXrCvb2JYkeIukfDRBT1/xjneP
6NVkZVK15GW5UkS3HSlO7MYjOe05o2YSVSGLVxcq1V2HbS0u/G1vjHshW2vWJq7Lueshs45yng0x
7A+weDvQyEN/HxGxnsXyi24LKkV2I8BCuQ/fQv/pp8pZt8GAmek1IxuWrgksQEl9mI43T2ZNDh4q
fK5bWyLujLNr5ECLcP1lnvpUsdmiT4RtuY3Qy1SBV9Sb3CzOXe//vFB9RdHLi96tBXvXei+/2FN+
jhhsiWpl8YoV0lebXoQRERqNSmWppz4kGARn4CifyppxYJX+G+LJLWiWGsXb20G4tpLs3FfZriSc
gaWiHKcgdsQcZdUL4pRuoLnx4UcwUgJormunm8gPnaAEsUK0a4oqiRQyq6ZWzOxT43tHz4zP86rS
ZKBvk8iixOyK2hPF1XpgK3XkTetEjVwBtGrHsqsq5s4PiVGjDZYZCCjcJJjgTVk9Ejab12+CQsJ+
RCH2Uc8AIWKPQ0HTU/HP/EXMsdRw2ePDr8G2kBCXQ5mfe5yaPoE8mce2BlRDTyANUBSbqBtbA/Gg
KAZYQfz7tOuyKbOuJF9n9c6CZ00wWRVkZum43Qn5IOV47ZFLY5jksWTvAQ1qWMVc9YyKuJ+yIt5b
bKUyK/9IIQlR551CzC6iy1ZBiF4l+RtlNDd1U6wK6nKC9sF161vjSY8K922DKjBggJ4YlYwpZ7HX
rhD6+45ZCJv11FRZeeSnyFnPO4wqu9L4f1gJtjS1ZBMI5iosyS7YdWQYJDXxjzIEVrKn0bC/AfST
zyBWeEfw3RVw5BZmVPHjlZ9d8+FF7woTh8yXHZsohoxwKTvfUBmtQ296tw12WwXzOsHU8bF669p3
RVBYgJrfy29p5sQynB/5hJ1gW+xEcegZl0mXGBGwlkYn/AeCY2ZFzJEhV0Ycl0YQsd27LYNXr/M/
mhrmN4VrTCteBVBnsiE8wj8qwApwg42YANkTSjH8OiJK9rph/2riO86pqn3pzjbOY68M614bMKcr
q5HSfwikN8lmKUXTHBvvXzv+pqHTcDlG/lwfKXvTZqdp8Fnrj2iyV7781xt/bMi9yfQX87y+Lv9p
Rr/0wSSGRGYeq+1Kiz4nqVZE8DkaThOZOUHKj6pqV5Vc8iFFOaadjDkisPFKaLikuhGy18LF1aQP
o/dh/REloZqgSdW0oRl6MwIbQxjWXabEtZ3QyXtOXBNaYfXTywR36jCNtkp4HHHCFMGwDiQGm6XY
KVqzLZJgr6OrDtVD1Kd2QPmRGQN6nsCRjYyK3cEgaQiP1QkH3kaRJdAN+0pWIBnbmCspxSEaNqno
Dj7asRXjWQgxzqoWZqKM/Sje1oT1UGSQ0TbjNyX1qkqqr2kctiaTFasr18YEk2a2XBd82iN7FQhC
IAz9MHbl07SSXWRNV19lhmaGW4ENPCeBuZOZV07hvoOblsfJUQ0iGYx4TQ7zehjefWt8o+hjQiqv
Ypu0Wg0UQuTkQIR6Br+Q4EC3djZZMzLmdx8LZuuxOyOviFkcGAT5UKmIswDJaqwQel/fRuPU0jMn
Ha+Pl/2rSU1f5JF29RH5WhaX1Ew6k6lcZ4V8iUEcWltdDvFP6D9QydemhF2CZMe6rKB/Z+2BrJnO
IE1O21f8aqnGOkqcGDLnvkFyEZwRPZBvP5CyEigg5fGpLsI3XvrTOAXvlh5zT6hGthyUp8JUXi2f
DJs2Zk7wKkBUgUaVAmtJ5W/Owh+L/o3g3r+xWJO/7QZAfkHzQSdI9eovKPQxFoGZnvuAUlszIGIy
oozw1OIySki7j8x9rvyU/rbibuSZ2+uj9aak/qYiHDod+ATmVYZ0Cd407Tt7+G3+4+i8liNFtij6
RUTgEvOq8lZSlfwLIam78SSQQAJfP4t5uxM3QlJXQeYxe6+dM7DH3paTzZKQSWnFnJLgeyfqlkB8
dXW6k2yGJ4mzdWSxZD0scTjK5zZCz5dkzZ9qJLvTo+kqVLGd8B2YDKmHhHqE4ycAJmd5/zTjI2OK
LxFchBbSAWmzd9NaKJ601EDjhHtHlounNF/ZYOa7nu4ULYFAH5yZfwSCr9g0sVo2WDvgr7rO02i2
u2UKW9lev3Mo0XBjga2LYV+8jN27ibc2hQcUTUerod41uexr2C1sNs8Jb2rTiDeSQV4RcT5HHd4c
r1wO7RSaHsHgsn/yM1h4LP46Z+1TqBqE9rAie7BM5lY2I4OK4WaUODvTsC4j53E6gYnU/j9SnjmU
+WECC4TL2hlYxmfMTGBE2EdSvYtOfJiM7VjKWxMyX0qmQ8b6NcTEW2bVMXbZzHUtu+Zy1RENRsAw
Cq3mUFok8+ExnTS9deL/2pV+azluSsOm4CLet3D8t6JB4Eh9LfN4Yb2wAGtOTnyr4JxU8fBUzO4m
UMlHDNQxkMWJWPnbwMbAnIqD0fK0LfkPDXoZJ3/lx9yV/93M4yVpfQZC9QrA/kZqXtXOXEl4fPY4
bTTbf3sxCPnBu5vQuI71sQIU0RTIU5zwb1eIFM1qD2zHvxFBmOJps6LyreW4IYoAQXk6n90crB+f
oYxNgr+qTa3DS49XzJyHl4TCe57wTeXgf2ogeXLLK3PwxxjfQjfv8rKmYGf6bXnm1nTeOpcKzorx
HxQ8EJ5CL2e35nvWPmM0C3PvUGuJXp2SsLCKR1Icnlz9UxdvephPjcv52Ihz6JjcPT9LmIsAyle7
a2vE8gfW2ezC0zxOB79ugMmF1kZ3jJUSLPvxEJIVgE7R7KASldcOykJYhNgeKJub5m5XCFqqdGcS
sadypBEB89OuPzm+xxUSk2TSU6jRNAgUq16WvbSTt/dMBL8eACISvJPyzYyQoiwpIkQh9H54l+CS
Gj3hIVgWfS0WRCZSKLhiR2xz+6Jn7y1uu71ynOuQBjuHnaOokpVl1sfGH7du253KTiIDQmLGyPJf
E5Un3fAcLpegVniHi61LqJUzsRDxva2u2zedf8flz9wBN2nkFsA3xxBbpmrYOnN8LE19SPP5Karr
TYjumS0Qk+985c7YvnA2O/PZYQYW9f6Gixl9UwnbiJhL66sLtyEKggA6aWP6V1uxJ8nNfY9cpSwu
acRlEg/k9/7hocDQQ3oeFONxpoWCzlgUPnewuMYZmEpI7kMsDjqEpcgSRkIMaSwfbQ5jwym3OWP1
LWDnr8lmSdJ0Z5O1hFnC9ZeuYXG5ekfSrwCAsxJhAZiQZmtKjbssvICk6Qb5HCEe5K69T6pf6wo7
gYjZjVD6tgCDZuOnpCu1kWG6cXMukmCXZd5vrNFsmGpvuTMH4ibI7ksPkpnqg36LNULBsq1HSfJV
o4wbEXvPpj7WaYvE+G/cocj38WouUoQO7YtVD4+liT3FMh8dP9iJtsbJNR5HAXI/T0iCYPtt+Nal
DaND5PgbMaibYXkY5yB3MFH1pxhD2tUzruYc7HoLrN1nZQ2bouYwRalYMDEcLCy1ch8rlLCU3KJp
f0r91SKRrsJvwWi7l/NLOLPe9uWO8DhSnIviK+dGTtIJU86YnBLNgDbrfjwvudes39eF12PxiVjA
u5ZebEg5BmhTvPnDY1BXlzjMV2N59xdLPabEID2bTXEscQgPbICAIDBh413TmvPRuy+kkwrOX57t
ZfNRzNnJ755dCDJpPl0we+waPA2hNz4W2YylEycAonHH1Zi+1SobKf8WsIAOPmskA06vX6apPPna
vtvEbJlx/eYmzMhGb9OhB3qYTHiCQF09jRqSwjIS5eL4n29JMgPTKG+W36BlrP8aTcSyTzMnyn4t
JSn/NA9d3wuwOdn4gcqONKSYuZBKA4YdbhsRQxXtspQgJdIsfeAVss53JlqUubk2U/XsWGRcoT6p
svIptOEQ+Jc8TsFXqZL4u9ygGHHPdfonrny6WUR9CVuaRhRbJnjHEYfkIAG5NNZ7UjLFnNSiNgaC
AfHWzUtCMJDyj396l2k6tLqNGfVHc/KY/tS7fIoxxAMC7+xLo/ALhXId6dhGR0OVNoeXpBpuLhLg
jKPNMLtrHHjPdZ5efXPa2rnY66rn/uxxWPjE1zwK+TpHT8ZEOTP6j11gYf3HRVDWz5l0TlOiDgHu
rRmNsbKNJyPwsUoyGCbq0hn6xxzidJvA5A/n8DDFyBodwNbLzJnshdzAgkk3ZbT9JYasnC60QCB5
EKO5qMtTPpqrdvgIi24XC65I6HHab1cdqYgpxxC/jyUTIu6kOC1G9KY2IfvaO+rzBfFtcXTFu7wv
D8IQV4PLWscxT723M8BIpSVASTKCxEhnuOjVueQzBz2vyWASrQT58Dy8YqXKRUuOds7JGC92mNk5
wK340Jh/JkIjbPZqRWYeQigoOcBi+DOkdzuH3p72jcGPLG1MFujPBPyLyAfYOyWgvzRYXJk8z1P7
DxHeXqXiNWlSxXSBXgxTLvpUjcIRam9vy7dgifXOEGv2yKiypQ/GvdSF+pHKD60F5jIRcnbxsX4X
9GlqcbsY7DUKy/2yje48RNGLIdVfjpLHqRXXKZP/XB9VUIU206RX9GYIUjl7U+kFmyEIbQY9NsPK
nr6x5IYApQra1p+5t4PU4YXuf+QiwFYl9kc78gidrwHsBjgXkyZ5ZZC8jmWMNwtY8AN32kNfYxxK
vwbro53uTT3vhihnT0dQqpaHJbqJnvLBcZKt709/u7jl1KNUbdqGSE+o6FZFdcx9MkBCh0SOBkbR
A84pYTNZebDq4qX1322HJ6aleHBcH6AyfKQIKpOPRGRUJNRqOlcjYBuetsEtNwDl2dlx4KyaYDv4
Oj65hXMtCdwB0+SiZucvTwHxDXHzOdX2mxsSh027b5T+oehcECSwKyNL7MrA2DPAXFFj7wVUqiww
dwaFMOO9rbb1S1bZy3oPBwOGLk5co1DHNJtYYHgMm6p1F7PPLLq7YsG3TXjzK623E0dpjPRgUu5V
AcTvfPndd/poebTapVjPRX0p4eY5LH8r418kX3Ki8BjP4tPGpGNXxPzOCHyIPaL5YmCIm99F7Wl0
YBtxc1YZjs46e+nJ8RFSEtZaHfNE74PmR1Pn92peDcPdo7ahW8FZjvCty281/i08qYBo3gI5fsgZ
LZAm8lzc6Xo/JZ6+1LJ3DtZko6iZ9ii4x7h7YriS3NfGAlSgwxrSc9whJcsW4cdaA+qMXPLAvO6s
4vqWZ/ruVdbNqKAOzw5QEnCPpvcyFvpbxP2+nvYB9simNdZ1Tw0oSN8wos9aeauZ3WzAwMHUmD0Z
U2WThSxh4pvuLKYNxZ/UCIhFWnwCZvqHIPLbMOE/763gVdfDl4Jb9pCoBZBunWBx0irFcI3myrkh
nL35GZJ4Y8TRJyhRLPRqteOBrwpwb5lfDQ7pgg+wxA8rrRHm24wHp6mflJcfLdKNbD/6hQB/ZhEP
9ze+hZhDepdvs9LPjeM/NQ5xK2Qa2YiqUYg8czGMTLKYaBkoX9PysRTyZjHXyyZlMCmPdm4rT6Ii
7bOmPZRIo5GZCCP8ah201ab5YnTWJXBwsOm4I+Ao3TloYmbHvbpVsIuTbKdCpETIdYSm0srsFyD+
kIxgkzGxuY4mk83K43DoE3YfZkoNAfPGVu09a9ytZQavsqGx6fJx2/YxNaKLqoyslVJ8hSgC8Hb9
TSlPiB959vrEw0Q74X6GuV5mlqBWQMISG4S9RwCq4yV3qE/NJXkb2gi1Ee2f7F4tFT+54XDXNKEM
NEEv2oDhRomMHXIan/1OAWnqGNzRCz+WCEHMPGGKqc4hX3VtlPPDGBKIF8SS7rDYWV238ahpVWY8
M7UgInCALYwVcNLvUtEzYwwfaPBTewCyRNmXCw7FLkvoWfQ7veZfOlR8QijMmprhWAMxH4U8k0dm
9L771rCuKPBdFqP6Yw/sPm1yVJp5NRYoyePxbLPrNOAX8+HQLJeHKRm3XhVuTFfgMfQ3SRgQTA2s
AsqsRbuCSHo9QwAwenvt4f3xoby6SFU8xl196t/1UAzrMlhiwdCq1OGHdMAFUnZ4SrF/ar+5Yb1V
mQSH3mroL3CKp2OY4V9fkNS0xQtIW8XmfSjQ7NbeFSce4bcRfjIJGOOf6mFkVR9VV1OyOefWnU6q
9k61mq91WTyXQ76LSrhjduseUuclgQXkdAhhPQYXSNBdtrGrqbURKPi2t2cy8qQSZyWXOWNYX1h4
/y1qMLg+2C2ZkgxXzv0FJSca+zK7NgkI9YoAgMII2FMhfJWcnZtZuXefczaJJLLKGs8olmQMd2UG
oUqihs789mS03fMg1ZWgu21NKQE0yvmoC+QSddazoTfylWwD/LgefA17I4eGPtWp7p5m2qrrR6Zi
V/wuGAWst9buTTRZHOt+T+8kM49esvzuHK8m4yJgX2s2R2EM73KqfsJMr+fKO3VOemPEzUwJPAsJ
k8B94y3u998hZG3fNYQxKl5DzNr8Dx8igvDlh13Px7jP/1ZxSZiZccrRpova41FIn90B6T//J8sL
JlKdiraWz6iojE+CkigLkCU2BguIhOG7wpfIAUnMiA3VbSYrWOUsnEwsaXFCSRtQiklc2VYT/fRl
dUbfv2/JMYgd5LB28tfM9VNtA/6VxryzchTM4eS+JIH9PQjwmRlyrokyLRl8VIpU0qDGp5Z5DDlS
/uyFD2PPpLOCFVOJPlsH5nzQjiaCGlOZUCwaQvjE+HkirGpNV13tqL54Y/kv9weyvsHHyrje5HZH
sJ9otpUmXszIjiWxxFw38kidiqsB6YcVHCp6Gq/9LNAGqjl+bE341j4kLOZbVkFqfRGuXD97aXJz
R9AvBT60Z5e07ka1L6wONzYMb8KVcCUl5lPJLnF2+7VhIQ+yvKttUl/KCUuJ3Rz48BCRGRu9OKPy
Xm0ZL530bF+jFLkMBWtbDRfbdO4y5cAvq0uSh9uyMv/lBrqeBjVQ4BGybqsYV3i9DaEZIrnBK2qx
W6NG0QE6Ih+NKtMsGxFb8SwQlpENmCACYdHGNA8BIt77eX4ZfciBKjYw4pvBdqa6HhFKWVl68n3W
UTmbP9NqEBSP97Ttrll4t+ziEJvDKU3dX/LCNtLLTrXJhdyYF7tj9e0QZOWjjwNOGdfRagzqzyRM
Xpp4QpUmznnInn5ioU7sLZoTAAWIw93qo/Tnl+Wjkhr4mym3vAbYY7H2sLbKGV3G8YjRNv7XRoAW
akM+9sbwmGCyNEKuiMy5CCjO2TDvsiSkg7ExvST/Bglu23YdB4PfSM2GFieR19EQL4o9ltGzLLFx
Fo4B5BE0FA+yKJh1B/RJg40egUIL9Jp9mixz5/QohiYC4FxukqQTz/2Uc00BSxnNGyG9D9Ug1uzN
915BSht18kNFVGdl9QDTqWJQkA+99R6FCPTZJxNRHeK1w60Eabj02qspGGxIzG6RoL8dqdMxXROl
2Il1UmNGmdLyrEyM0J1AndcNGCGrRQCrkuMc+K9lRqAdFs3F44RI5aBw+LSm9dFY40vvLcoVGe3M
cN4MevjyPYPfnex8P7kW8HbRLVrrFlcXvJ6b0bN8V557r6Jm383wt6z46PXqeeZzlwJVSgkMOnET
JBq/gQB9lU534QTUXXbFYq947WtGrl5IyaYfi1BxAlbPPb2aBxjOiap7H2cvppccp35+LWeDRRT+
mzq/l2ATpAv8gtU1WxhGymDrTID3xM1h5wTAgHVExweCCWlwYcmgzxpuArs/Xdc2iBequ9wHmdg4
urgIQqPtEGie2YdfAT2IwSGf9CKEAIdKc9S/KnjnzPiwov5uBQyICQgR1t2dvVUq6cK1ceuBIk2U
psJrnwMcTF5lf3hT+JQwcisJBW/oUlAAHOz2Gcws9ol247ivOfgUrh44VayL0Abak3GdR8QUA09M
XfqvKcsjD2uK5zZ/kWi9J36Gb/NVaPsZl85fh5NYpne21dcmEwcxwvVPP0XB+4kcRApu3gZysKvP
Von+Ja3UyXLGCyGGuEtfXatgw5miL8u9/pz5S8wLKvE4JU+A9LLQZNjuIgKV008TsQHC2+pAazEw
BbIBfhonHirfW43yzRAK111BLw0urrEPgx0dYuOPhA/YdXI/eUDR7V5RrEKBmBXfbgerbQheG/kx
5nxE8fSWDqijmZJagFhkQYIy5tLRZbAlE3JGCG6auMX7GUddWEIngheSV4AwQEUvu4b5M82Qe0Te
X2FxVlYArHJQgQQKAkYPXNxg5ndLN6zxuOd6Ina6P8sc1HgXXjA8XiPtfTlcC7W2P4KmemjhOOgg
e50sl7T2X93KVz8GcK07WJnIgdkVWdWwMxafkzpPgo2YjZXMCVFA5IVkZlocpWUwogoXutimJhgr
KAgE8QiHGbNLZoKMMFpzb3g9qEVWGSlBoWMECWqmUoVL/Zi1qNFEkD7rWF1FjITU6gXpyD3RnOzg
2cGgatnZqTqluGt993deli2e94hvg/rspxm9P3nQPc5yGVOjMCgSEdIR4XVqmKdo/Tshbp59Is5T
w32ug5Zt+rSOIEM4rElgTCt2rw7eoK5J/6i6QirJVx7205XUje2IXI1p/2FCet2lJCfwiJhd8A4q
/sNoycXCFyaRd5YiXFIXjYdKcV+Uk3eeB7S2XcWevqt2qKfMdTuxOsnYRFeIuB9aR1b4N8BM52XK
eViBvIHdbhg/RTwhPQyjvT/1ezPtTqHJwWwbpEeX8/hojAW4I0WlVv4agWeeq5qNmacxA8sKvWge
kx84hIrMwRrrhqnmj850bm2hDnWPg9amwG3VP0wbt6RmzcrMnaCnEC1P0Q7EMMgQOcuwwxKKZ6qw
/7oThrXJN75aFPGUgF75sDwcAX0OigdkCyMwkWpguGk5zA84Jm9zpYgN9M+ISvAfJOljuyDFrIYN
mKmv7lDfnJ5RO2MB0A7dSY+QQ3RpH7lt6FMmRNTaY8+g7fwKdMwHIAG6fS7nH0PWj3YV3OqMwXzT
8Dej/nvOyvpsx9XerQm39tWzK5KjQZa66PI3BZJBYyUqiVpDGhB+CqZhLSW70gbAr5Q+OXAhAxee
h9UM5z3ZfktUgwXzzen43LMGOsBk1oe5QIRu+BJZvnNJzfIexs13iEpe+yamCAdPHRguD4AXcVqe
Q3ZwkdJkWMUfMMTrOf8XKL5SIzgCKLuNuvpmevBEEMQ+K7ich+wXJpKz7X0XuRlgP3ZIjLa5T0IW
FWkhDhmX94MOv10gzQJSQYtJyxf1H8+1Pvp8PjKJfBZjvYu75KUO5m1ojySqGsy74iHAnhYf88Kk
IjJwqoOoIkxkFWXdi2jU3RHlYyOBUFKtokohtBjlWDYTxY4pYETvEXJ95rb7lQ3xuinEPWtRPk9U
ChNYqCzXKOtQpo4W2XkB2YcWFtHAbl7sNHwtbOjUQR2+uKbzSsTDX82oY1QB5FRoEX5yAOJx9qYB
jlnQH1thHkZe/rgoz3HdXlhNbQITn6tvXHUUrAIL97nZ7aMU7l3G+U1hjSWVNtpzPwoX2Ek3EY7G
IV9HJQNogZEbzZ3lpRDxMmzTDgTEqCaP3Yj2uUxOtpk/Trb1nlfEwylrS/wBRKoFhwjG1fGZAnvI
DOqhvYY9RlXwgamVrbX/aMFDHJn/CHsJYjDb5z6UO678bTJ6h9Y5aiEsQCOFe/EsiG1V8kR09LQa
yKrqqn5rjwWZWkw1UaZaExo0gQJXjy2ZElO2nRxBAI3ajEVzdnLW3vwzSWhNnvoClmXkmBvMnzkR
XjAu7ZHOIdYgtOd+wXYRglYyY541GJjGZPBJvTIhOJ+k8eKg8Jms7NwqsMVVjNjCoBasyUYWdIBr
e4LelxvzcWitm8jmQ2WRvDNZqG1U3hKTKX6HPrh2bf8yWiBYVWV+2sr5CEr6wGaBhGuUpZ7E8xWq
nCO1RvE9pnKvqnnbSha2dlruI8yEYxm7W91687pMktcusHG8cczbcBqi8TWbildHkSfCrp5DKDAW
2gynlJL9QSTOl87oyUD+PqZU5VtLh9uZg8gzXKoAiE7MJeRG4i94UFb+I2Pv9/8pvz1/pA6ZsfFs
/ItD76U2Q7WRBtZSYjAPQTGeiOm75On8HZgRIpc5eA1KvOpdmxzJV92NkEm5+TBBjVDOZOK/98H0
Vc/xMzO+XUFqZKP7fUKvhrCyv0M6isCYRuu+qkZY9DCPTEzL0qlvrle+GuVgoUYcvpjmlvslaX5o
tYnqSh/ilsNUB0tvnSHt6EZmWpCL2bwwyi3zEpOiWaOZW+h11byq7WjTufpFlhnm8QxWxNCxd3Ir
DIVJ6dyoiZecufpeeoK9LXIm5ZxSHbwPExbHKM/1Eq3G2dZZ91Z1fIEJLLE6ri5eHlzdQosVBQVR
HaNmWTHhkwGtaZpsaP2BLiJbTLCNY92SsGrPOgAyzm/+1Q673Sbw3ryB/aSlqV87Ov0HI5RvJQyK
UEMUUCMfgmkY7dYinTXMC8KQdffHKLFjaxwwAHoA2QR984NK5CU1J3dtNCMUR/tmDPqrymo0YBb9
thsn+1jnDJOqU5sgu0hRuc9kFJaPfdT8ui4lTG7j/A6lvihLfPKg/lDlKhY/DWgk/jRaCr7WMZhw
IAggg3XK9A8Swkvq9v5VIIXHP1UYXP8FODQ/i1CVpUCd7MKH4Nybg6kfSyuhdh+jhN0hY/S0BJdS
VbuKaW+a5v8GUHMGeV5l35PFQG4QoEyzZsHkQ3wOyOK+xPKN5MeNCMKjGn5aphcRg1vstGlE/Zd9
AbFn25SxpPwCMfMck8sdVvSvM0evQffe94olTsVjEsfbqsbCXMiL2U/fPglouV8DmO/Z0z2Glnkd
ld6avXw0Mtwr6I9ivjB+zj1U3ZPZiAdI+bWaVmqwnqdpOHm+hjL9DTlrbS7SDZbYs+1/u3F5Jj54
V2OKH8gW0Ahv14K0iaNKrHLXoKUjdbT7aVXzl6IYh59DJsuAn2zTp7AqVaKq49h4rEcBMgVh35xG
3JxPg4XAxFXgyZgpIYAALt7W3nT0uyK7NV5TYyCWaLIK8kvjp3wGjwvOv6uZ1hJK4BEe2y/wjpED
psO14tFwJmZ4M6sID7C0/5UzO68ctkcLGQXIFZ6j6eYgOUOpxWqVj/Q80s0E13qR3H9x+pjlrgQ4
0354et03126+Wt0iP6GJEPuM4PMcldIKrN6Q7fzC2EAyXWXDHaR/wibdZpvSvM7+QagPJzg0ktiF
Um6CtlpH8lvG8EeNrQ1AeyQJyo/3wCbXVl5uIgUfIFwjHNZYgUn46f2ngCUXKgX1hSuTXQlbn4da
v2FKZQCZdlv4aHV/AWnlSBDv+5l13BKdsbD/eYYQvO5tPAKsTpPq7kwsUFGpLikJ13LY0bTj+c1R
hVTxewwNO/LQY99GtQl6OGiwe2ZAC/B8ZIFnFhlneqVgLOj3HXGZ6u8Ub1UShbSb/wzgkwQKMA76
G+MlGoZylaGv85z0kdEmryxdP6epz54v5PF14myVtazJDa6JjnfX6K4Fsj8Px2HK70yxCYBEQc3G
0Bfs5vfAbot0wu7stNCK5aEJ+TygT38lzrEz3tnUEwlmRCfnGePomu0183eyV1ndr2x/V0I8dROo
wJgC44MEaQ4DJ32fPG8/tgjRHuwvvh6rIQA52EgEl7RwaOFPI5Nxl0uUFR+dlkwfl+V/07zVJAck
bKbZMkoieyX1IWEZgN7ZtR2KapO6qJOoV2i8cbdw6QzL4HlVofI1yzeYzhbvApFlQfuZJEce477b
MTkh+UwMx3HYovl5aNmgJQ8GtVJV/10+W3Wqq7OwFpiWrD+r7OB0TwpKSI99I2XCtWpG1iP1yq8u
Q/GUWOMKDZb1t2WgC/rAdh4JuTD7n3FG83FV+jl3tq69E7FJQtmOJuPB+uPTxHsMhS1/L9vtgI4n
W7Y8SJTzq1/d8LmFAAVpaRO4rxWBF4of/Z6jZ+jS47Knx7yKfLYSb013m5q/dY6ZZPxbk3oQ0FiE
zHuIFmv5CvP60GVXOrMWW0IUIjwApQ/6sqoeXOYv9DvITspTNumbBYdRpsbRoynAIcM1iDnhFPAX
zfemOFUhUlJaBuBBDf8O+AQ+fmHvHTP97N7aAMbBm8IGaWzq8GD0h7b77YvHWd1m54T9A3kob0VM
9XYD9kScQsnMzWjW1sQZHMEenWEmFi82ARSgPlggMj3C+OMDt/jG3KCSNyriZQ4+77W7SeP1KBF8
7+duN8ZUMgPq7Addmw+YVOhS0bvvFmEWW4/C427g6atS5srIF+21rZjl32BAONDLh+8ou3v+qbRs
/IruvlqQGW6FC6bfBGwu1XXIPo2i2M0LlN/qHwjqQCtjq/9trUssL913aVxqOFBNeGmXx495ire2
5D/HfE7lzRw/8UiWOFZRIgBj23GoE/KRJ995s2+cV+aCgoNkdHmWQATkT/zX2vPxv0iEjjRwWDvy
i5lCiG3PZUT++tpkrVTTKXtDsA0VapSNhcLU+BZDdC/tXS/4AVj8JhfANVUHrjsWTw/pdJ1YStGG
bVSCiG4Al17f8duuGxMHhssSKSVryifDcSfGT0gkW4ABqwD3WywoYDx6yadWPMt0E4e7DAjDbD87
42Fg6jEvSW3qNUIl280t9+feM5alxycXb5J/J8G2GeEL1m/KfZMIvIyXMl9oEngcVmVQPzSxRxv8
Aw0tHbYZ4E+vO3ncMQvRjFhZ9A7OHsIH+TW2sbHhg9lAIugdpxTMCnz+YN/Ja2q/p8wTbNgyeXFl
LYbC5GjMsEzNx54LeexJunLXQ/cLLtTtTmNyYYGdS1RKm14jgE9Zzqw6ntDyOUF3zfVoh3/a8ZxM
f5TzDTK1QZsrmbTk47mQN61tlLX7bHHCjsdmAraXXMe+fY7rc63nFYluuzwDpg+LMbp06Xuc/Anx
NIzZZ8xrxbE1AJsw63Nv74ANDMkreh73MRNPpNyE/MuBAIVya+EvjPl8Wufdsf6ZVDLzOnQ+aGFd
qNn2yRwfIUuiOSjH7VTgkXnSKAI1xxGvGNGWU/5ux4wLSX4bn/yKmpZPJD80tFWkihQKgs17u1wY
TH6ZjT7kPN8y2lLjHQRRQ8m+RqIzXRv9ajGOFz8GBq2kJ7f0DgH/wWkXeEEBsKEOn2P1VE1bQcUe
Aa6DH+x8KOKbWJC3NkpPROTiiMulbM8tCkADACAw0r7bF1iTyznkWD8m1qkTv63x5RuHgTiMjHw7
4bJ52VhfCmeMibpRHaz0jwVGpi+fDfU2Gw7uJ8A1gssDtwu714q3wiU4M+kOinxYwwjf84mwDWCZ
2bz3PbDRDGkpnZN4bblvmYRDcGwDtdHOW2HYiMsOlffRqaearBLzo0JiE9Get4SvoUkbiNKZFh7E
eUQEiVu+sklwuYk0XzvQLb3oaPDywgqiUVs7XDBFf41sNFEMuzhayq0dtjtVvXhIV4f0tkgreDzt
2MGYsF9YUj0cR8aA2NNrjaQZrwOg4/LY0JPbySfxarI4+gA5s+yWha+1hYrLfLWHZWTF9DYJiVx5
NkE8sEaHX7Bnj8TB+yXMApiWg4r/0qYvY/nhh299y1po77CUCzjIhObe1V+CSXoJeh9rB91OTVF5
8YoaAVK/JhRu2wXtCjEiJwNUy+ncTwPbmHrX5WxDt2YYH5QzbScmt3SltPofkuewHfcg23ezKne6
urou5mHnGlRirwwg4M6+cxHuAJvP9q7/sfD2M+h16Mda/8PK0w3yxZVCDYsbdyZMMZDsLPtfK7gK
LDDI0xk4oZrH4sv9h0OqBXoABq0P7kb83dk4tjBihikEjhEHcAugEOf1Ioby9JsPx0kn/t6WzU1a
yVdEYk7Q2Dw8i9EMbRM6AgvJeBAQgsQuOJISf7z9oPrwwpaTeIvxaDTGvRsYlIe4OYrFr5F66QHu
xS4hec5KURYDSYHI+4lil9avhA9qVuBtZSQ4u8VasNswiYFPuHoKXWxabzGlEX01emZ9ka20oVNG
6FnC/AV9CCBeYFClaa9SP9x3i7yoSpI7mmX2pmg9nBQHbOjvJjgN+M7VyRRA6caFe2CwMF41kbMT
kb8rgohAsyj7m/gMACUPUNAV8aEXzcvUIHULmQo/9UJFBzuBCzzFIYH29ViujbSv37OuwbA1QWdH
3DpRa4V9+jOG/09AoI80U3jWoX8YnXrhH84YrAVvgOPyRtfkRygxJ9Dge3GIK+PJ9+N8H5V9c+x9
RGuTqhCSCvMiG+89sKwRZBGPnC5rRmyxZ3GKwy+HOKCuAX/uQ669d6KSWTL62t16o4jekDmwWHA6
EKojO1kIiMxv/ONcQvVHJ0k9N4/X0MCwU9aOv3yaT1q6/ck04mblu8RP+RobvWdbV4a89FPzpcDr
EDot1YaeTimFXlHamGWCRydkkJhQWq3sFj81i8V9jZW4y8xvx8FF2XN/IBygQ61XZmt767JhUSPZ
fpQur6yd9ppBPnQROG6jR3gKmIFcTscqANM5id/AQKcOLJNrtsMrrhpnN9rC2bdxux/TJZooOwrh
AyIKR6wVLv+ephyuo5O/pwxP8PoG/5F2ZtuRI8eW/RWtem7owh2To9eVHiIYA+ckkzm+YLFywDzP
+Kf+iv6x3ijpSiSIFdGVqrcsJtPgk7m52bFzLiceOyMA/VGU1PDoDBtn1kOu2poKea4gnqzaWcsg
pkhVwNKo2zY6FugS0CClaFoZIY33gugnaFxUgVFxba1HiRKnFsHEHDZQmGWorI0Ayq2W5En+JTTV
Ywf2L6AF4aLuukNTOD+yKf7ml9RH+DYqOgPsJ7X2PAS095kUCbJGf26auT1c+y4j/0dgaB9yCzoU
l9De0G4TdL9asAK1rCC8y28jM7xsAlZcS+9SFUCtEaBGiY+bjMuGwD4x1UfAO0Af3eyW+pakwk5H
T5Ne0nG47xye5co/RtADhxH91CizmXZNU2d9ZTj1wdD1j2kPVhL4D+Cz8CKqIHZsaKCYbHpL7OyO
xzGMcHb0kFYomMfNU1jzXqpdOFZgHNRqHjDya+JpDdQogm70xnMMFIPtSI0uUllUiqqfXkuO/HGy
yN1T5ol8XJnf6LT+wv9oWAE048jP8qw3GyvsuSsq9X1MRTVexpYem59tq/eaGyVCR3/vF6mEmkaV
LeTJIhrp388y2hlsGPd6gGh0pwT5TT4Zk82mDmiuNE0bJcXIhM4EbzTQ8671LfxrcRbTOuNHI9xo
UqMtc1axRY1GkxZMnaTxFSS1rZ0Z9QVvtC7c9X1Mc00kCS92Y92kPUHGWH+rkxmQFNXKdY9BAh0w
+4Wq0QEmD9nDGqSQHnHDpKD1fZIzNiCyaUC06lSmx6SLRri3pEeHorAiZ7rFbxsNUmYeQox9OJTW
U45tXpJwYEWEyNThJ+25oKEOUZ8h6jkvCTcZU+nJQViPemgFdIt1Ma8Zl8J5fqtEZ7iQ0eaNBCug
TIgMQQcTHTvk2QI78zijugFrxSERgWnedoonBtHFlFKV3ZquW5bfHQE2HDBxXobXqecG0xEs3pR9
HU1p8kInbT7EDzD+or6phaMFZV842r14l0YJtTowz15LsATMvAGlRfW+vw48GxgHKUAnKO956Xew
qMpcH9m2sadX18pOIhfseBMnBmzIUah0GhF0zSruypa46rOySXge/LoZ03fwrvKeqq1kMu6yVEwh
3HWTIF9W1yCXPqlEKg1O4T6MpdzkHeXc6z5Ouyy5qMcmHz+Su0yRmOp7FMxgXOYkhpYhtZtUgaH9
QWqa5w5oGKPY1raP0kcfuOZVxj8Kt3eDXw+/1floOB2Mj7HN+9gBrwQLUAIb9rQ16NAPPgPYbrOb
pNUNrjI4eel9SDXFm1C51M6fg4yCyAPd4KL5mnXCfRw8Wt+KvV0Dl9PZwUDfdB+YWjH6puT5GOgs
m6lTuH3MKs9pvptOk2df2ir31b3Q8rHe+3nfUu81JHvX6h3TAklZFfKh0GHihODDiHr3EJZNj/61
VmdQX5aUIdB7GFNT0k1TWu1VZ9MY1vMwkxwmtKws35G8K2G7dEvmCsL2iX5mK3SK8HNr5zMfqtG6
nvUzq4Ue3Ge+bF0opLQk6m7yENwP+eRyxiMXTj4g51HaQcQNTjUr837366EB3jOygPmjtJwO3wld
W0GBKwaLgaRr7/GEJDZvNS5k6TkFGRGOhfGpKguwmkPtmx9qK81a7ok0IV/I+6D14mgs9kPvja0D
QFJ1PKMvfvvLf/39v78N/9v/kb/Lk9HPs79kbfoO2FtT/+03+7e/FP/4v5ff+ZOi01oXtq1cgN2W
ko7Bz789P4aZz18W/6v1QkO2LfhzLz0ImMrK/EMNp1uYaDenDVkrhgxDKClty3Vdw3ltKOnDKfED
aETzvlB7IuR+OxYtDES1ff2fWVKvLQUWzdPGwL3iNX88m3IFIAJqOxnr3va0KbE+KmUTbemObS+n
T4VWOALMRb7V3VQ3+R29JRfhD/+APOQB7epj96Af1e600bUlM2zXFspwpHDV/E0vlswPQzUYFaCg
utXuwkYd0o5y7Rh9J0R7d9rUPFXL3WEKU1JXNyQDdF+bIsrNY9L75DdG607ZZPJI/4Hu8ehpiNvo
qqxyXj798bTVlQEKkwYcoVvSkMZygDFAGRBFlM/H0Nx25g2taKR6zS332ua0JfPt+IQpHMvVDVea
Ui6nUkurTOiktfXyO9VImsbDMxaEWDMhBV2+hm1Ly10csNFKhSN8TNAkt3fUBqz/zbgnVJBb7SI6
sx9XtqOwTCGVZVq6ZS63oxGOmT5IyqJeCP2QYVikVEL48fUkLs7swnnpF1sDUyY7kJvSUOY87he7
sG4yR4YBwEI4iY/WpH/T5ZxnM46ulsKkT8gtafardfOMH1nbHBZldZuiiusYYjGfrmF5We7DvzJI
86PV5FRjxt0ou0d0Wu9O746V3S9empp3z4shlh1ByNRgqpPvJGqRhXSRo3w/tcmtGSMOpR5O21sb
mm2YumU7JqdOX5w2vTIDx6OnFakusLdBa/bvp8iwCYNbkgQgmPa/YM8ybUdainqeWLhkFRYuEFbE
SCndbDTQsRpxbzmUlw4Fr9Om1jamo7u2qYStLPbm66kcjIRBzDDUtEdxq0bqyENdbOran6ftzJ+8
2JVAY23dtmxlEF0s7BhN70AKz5AKjZeqO3PV6hHVnShtPrgF1WXXMocz07jiRCSmDAe7pgUnxeux
qdCrhwku3w2F2CrHVQ7uDUgG1z4zhyvbAztkvoDAKOPNDaop7u/QqDhxY9PsUzsbDzpkz9HcJZeb
8NSdnsqVJZO8I13lcsotx1nsDskZrjqjhUUDFqAd8kPRg/BURH7Gi87M4OrIgA1Jy8SdCHOxam4T
u6Vy6QGZU/HWrHHabJPpKQWDe3pMq0vlOBLHQZadtNDrpQKJB47OZKlKqmmVDSGmeX/awtoGpGVF
SiEMwxZLd2/Y0rQglAR+m4qbKUhAdQR+McE7Tf6QVrfsJkdj5Myw1uZP0MGt01Bn4hIXS5WmtF7X
ESVSE2ZMnaqWRg6gCQlAIA47Pb5VU8pQZL4spUu12OyWcN3B9cFHqeyug1S/jNVl0N2b6EucNrS2
VMLlLtNNx7XY7q+XSmbCiemXpjm98z+0IE0I269OmxByxVu8tDF/wwsHb+S2JGmlE1pD/+Qq+RD0
nQ2lrn3tzCQlSBi78fT7VJbezsop7kPOXJIiO/0VqzP6YqCLzW8rMlxpMH9EjHCpZx3C+Peh8kiL
xbvTltZO9Mvhzl/yYrhxMLZBBbvghhc8rwmoSaZPEuqq01bWx+PgCE3LAE25OGMdcWTk6WA6I9jh
IsA6vFAvFKzM6Tln/8cFtfT2BAH/MjWv74sBTVaV9pnPHsmr0b+CRWu6HJyMzuUBEWZQLe7OSur6
gBJJRQOySZ+87sWPwtKhop5cH/Zk2yRWsrgqpq6g72UEi27T8bo/PSXrE//v71zsZWMiWgeYOscs
N7FUF6WW7NPh52kj6wfm30YWm3mYosAAH4YT8G8lyIyILP9pCyu+zVaO4XKFm5a0l/EJrd9Qati4
mczIwRZNw6B/6YUyP+hqADM3+Dmt5mkVBPqZLbUyf7ZSuqOU40rXWN4P3tR4FeEdQUobfgr7Mr7o
VHYMatD8p0d4ztDihLSUKWinxFA32gCLalrXaECmXPqfmVn4a6/u4toOMcMkgwN4HqlKAXD/BSMu
Z1Ayd1ItozuivklvM1arl8VTqIzvvg6M0KFX5z+zs3huC00rzCEwUPuigJk4T3lO6517JupfXZgX
g1lcO6SOyiaYtx69MrUdHLOyuHC7c8+ntQ1OB4QCt6y7bLWF6wqssKhYcZ6D+m0y998GPyf7iS7Y
Q9U/nZ61ldNKBPJvU/K16yLUj8MYFCx15moX1e+iKDxzWlctCEuYdOEIQ1++bbNqcmGjYMosl4Qz
c2a1xsdfGMQLE4vjklPCylwxL33nfJ/q4KhaSNpP21hbeRevwwtdCeVYC99J95BXlED56JjOP2th
9rWkXikq80zSaGW2HB32E+jpiA/fZAIsK6Y1KmY9BhVkRwGnMF2vEGafHsw8IYsLCyuOS9ZGIhqw
vBtT146zwMQKZVw0J8MtpMnNhnsMRT7gs6eNrTxfkakB6ccL3SCCWqwO7QlGZPs0QBuA3g9VOgR3
pUdHule4BoLj8L9A3OEcvfpsCHDO8sK/dXnotpAfllyySfMhSAJ521lkqB0P2ASEc/3eb2ndqyF7
ODPmlWVUtAy4lrJsnXaBheUUxoYm+4N6vW8+RtG0b+rizBqubMh5GxqzNzJcd/mUJa1bB0pQjTdq
OoCjGJqysaufM7iMLk4v4Io7coXQHcNSHGCxfIFptKLTNYD0QlcLWN6LyXyXDtApQ+Q+XJdOLaih
BVSpT1tdGR9WyYoJyihzIum1Z8pSwOJ5okMTPOQQNHxwFSLz8FectrKyUK6QvCxdXi1s0oWrrS2C
Bz3Gig3TpQJV5MEoddrEymFzJQxIZLfhG6T1+/VABsjRaksSiHYzP4hm5Tr4dFiOIZ4i96bJP78v
XpmbR/wiGA0joVQXEuR1SN3DO03PaUhbyPEXBsW0GXMoZFtycRFOJE1BNGCFV2BDkxnSnpn9iQh2
F/fq42lbYm0GOTH4XZyW8yazQddO5/o5IXK9E9CAAD/a2s/J3r6gVWc7faQfBcE9VW/9i3OPiLXt
8cKyo7+eTLOxaw1AGO6YLu5eVxvRi8Pp0a3t85cmFjuws6XbiWw2UQLHqSGm9Cpwyv6ZBTs3ksVF
b5DMhg6DO1Km0/fYw140dn/+jiTvaVLFcS3LNJYuqbNardd8rpUizu408a5ypxua8s741tUJe2Fl
3i0vNnjbZ001FljxBwc49cd6zHaJ//P0qqxO1wsjCwee1R6PugQjAh4riHmiGxm3f/6ufzVd8/X1
YiCxaOs8mFcCjtmZcqK6CZvx/S+Mg2tCtxyX15JYOB+nNwgl5xp/WP1U3nOXP/5n//7C28BcEqZA
rdAvNtoPboNu3Yx2PW1j5Rony/jvMSxugngs8QweY4A9GWWRRtzrMECOAtI7A0E87j7Is0FSn7a6
ts1slwuIkEWY5Oler45obBeuf6x6NJeIGGENnfaL5pyZtY32wszSwyivqVKzYALz8VmgxKR7Z3bZ
mXE4C/+iBX2q2VT96eSEKsq8tiCn6srn05N1bhQL75KHdJ3o88u4Us+lE1wQkJ/ZBKuXAPVNxR7m
vnGWIRWvh8wuZudC9tx70Hf6D7qVqC5pW6C7M7XBZryBG3sLOYvuXpwe3loERH3akVSOpfumniU7
muiScK5OzCqSIYzN1e8KsfDJfwqjM5nbtal0SDdiyTBNEt6v913Q1kMbDz7djUTilAXpC0/PDGdt
S1Bs4SplNIpc/msTbTkWkRa43AVVcV1P+t4bod3v2jORyNq1/cKMtbw8xQRoNMWMH3iXNHcyXWg2
pOOlFoe/sMnhCBHox9mkGJbhiDO5nmmWLJCqnKfayFBlhdC3+4XykfvCjLEYUdvYRjNGmAmbcAfK
ZC88dze0+pmQ4A+vvHifvbKzOLON1o4yn/dbUO/Kn9UN4KUt8inbzrp2D/kFne1nLK5uOrrPLF5q
kgrIwqCf0btBCyPwZe2p6uc2xHR3+gjNe+rNkF5YWHiIaCpst2ix4Fjph6FNb6E++tSWSKVUNBpb
mvOl7HNn5kc+c57WdiF5J14QHCeKLYvN7vuxivIsgNltQu+z0uMr2YojkC+oCJA4OT3Kt8YUb3cQ
CJQWbao7iw1SyCm27RCmN5yY/rUx4HerwpngkLMQZeBd51690ybfHmZMWpTIoH3WKcot/EUPas0i
joAK1fEflINYgj1NFxmQ0jOG3u4RRRKHSrTDEaAqvDBkuv7YeDQKbgCm3g+B+xOSKeuMDXHOyCIm
ypNodPOoKwn1zSs7OYY0peyg73rfopMBXQm6ihe08J0JXFfQEfPYeLBTPQVHsKzX2r2W60FLgxA3
scOrgkYHY6Olnv7ORBTr0apE83teiCiCBgyeHNrwshg2K5g3NqHlRufyv2vbiBIW2RKADfabQiRg
Lj/2M6Y6N9xLZM82gv6uPtChmDkHvFqb8Jem5k95EYQGU5GYXYKpHrlAwBLGJ9jmzngX8fbws2+k
TTrLlBTrlvVOq6KtFDoNCBAP0Ttz2JjQacG16qOcGrs36cG8GLZiixxzd99PN7XVbHqk5uFpPLPO
a2dlRjWQi9JxdMstDJzNqR0YXGnzVhIgcdluh8K/0c6GxauG5jrofCTBtc0/fzGr6F9MNfA8ohPP
g8wMdP4mRvp8Q7U2OzOm+di9dqzMLXVQkoZYeoONAr9pmWlvcSx764qY2N40QfIuqv1HYDFIjCdn
4uK30fhsD5wB/g0yBWNxQhVwRC0s4VZqJk+/VnMnhVfdKY3GJlxUez/UKC6mhpPsTvu59XH+2+7C
j7f0HIasGp4hbGj3KgedghrYitFvDjot3/VFNDSQ6P6CVdcEe6DIEMnlxTiNQkOfFji85rtfu9i5
r9AAHIlALto8vANEczxtb6UWDDQFJwuOb8aeLWMz+j60KHca2DRiR96BpPJpEiuDK6gjoF4sgnzX
W0n41Ui7cTuXXLaAwYlHB6dG8qvJzkz62j5+8TXLEC6djBgSUr5Gj4+R+wVOB7i1z0zxSrTzasjL
HJxoatgdRc2OomVz00InvbX0DchUKS4CiAS3MT10O+LIM1M9BzXLk/NycPL1IUWAz4oCB7tQ+H0z
dxCIf64+Ntt4DzHjmWVd87IvTS2e4WDS/EDYmBIFtMs1uigZZbEzA1q7NcgWzXijOc8uF+OxtJpk
FWh8CGDtkBbXqdtGLepjSf3oV/G5Kuzq1gBa4sAUYwB0WviBdOrSwp99qV0pZAi18roPYJMHsC5+
wcPhbv5laXHyK9riq7AkR5u4cX+he2Wya0p9uNDgfIoG+eS3dnlxem+srhelihleQn1sWbSikDX5
UPGQXM+Zz35Ut+U0fTltY3UCCTlmZAm4xeWbpdKTLGiruSm5nYHrybMOGViWN2fi3zdD4dKl8DJ7
bBOo7jKP4bR+S7KeJFblmZq/axM7emyTrEvOXPKrdgwd3g/QOBb36+vTRITkgDCH1hb0mQd3hYFk
I13rRVvenp43MQfRr84tI3KIjvCPLinhZUXZ93Oh7J40QKR79b4e8wqu2i7+lttGdB3btIO2VkjT
8DhCpWzTHd9ntECe+Yg3zmP+CCnnWBiQ3xtwMDJYEbBgprUUyBO3GTKFYZXRdD8N5pHKz9wq3Zlb
rxbwQ00z8Z7dWfBtafLc8Vifj7l2gdq1Dg57cRKFLmStshR1rMY2IIufNFRLAkRom8DY5R0aLHC0
wAaJtM7RIv79mMKFfGb132xmaRHlGFQ3ZrQZwcjr1U86IwRURhRSd3SJC9Vf1VZ2aVrqHMZsHsxi
8V8ZWji5PnbrRLoYAkHgb83MuCuhyrLtnh6pEAmbUD1ZDrQyp5d7fXisN+Oz3lYgvMKkLdQ2yo3s
YmQRIh5XduLPbDVOuPuPTC0Tglmg+VFiYqqCGKZI2wP911cI+ZzxcG9v3T9W7F9DWuYFy6Jt6a8i
nvIQALTKIbqpYbR7rK7bYuxR5r7g6pdbJ5bVrmDTAmLVUVEMxhRe4dJ/+oVBQ5nGVlXG28rB1EAA
5DsElVqnf+itYWv18W5sjYfTZlZ8FM0RPF2B81PRXEZznjk4g5EqWFYECpD98xSeg9SsWzB5Hs8Y
2TfYaaRfjSLubDhLEGtLBEHLFDU/To9i7cDPxUQqowJVDaAVrw8bjkWrnWI2AicGIsNG/xhn3Qcz
moJHkIPqnU+TE/Kr6PQ9kC+DhkEMTVeciWnePOrmDURRgaie7h1XLRz+ONQdNJBcy1Vl+4dSHFLt
Y3ydsaOq1i3u/MYdN9Bjal9Pj371KL4wO78TXjytCiOnl03HbA56sJib/uFcnBkrT5sRsyN542he
2Fl4VbPx6MadG2GVXhCGZvBSTLdW7t4lXryDOQ9elgTJ4EHue8+6EK1+mRTVmbTm2hSTdwahQUVt
Dupej9XM4ixqLCKQWjzBmFVeEwdBs8l/8HRlkCwpyDtkAO8ICPpznRVvwknW19EBF0jMz3fda+My
9ZOubljOKRWfGkOY6OVkjy2qk1t3yM7BT9cODsliEvy8ZU3gda+tpdIb63T2sGWV3riqeT8V6bnK
4ds2qXlIBuqj9BCtPMu9VE1jSF8etJdVREe4bRW3o9ChqTDj/KYHDfNs07v8WQvy4RZiLv3RHOvi
vrWhZ4kj+sodj9tdtql7WyZu9nh6y63t7JdftzhQaW/mQRPydWMPfczQgKCsPgS+eyZ+Wl3XF5Ow
OECWb9Emo/C1/cwGRBqWvLx1AaQRiN4wXPzCmGyCQrwhALAliiNAWSBsRzxuqztQ+lW7ECoDcFS/
YsYhB2qzUQ2QRovdk7t6CVIbxw75UDYO+wze0cj507ipef+8MDOv4Evf04fZhCAQSJh4zmT3aESN
IM/AneU/Bs04l65aPROkASwAKrbUl2kzRwhbNqNbbsI4uNO7cZdEYXDGz63uBiAw8404PxoXgVsZ
oUtTakEFGDsSB6sI3tPdexMnxFJtmMkz67RuDUqI+ZEg38D2wyiSpWZqjAgZoE0ggk9aF3+MDOtr
8+ffcFS4wPRId34mkCBfjCwopzJ1pwidjQ6CJwcli0a05e70/l5ZIuIJfAkFO+B0y6qkgPwTbBuv
HjVM7VXcQLMFpUpxBnZ6zsriLopoffHSLGGRhvrdlA84o+jPDwTYBgEFRUHFW3vhFaI2RZo9UNVm
hNfE9nxKj86Zd/zKKFgLCiMG/t18g+jyikyb+t6byZG/Gc6TJ89VKFYcKAYAw82kIxLE5+vjqel9
qwcVY8iixySG2M2DM00Lzuzht8OwqTOSZCHbCqR1eSkTDJfciDFqWuFjGX0zreTMkXw7DN5yus3p
YLZIPC4u3hEEPXSrI8qRoWPctZpmXpijbu4if2j2p7fviineruTeHVKbFonx1zOG8hRFJYOCBsoz
rnVvQdUroR8/beTtoYfFeXYuFt27knTKayOtHtZ647js3sqY4AQias5BH1UIRERWRjPLMAXBn81S
S2zODoC3IO0G7ryILzy1lkZTXii2QgB3zcatDKQghIo3NA0dhKjj+ZJ4nM4i6lf2hm3xiHGhTwGU
shwqgtOi8E22eNsl0eckoLaetYF7ZtXWrNjUMkkasQHf3HYD7Wm28rEyDsU7L4yfIC4995CZz/vr
8HcO7i2ayYFz4Q4W/iCOfCiN7Qj5L6StggTlLfezm6U30/hl0r6f3iArtvDUCnwSY3rbIlDICOVT
kc58oWl7YyG1Dh9KjvwS2RPkyCifxmHUXJw2ujKJeG5uBkOxT3BIr3eIzNpaqypYxbSkhxTKmAQo
SSu9PG1l8YxQBiQDuDzOMc9aWqKX84jGU8n9wDszd9rLxoF7JiA7gbbAA2D1TQTL7wCpYThOl5Wm
7xXyPf9E/v3XK26F+g+uhW95MVYhkjeLP/79NvxW5XX+s/nv+df+9dde/9Lf74sf2fum+vGjuX0u
ln/z1S/y7//T/sVz8/zqD7sMRv7xof1RjY8/6jZp/ocFYv6b/78//MuPP/6Vp7H48bffntFKzy7C
uqnCb81v//zRTBshudW5Cv/FMzFb+OeP755TfvPdc/X8f//P788rv/TjuW7+9ptmmH9l7WljZY0k
r445Pdr/+MeP1F/JbVtA5LkWxYwE++0vWV41Ab9m/5WcsMv20WlNtfh9fDQ02H/8TP2VLgd4LMi6
Uh0j9nV/+58pePePE/aP1VknxljinuarEtv27D2BYIMifr1PyaYmlFRH9K53xWX03b/GV45foYnZ
QhC2h4aHfJsrjvrxXEy9LIoT0ri2Ajg40wUAR1rCOZNhHJkxLFv31aXYxFfd0dxM2/wdhIaHF8vy
z1G/pP9YpjRmWw5ld9PmnUthcdmRMEVFFBcTzE3jlX/M9t1RHLQD4ou7c5YWT2qouIgJDXwabVy2
Tb319XTKGPGFMbN+mofmMr1qjv0eXt6jc+bYU6N/7T+x49KyzNawqPtAb7K49GJvcsIsQcTTrzrn
h2wa8RGlrOLebHvPQWkbnt1LMPfexxyx4K8ip+096DXtkMoIvLZReM21Xwz5T6fI/KupoAlsP6AD
fNeaUPdoGjI/dKE1lUkBVKm953mTubH9kKs8KyVi9EEvjn0CkV4rxuYR5M3wmCZuoW9asMXw8yXp
sWob965SLckby+l+tBOib0HniStrCBq1sWsj/F0r6BAJ6qI6WokmdEbTJvDQjV75Ja5Ey83TF9cC
Rz2g9xaYlz7tAEeLHZ1CJoMUvRWM5ftKoMwuoNLdNZ2E6bJwtbsuGdStnnTqQAhdoA05Czai3QVr
WzQrZoUlKjNV3M4zaLSoJsRVFzzodq0Oeqq7N7pDe7tu8P+UnpsfhJGgmdalFcSmObm5hxi6JyqK
YT3euDUUZHYT2Yey1+tnow70o6yMDlkJRjQIDxGgRiFeN/OBGiZMkwcVec3vWqYjjaTRrXpBN7/8
6npVd4hFM8EJa1vR1k279qCMRDtUeRUew6F29k6cF4fCyp1P6Qhtw4XbKw1M4iCqo3JG452cXPdg
kiH82OuN98WxxmKXVu0Ho6SUQZWmze5U35Tvazfr0ZROK/ubq1L3U+OK8VJmCfLM3cgpnJRxMaXD
+NT6RnhVw4bynUxBEWxzA0UX4nfvXk4wf4puRIPHh+zLuMjLVF25vd/7UJjQNgvzeQRdZFqUEVKb
tS8v+yluH0DxymsnG8b3+ZToz2gpQB0/xjAhGb0xPtRJXt6bTh0hbW2lxgAztT4ZfKrqu21st8MO
NdbyGsnL7ipp6DCNtSyEGswqYTJ3mxTM1RQNPvIiU9l9qdB/uS+NwGm3vpGl5hYdvfQOyU+0JCqR
DxderVDwdcjM6HHYazACtfVNPULDt4GzK0UMMkZJaatrZu5u9HYiUqm13N9GTpZdOEGmX5Mw6O5T
s+7CbT04kApVnYYYi4yg6u2tKjtAypWRQrT97r4MzBY1jTx1JUUTv1UfEZqwH1q36fY+EK4vZh5r
H9vCKT7pjU9tvskyxMXKAvpqrTdnYaW++Uow3LSXErntL+hkFTdOqouHPppSKC/tpt06WjR88CHc
g85UilYg4N1AcmyJLnP3hm1C6ujXrvd16qJY33mZFZgoEXlVvk2Gtv5UGHH0XcBfiBKM53q/FyOM
qq2DNlLq5fKDNUyQY6JBW+5RosoPSZSjaBkkoX9sE9+6Lpps+r3m0BzFIObenTCG7mB0pHqvRvgO
EyLbp74ZuVFkPIGt9QrI/QOnORATooERw6Gv75QRlj9FrkPcKPzR1q7HXGn+phAhngkpyrC6DIyu
tA5WpYbyIsnS7lhCy3hbmH2mb+AlTr/CtOYaB9kq6Ehr9L6DreknkL/qiQ5zHMg9wN0FSdgbUZvN
o0YDV7qxGwtm6g6e19vICr3PjsrGnwW1Rgsa8zR1dq7nGZCipEn84JRV8UNIFDg3cLXB2EYMdjXI
RAu2FQp7MWqRA6yKSD5UtxNSRp9rpZoDvBJwFKd97F9H0EF81xLEFzdg6JmluK/1dONN0v1oZF2N
FnCIBEPPG46st3ITxLc6SGn7kj5kFVIOh+VVO5amVSPRY8NMtxU0pR0roabjlIXdFfVJ4zqrJbIo
9qiQOU5lCa9uBzUh6Sx9I60y/L2g+fxdlNcxkuSWrHhdAKaCBbswtccg8KZ7PRhRisldNGNA5uxD
5eVXeh1mhzw3e6TScmeEvxGZukMMA58JUWHnHVstRauhD5p47+a6+F4RKeMDfXXVGoJsqGH6j0MY
qfeJLEBLmZlw742IglQ4+eZ3OOl11ApxPplbN9vOnsrH0Krrb20go8++0eyQVkFK0Q2RhwyDVjvo
w9TT51/eJ7nIj30+zqSqNkTxZVm8JybQNlUOgb5PLPxQVnZ+A9RIXvRdVB3/oGyDsa3ZyxCes4so
mPpD5Iz2UzeGCP4G8fAdTt7yMp665r1hVNqhHI0evLYn3bvA1Woe0+ycq7DozUuPL0RaM1TaTwQ4
gmufYjhNGJaufSgH4T+ZcVXs0DEcv2dQ8B2RtiludLsDTtE5vn8FuysLk+OiEMvys3dx40wbx7Oa
H24doAqd6QhjTvDgN0UhHurR9t8pwptNX1UaLrPsj2VkBEczhAHBzTz6Y0JSMvo2c90I2IaTGIdQ
OgHaoZE97NA1yh6z1s9Am5vwyuttHT6kOXTbqZMMW2fiiFMKmZLviezRcJkct0BzJxM7wy3kVRnO
mu3KQYsUsiKBPKmvyY3lV8hI6HGzj6oIaRa9oSXb90z/m63q5NLwbeehMCM0yOBzBGOVet3eKiNa
44DPobbVOazi5Iq7YOx1prJAKnHb0g54qwdo2UjEsvYTWm9PMRd4C+1+6h1IyIhjTkH/GfA5iWdg
TAlBrW35l4mc1L7tteqptlTxMy3L7in0Jr3ZJaKz75xWLy+sGolp3fblh74iE2q25cyRqE2EpwXc
ioicoeUxq0m25l1btfnRbNLwgH+x3tl6p11Lc4y/+26ffXdN1Gjyonevw4KViwfhbIqCqsBVI1R9
nXRWvpWUBvZDVPm3gU3hDHGQ7oMKKms/t0eSnE9HdTG6HYKQXQhE0xkLGxfhxtonCgYuAniueTcW
nnaHLKTasQnFI9XxAHbusTl4ttl+9iB+RRyyix8iaVT7RHYIZNJd7m9tO7agB3ZK7zoYzOkmS5T1
aUzpnla4kQez0YxtPSbNpa48+/cc8k6utLwBNGmIwD4qGGA/a7nW2vvCb7xNGOXpvvdNDc0VN703
U7//QFgBuX1WBEJt+nKyb/htf++r3By3SMg6FzVci8+a7o1PfmZ2Dw7F2Wer7LKHPkR72YTlHtnr
SlaIl43FtyR05IfQRBPZTk2UEsO8bh+HILUVOh9lggpX3n6vE5FCmGA45TbQS6QUXSf8LBt4FTee
zEY0eGsJW0bdoJPuObW8jjtY7jNVZU9dYol4z+XdfnP0OL0yE0SSElGLbNtqaNDQOjdY12h8UylT
TM2+H9LhfVRkyTGTHooCfdMiaFfMumJ9qb7Qsxh/8GPduHC8xvPuK83pqkvlweq5EUMs9pYc3OzQ
FXqEsG+UTVw4hSG3aZOonTlVyHWJHIWBNL7q6X+6TjkVP1VY57eAerR9NM06dzk8Lv3UFI+0mEKH
nHsm/UoSoszdFOJFDDcU3Mql+yWIRPNF+qhLDjI3mY3S/H/Ufddy3Miy7RdhB7x5BQpAG3pSlHlB
iJQE7z3+5nzL/bG7itpbRFdjdx1xns7EPEyEQpOdhcysrDRr5UDHjUWD9Aj6+7yUgiPa1uitLkr4
iApu59VWAyTmtJHrF/DsBs+SPqnPrdjH3xutVHy9jeo7oWut50ZQlat5EZUHE76HnDWJ1Mc5TgXw
V4L7MdFa9bou0ugntnB7EAoZIzh43t52f1V/+L9WWaDDRSgerh6xm7WF4v/9z7q08Odv/bu4oJoo
E5i0owlUSwOPaRQr/l1c0NR/YU4G9TWAiYgm4PjwR/8pLsjyvzT8DQsFMRHdVzy934sLsv4vA0UP
ulkuof4gmX9TW2Cqv8CKpC98VC8wrYDZMIN5C0uppQiVJEcE+0D7uei8FrlbJexWx7Lxtj+XYmHo
giKuoY+F4W+2nC2kitLnekTQty+IpS9gYAcyrZ/PGufVvSUJFV8MQKIbjboNUyqZdYATR3IOQH1Q
FmTgh+yCz3HDK1WcSZFQwkZJRsQECaYn2JnYaTHVtMbtRsCB5ulAZU39iIx3nSsSEB2bkQ8g+cqx
oC6njr4lGCUvlGNpxR41odPSRdglQNNtrIioae6DpwYrEQuv6MOULWhTA6YFTE+0OCRg5jAfC8Nj
owpgk5hIOUoF8k9Z5x0f/T+sCsu/JVAEPuyNoxmgwvDXlXnAEhe6IUACKFd1+UnxCi/3s6NQ/hhJ
SSKXpxE9lUvyaEFo1QloajDaTfRztcNih4OC5hAYtXS8YOSFY+nnolAwwMAECn9QzDIY1YCTO6Wh
iiQuS65C8IBgCs+py/tI5qGfMQVznCEEAR0BTQZsuwHT81SnUBFrQ0FmR1pkW0uXo70OAgk6iCPa
i57PBFyaf+nEkIjpUWr4eGJYOmMXVhZraWMUMQlGUYY07QpkRPtyaS2OoLN6J9UNcwJvXTwNpUfm
EIHj36kjajJEvseEO6wj+Bp/qo6TE959zXYp2QUP2Ze/V45WVhWJ/ouu3ulxjpKANBkEDmD+Co6z
LD/0dXFESe7xspitr7YWw3y1thKLPp1h+WMwHEDO5sARb1srvkP1Y69iBuOyuC1rxOsRp4lICCgh
RlyuguQ17mEkE4i+Df2njsy9wU5pGvFGwc+DBmA7VbrtguCBWjHzySaAKU5KRe8RkK9IPwSJZ+8c
AW+V6pUPWyqYXzBkFpNlCB0MTZOp5kyVsRhuby6FARVchKiyn0871SpAhMChEhH9m/A4kfqhvo8P
1s0CLh4nfgIyG2jRDgIBT8bD5c/EdIj0N8kofsO70IHFXBJzCwOSbihRa8KtZcfHankMUJZCS9QG
yWi9xxgSWXhww+cXCXIIgAuhOYF7zNDoca+OU7P0QalM3JMo7z91oUm6ZkSdB6Odl1XblKPQoS7M
FSDZYUJvUkkt6oiQAwaPHRjNSKqDIDfg4QNsGDqSpD9idKbUHud9EYEyF+6bl1ea3t4X8s9avAkn
zhTGthx8IBGUFoDWZMy8KCsD3AxwqFoW96CH3QdS9Npb4E8cFEC8Xz47toFAzQJjatR3KbqPbDCH
h/u3TuMZWgXfRmW0HdHGEgyIvXwUFn4mvurnt+3uskxGQQNfCKMT9G7WNIw5s9MASS634F8wE6xa
vqIxjO361h0Mw21i8+9i05kkJjZJgwiwSbz3iNzEZC4yJyk8PSzdxbQ4OrEzf2eiaFReGbsq9tWY
KEpMzEI+KCXoBpcJzBzVMI6OJsegERLC/tjJgnFnCcZ4pTYj5ko7DQwrghm4Rlk19z1lHO3MyvAu
HzgT19CBEnF5Y/YKA7QyRRc4/W0JuKinLmhjkjbfQQphR4nKOehtCZhMogimWGhhrUhv2lFcetAI
GagwBXgf/yWKyW8dLAUDPZh+ks+melSrK/s2B4GMIk1YWruuRc61eWaV9JBWAhhbASfTlNRtnJC6
CzylWJ7VPHHlKiCdzIP32zwtvFbwtkJyD4BJ5ntkQ4YKO3QZhIOEVv0Ezq3LX5wJiW+npQB4Gk9F
mm8YTB6FnSIJU+jg/BJRfPfyTLxvpdl0hdi8uyxo69SwjoHdYbzvpDNfzjsxTWt9AOdaNNwryzEI
XrMKgOGiygnyTFbzphHNLlD6p+1pdr++q7NgBKMxLEwBAeakGzsR1M1ATQGG96DfmlLCuzA3JQJn
mLbsgf3OLmeF4KcqCxA5EM0eSIr+4LN+yN0cvOy5LT2gOTbbupd7BUiSr3nQjOxt/VvdlXDGRHQz
6q24gPDRUV5ntyDhAZxEnW34MsGeJK9dvWUv2JkGfi18F88KarGr6AU4sUkwE9hLnz2mgnHop8Cf
NF4c2jKWtRT6K1ZSFAMMULUIpRKp9kYRy5eC4SwtSN/Rmr1sl1suthbFnB/MJVLnCqIiqfgco/GS
Y/WE42TnMR8hA1sk2JGgfX7gk53qkzUJ3K+RYmI8mveKl7s9RnZ3gzMScMP69RMCvMP7UpuKYSBQ
w8ogcDvZxV0hxwyJgiYjwtSSP4P8rPdGxSg5Oci2/UEr3NKIuBo7r9tXUwaSK4jpYBJ2vFt2OgHV
7hPaX27g1JzbU6Y30Or1/NvcV+KYeKXq4D4uRIgDKHVgozeKCnGGZhBY+77H7nCcexu0v88lnmue
eGX54C+SnBAbu5nPw2LbcgWcrGwgblIQIFTF1kZad2lqGWAXI0ODZlfUOEY5Y5CKB4jAJl5vKq/l
MCqjd6thSRIuJ8+OpGLoJneB9PmgYefiNdNt8apxEOxeLrvFlgfiVkCejAqZdQZgU+rqMugR3AKU
Cxi8PgR4xBsiUF8mDtj4lpmuBLEIJWVcCXm1QLsOEdoNQk3Y69XYe5fVeTND1m7wkQCqgfzmHJWk
NaZMXGrcpOlzta9vZqfxencCnelgD3uQm+0bN73rbmA3kulg6gWgHrz3L/c3MPl6PwRgKNTDhAhN
kvUOukoactpSB6utbvQtGu5mBRpwwfohy6BTV6O2v1kGZfCaTI99hA9wdxeJ9H1cTPCIxmp7pxeF
6fQg3PJB2oUCWaEGGQGneC1hi07ilsq2nG99iEzypmgdOAsnHGJD+l/Vfv62HCNS7CZHyWwRjNRc
3haZPpX++2cDosSpj2GCQQuzAhKlRx0IPd7gzQ5mF9HyI+k3rJA6c3cwIxvEMbGdk+RQ+BInb9m0
zz+Gg4XA01+gCuCWqxv8ggqjJU392vFyPHpol1Rk3Hvpk1mfIwgQD4GfY6YN+403/4uJNvpDL8mh
H3d1p4oFdvfmFnIGb3wGofy+szvXOMh24vLebZuRcXVm9ExXotK0UaekXahPgxotsJAZA08lNOzL
Tr1592DkEmgFmGdTMUZ3KqcTy9rIQ53ePc0VaFGP07GzQWb2a7zFVUsuS9tUaiWMUUosyqUuZhWJ
gq56gjn4xvKkyLwlRhoDzr4SgNYwpWeq6LUw5hbnWgPyaKiktPJ3tQZHthV7cVJhcsK0S0HeN2Px
eFmx/3KM7zIZCwxise/qAjLBJezqTkbycS9/7b3FhUtV3sxbI5I24wiwQJBAom0EQIPT77YszYDu
X0cFBn5BpOPSYnx0coAl5iXooj/yGjGbTvwu8GyHOY6FCj1mJMnWY1NhV5q3GPlfzvCPSuz2sppH
eWKlkFD+AqvzrvW7nQyMKHRLcZPoLueLbd7OK32YLzakVTJ2IhysIYunPwNX9y52cwfGfxvY4LDw
49vwlucAm1ksUJP+89nY9lye4AGXA6AfT42BqE4BRlg7/KncQKyE0mDuZX5p2NhzuazttuO9i2Uc
r57bzqpqIyZqt6R2M4+7uYvcrg84e4jbidZKP/pD1mErLqZAKOuEJFfdVb7DXADp7HBv2qpHM0gB
BdHLmvHMknl76HGGOdwOxRC5VWzZvB4rDtYG7+iYWtMQpJk1Y5OSYIJsL0Wh39aBD3BMTla+eYWt
Do5JbDCIAVDXBgen+uEOxNg7zVc9kTuUvXlclDqFMuChScx8H0UB/x22KtHOqtrvc5Y8xRb3Stn0
rJUM5pOI4YiK0ogKWLKvI8d4yvYLmNWJ9hnDEgDF1fzFHR87mL73kfcaVoNwwwAI/5wyUdVLqa5S
qp0KyDyIGwXO9jbbU/j9kliJYDzJUNGyxUhPTARQ3x1Q7nExCFt/63Z1CMAz2WsOzb24yxxt3/Nw
qzbvtZVo5tsJ/WgEYYjbMwV38q2sTaYdBSBEHutZPOaDDPQ+zGtdCUafvPy9k6EZhII1RUo13qLa
yqurwtBHpYZkJbwDVLzTgT37soTNc12LYIym6mUhA0IsbaS50xf9oBBUyYlU+bUfELSU4Q3qbpYc
DBzz7tItD1+LZjy8XDDqJubQDhzbOxWzknLc/VKL5eGyiluuh6MzDeDpoN3Pbg+YNTiSjBZs0kp5
W4JfJBd4PaBNCcCvUbEoR+H1GUXqRDWwNJCBJhRjrUN7F/BeL1snRQFy/iOACVIYJcd+FfZvyZBm
h0jQ3BFsR9rwl8gsbz62FsPkNvqcG4sRQIysH8X0RsI2jG7wwIe3otRKCDvy0Y86tmELMSEZ8GzB
eI2ZR0HQvgmgNuuFjHMvcg6OhUPT5kA3AxXfPs9/LnJD8mqvRB94Za0VYhKaHPNtKeCB0c6fTBJ1
y1Mr1p8/YMLv359dk50sTMBFOc5swTT+ZHwN26fLAjbf96iUYPeGQmRib/A0fwDHcpiOIZQYHdFp
9kCKA2SChkhgXqmZM7m0yheS9EkmjZPfmqFtfou5MCFbd7GhAhUIg0Dgh2F7qYuA3FoZioRonU9j
UY9hIPAgXgWRXV4Zfu77GLe+0nfzTrE/VIxeC6emtIq1Bahec436GCVGwAqdO+zE0Y6d2ZNccRfM
5PKJb2ZsBqrumLACChK2eE7ltYusoimpwqe99lm6ohnb6+CU+3YPeDGcdcZJRTeD1EoeY6bDlACX
VYY8ubjTy9aljBn/UCX6dlodoS7mmT7GiIMd+f0Yi6ynNHmd7/K9SOpbU9m12bUWc/yPe5JU87XY
vCxRZoFmGhYwZCBkX5c3vT/s0qus9UTwcPmZG3qCd1lb3nky9lKKk5FXPbCklFh0FsyAZzpn73rz
rbk2EeZuFgoQAaiJgk/mq7krO0AXeelQJlgO2mHS7cbn5XHco2RuMtyVKeD7IbEhkmfWTomRjcIO
9oKj+Ki3oMgDwGyenptBemWZzO1WRmGz9KIMswk+9cIP3XwJuLfOZmhZyWCuttaU6rjGPBnSfDoH
NWBXEatm/AOkJs7WQN4/GdZMT22x00rQuSg4wNGJniZU+f2EBPvQt66rmwiw+jse2jjHSLAwfyox
NLATb824G1BdRBDBBgJe8BGJQRR6jHbddYaXwEcsH/FQx2yogrnbU4lSKmhJSG+jVKqcpaq8vMw+
5FzvIhiTMKZGtIIaItQx9gYhuO4bHqX8tv++i2AsopmHKh4VxPvekOxEvs5Ryr58Ttt2/UcCO0sj
lOZsxn0K9228uMzsWcKe6Zhzjoqe9rnFvUthvn9nhqrUypAS1Po+bYebsl8wZKGDPzh1y0j9dFkp
njjmGhGLqQMIO76MOC4AnXnt5v2geGZ81GQeqCzv/JjrRE6E5nfWawrAOUlCYshPZhVxmjg8hZjb
I63mebQynN8sAlKy+RQX2CyaakdXn5Vo2l8+PY7Rsc1USS30Ig1xQ6pAs5P6X7LOAwjhSWDujKww
VEOhnjOMFsHQE2BBSv+fKUFPdHXf5nU0YfgMIrK0sJE42mbF+Sa8L8+4/9z1aHu3VULKNLAt83Uc
ZH8cfl5WY1sIhn8xpojNU3b0oW/aCZsLCABKlJEq049j3dxgO4+H/rFZe8QsIlb+MEQCXC3mTjDk
qJ7jEZmCNt9ovSM72M0sHbTSHPVJ8xXla+jQ5JqX0W5awkosExikwowA2AGxVoPNGxPEXubCiT3s
gPHvF+NKBhMNKmx1RZIF51H94aoVr0UHrEI6GiY7w41uADvSiLs+d4QDvynEU4+JDmIIjHZhhCth
DfiL1OYEqE7PH7CQlXb0J6wMvZsifdZrJCaG8VI0t2OZkMn6hzKola5kNA2wfbWROlOGk6u+g7HB
xpqmc1mTzSC30oSJCuAMX4R6pOlPOsq+oC7tY28WMTD4uiK2tSoMwfBijOSyVBaJ4sw8mEghlPpo
TBhuRwIb+MgT/HBv+fQpyavibvrySj8mYKhAysSQKX15CKpj1dgC70a7srhAr9Rnzi7blRwmaShC
YI53OXwquAaMx054KAXMNGsHxZ13KY8AZcvC0WJC1xpYxMCuYhw4CTGKO5tWTIouxCMxbjVAUxYa
p85OPz2rEpYRNJCKAsQU0zanBljVuNEXOq+EFWAnBG5OIWu7etIfRazzX7aHra8EjFPgOQEi65y9
ETu5soXBWIjSH4T4qauPacG5YDebWQBcwJAepsGB68SoEyDjacUBhxbWTryrfdpZirCwjRdo4qLJ
415WafP03gDVMZmNlQcmCs3YGF1mBX2lORYOPfhebCCVXOl1fivly0cSSkr/irWRN2FMPOrzoMqz
BQXT0ZpuATeAnfEeT94m4AzwbxreG16pBtAakX1SjBmwKpoY36mvX5Gu2FweoU1DWAlgrg0hMaWi
oAKW6quIYJcXQEIef17+NJtagNocM2To056RnCl9lzTijMo2cCYd7Hzf5WH767KILT3o9hhedOBA
wajrqe8MQgUQUxHxbQQgRq8ANAUb3rr0clkKDV6shwLgEYO72MRTMNJ0KkUzsqzRgLtOrEJxqux2
Bj1nlY2eqf6AC2WSd1ncplI4NgrFiMcdix7bWjXQNwTcdUHefDPV4iULrMkuRePhspy3BOtMr3dB
7PiUYYzSpBa03Gcrr/on8xpbfp03ugsZMehEyx2lPxyx2Q+03NfouS3tuSEiAcQC4c03cXSmW6Lr
WzjsRjEDggNuetX4BmyZa3HA6F1cT/ZlnTdzQWulM2P5Ro914rHGAHbrTmR8MH6r69dO89KSmTQF
KR+jT5eFbiqngkcAi3QiRWw6VW4W4hTj3hOUCzVnHucQDRfABdRdzvmiW8GQYisDfg6M22ezEZ0A
eqU5hTtgYtSO49RdpKfeQi15bDn5zGaYX4lipyJytQCAco5zHJ35LaNejli9wTCV4lY+bwRjUy9Q
NuuoSdMzZBwwymM9fCuxlNXiRoGyK9T43mzEr5o1Pl/+VtsG8i6LfSxgTMEK4gYZNR3IHvZy6tYg
dvpZfW5c2ZOupZ8i7rPSkXj9/O0TXQlmXMCMU0Mvx5lapuLpoMjLB3dwFuftQL+23G41tfQz71/J
YzwBgWfJwwap1OCJwOewaXrY2f0X5Vfmxo8fqTFagBsGPwhm6/HPqQ9gURqwDSZMc9LTvQm8JqF7
KYy7yx9v09GAzoy1Nwppyu78VGaohCgJojYCNpXFuC7xNu7nn5eFbHZsKdPkf6RQa129GGop0JJG
wsHNGB/OvOlLh2rfDrUeIAH7dLUTeXzSXc0E4zvcSbKtS3UtnDlH0K93QByFij3d9mlvQJn3Idde
6cfk8iBRCzpMf9A3JUq1ZAGojQ+4KRLtGl9WuNB81HnP7NAEcCvmFjZYfafAagFCi+OUmuC4NJHT
NgPpsNoBmE2nD4pdtYAOXgvmHec7blvLu2Amm1OrMB/GLKchTATQsS0RZad04GCV9+BaeS6/yqKd
OTlnkGJDKuCCAZ+JXJTOijBul81V1lmZBjdvUgIAPVcRRKcGxgtHu42Yib4W6h0oMWBlhgI+rq3U
zETwYNaQk+zDHTC4EFQiR/qsK7b6qGMqiU5cxRXJXzhy6WXGfE5gMUgWaOmwk3nGNjRkIeYce6of
2nhh6LVO5GEgRcUeaPUACJLowJ0t28jPIBL7rsB1lFV80FNVgzyVFWBX0Q8pU8RFgXSSU+20B82d
nHGwO5R3+s6u/PaoCbb2dFnjrQ+qA/EV2Nz4mudoj/mEtRYDT/sqeQindge8FxuZJOfpRnU4O1YT
MJxYFMIuCNuBLkCMYOSDmaLmP6h2pcwHLTMdq5FkW8mKVzMLebtQm3qtJDLukWhRmLSFkRIgvoHW
SbCXvvGqeuEsgWzZKe51itGHNyOQJk8/HnhuoiIzUClQl8kp6sLRo1clGR1h/MC4C+jc/0h6mxdf
xe0uAK92JaYZafLBjo2bujKdVJzty+awEaBPpDB+B0RQNVcUAQE6mW2r+hlPPy4L4BwYS2VhgcQd
60IQUHWfKzFz0+EpazMHaBfeZUE8TZi0NbUA7qtWEASE0bbonVbj8WRsGjXw+rGojglsTB2cfvsg
GCqgb8GoE2Fygd3vyFVsR4t8FLsvzfT1A+qshNFzXX1+rPTjNQpCQhImnXilzpaxGyxTIpelbH4d
yjACuBEYMztCAdbCcApnqNSEGbKA+2VcHFWY7V7kAcRvZaqAmH0XxZyeMiyARO2tlCi3AxHdwhNu
wmvNta7xjLHlHTbuj9L+snZb/WnsvwOtB+EOiB0WYxN5B5Bn4KnCJnpndHvoBvhRN/FQSreLnCDs
ZQVWKXh98a1YtBZLTXX97YDSiHUjnGioGG6ZpQ+CrNphwVuKB+LQeZRdy2GOtMMwnLBUQorN9GSw
89gxf8nLp9QVXGTGxKjQ27P1F+u5RmP5LuWOcfLEMybaDtky9RZO11yAfiq0tIkEWg7LnN1BQrUz
kI6jlP59r+fkkzK354gcoQaMRkamQTksgJfUx8qVIk4+sv0FEX0xcIOchC1qTLMK2NUEjZ62vFOX
pyCYXDDy8FLXLe8DP8t/pLAVjbGYTTVOcJmMzuI1d+b14qHBR/nGTaLetpoLRLqdQHg3y1YcW4tl
Yj4ACruoLKEcnqn3prSr+l9TMPhyGDgKcEQ5PrgpDf0y8HQgxcKC3akzaLkZhsIMaSNcELi6GGk+
TCXpv+Z7UNI7AjGd2GuGHUUR5RzwxpWAAQcV86jAg6bwgKeih17o8zQLMHnQA94uWHobiUnNUXDD
VE6EUC9ZOXsna6G6aLinY3N0myH8VTTSThKK75fPkSeGSTwM9CvacU5TtCy6m0bFcEgPokwbROA/
LwtiGaNpF2atkMmUxPukq9qqhSRs410lld0Dn1KzrZf6W0QGZMaAYwDRcWtbz3NhTz/jR16GvDVd
ePILGAOVUkMItQLfLfgm3PbfKw+ul5j2cMyAseSPRHOw2BK8jLsOMOX2fPU2ZeRePobt80YJAMyO
QBJXmeAW6UmSz0uYIs58VlM0oRLLQQn9shAW5/3trFXa4MCwMYX+YozH7MGIl854C4izQ1teEbA7
7cqNfyhO43+g6wU+0ndhjAmF0tw0Ex02alQXaJG7ALWNMuRkFFvnthLC0nBYEWqjQOtEL37ahZEC
bOcbC2iwnHPbiJxrVdhpyF4dhhlTknSKie7ntE7oyoldvaB6CCalt02/8HYCESm3DrURzk4ky6fu
3s9TkA5A70a5AZMAZChv6QCV4NavBlwSE9Bf8LShvMn8uL2VQuEhjkIOKk6ihGn3U9lSIQ9NPEB2
8GnxcMnuq1vrJtZQ7DAy7EJhnwK7vuhkXj7szbMGuylAH96uKvrFVwEu1gEtqEcSmKCnb0p4HEN9
vwTYuu2iD4RrvIz/CGJdLjGkXKHz5FLnInnYGcLC8betCwEvN7RGcLHjXmc8QNVyLco1JNX5rHzV
q/YKCwC8C2/LAVYy2AapscxdkebIc9sus4XlJYnAy6t8vvxNeEKYCNmrlZJ1AxRpsKkAOrR57A9A
yq18aU54+yxbpV5QMf85NbYGFACdblBNPK3pDU6dLQV/nwPE0r2K7ET5elk1zjfSmZy9siY0nQuo
Jig/xXmyg/nhsgDe2dEfsLLnRq16sCTjA/VN5nRVsEsywJFjBeqfiWHcpsBMUidZOt47cYI9Pqn6
Vphp4UdBwzmwTX3oKDptk6OpzESkMp6DIYrxCtAwrEH6yLzvq6UiaS6+XtZoK/ShkwxWJ9owP6Oz
lgEGrWsqBFUVUOUB1B4uGEWi/Q3Uryst8i6L29ILqYiMyjjSRhTiT79THpkjsJ9xk8gprKBrMSt0
03BbQ1vmpivYlbGwNoV1OyZHLPQU5FQhYmoIAHVFAnaNUXKeLFvnthbBXPIZHmm6TK9EbbLswEKG
H4AXor8VQ8s10Z+5fGw8hZgYZ6ZYlkhSLSV1UNnN9GouvAm1bX2QFgExwzhnYYuHRAOsN+acVPTi
k/yHHBs2LfO1yrfK+MBKLFqE78IYby1aKS7LHOroVXAdTdl3KRifFXBq//2pAUILK/aoc8tndK+h
DFjpQApSYqaPTdS4esIbz9kyZ/DsAD2F+iiW3k/NOc5Sa4gTPFy1HNAN2rdYxbB39BH8HcDHvYth
okGTY69eVpC3Wo/pzULQIL6Or3ss51U781HK7OVT+4K0+fLpbRVaIBVVdPpcBqQxY3R62AZ1Sx95
5idYHBLZabc0ThcAtgItQQeoRtf6R+LDSib7eraiFq9OCpkHp85dMzFMkmpZdzCAXcDpgmxNzYOM
SQFEKX0LIPk6/XhhbbVSjl2VP93O9Kd1Y2GPn24FmIatP1w+0E1jWcljviKmrxo51HCek3IlyJ+a
KgP2CY8UcvOdhQe5AtZ4UOcBQOlUq1ES216LIrwpsb6RHsOjeW/19kTCnYYFo9Kx3BQMAyDwwTxU
jk7MsVPtnBev3hBzmV4BSPLefwXj4Z2ZRmon4rWH9+be2Gme8RLcpQcTO1Wpi7x+PzkzSX+f9T1G
iEuSkkLFRlfnKZyO7Gaqs/4t9LuscoNoBsfFsuC3FFcTiRzlcwTJum3awiF/5L3HNhJr3G+ApgIM
OWbp3oxuJWwBDbzVDhAWFdeTcLQKjHl7UfmR/A1yAFcMgk68HtitxhoTg7OoQ47qU6W6yA7d1Mn3
5V1ymLmr61v1gxNxjO2Wo9GDWwDifmMntHZ7DUJldGXB29SCT9Me3MCuvepbl7rj50olLW9ZbsN7
Tn4BY9e1nC9ansBbgbPvaXrkgybl1ZKCp8tOunHTnohhDLfKJ2mW2gSF8xZgEHLRFraMOaB/JoSx
SCQOabjQ02ylfabnIMfhUXOr9DgYBzzRg3l3KSWArgMFIlAg64CyIRHqd6nT0HIdakDCW0nSeGiv
F6I79XfVjVFi1p3YBWQvAdz7jellbrs3d/ktOPFMe7YzP9k1TnNdfKSmd/JjmXwtanG7RTWqU6re
fUoS8bNYNP+mTThhbVxT4m1+WB04lAZmhkBTyRxIA6hIeaRNPoxA/+iF+K4IG14hYQvvSRdXQhhF
dHAsYd8YQoRd79J+yCLaMYAJRLtT9mCRAuUNYO0bvxbtBi1UJKgAKf1ZlZwsm6crk5yCSAS3Q4ef
gRy8vRfVonvI5LznWPGmR66UZfIDawD45RJmGSkiw9NbhaSR6AS4sS87y9Y9vT5U9vGdl61kdCa0
oRyDsbu8ZLGXOmAGclAeuc10dFB5qc9GNowdDeiGnSr069jUYDS1rGrolUH7WpqXukax7/SDmb+k
14o/k8zVxn2T+tns59o1D5lv6w5ZS2eCrVGqjTRESIJAnfWQVg+q/EtfZFedB/fy0W7ZyVoQE1Mz
DGcYWgJBs1G7PfCqhyTeXRaxVd86OUr6G1YXYporhaQuBuBmf+kRWsS2dEUnywTMZKMCazYke1B3
/JCyZZxr1ZgQa4xGhm4/vmATDV5Qj65Y12RcFs4J8sQwUWUWigAkg7DNMpzASQN+5CUHbV7DMUie
GCauAGSNGgW00TLNVsX2R9YuV3FbcAYhePbAxI2p7GtznvCtxig/ijMI73h1jTcaYPZeWn8XJmgo
eSj0oF/P3tLTGrNxn5YX5XN1F8EmdDIBfgckb+jkDq5Mhmu5szX8d+UJe15DYut5szZMFn68AlhN
qCY402Qf70DcFGDMcnqKUieF+Al0FnayHOLltea8OziHTJlq1g6xhEFgNvRbBgbGDaRQfCzlD+Cd
gItVBDG8roI7l0UoKwYQxCQtTtlod2LYO3Ohc4L/VpdjLYKdvpXBkAHyV4hY6taL45vZvJGQ5sYg
Axuswm76H2E3eagMO1PFo1k/D5C074/hdHCDoIrJ1ndaqTRLsBBirD807Qkr/xZW20JT8Dpu42xb
FIZF0S/eqCFUet6NGkgGSfxcPk+kvSk83O43EjTFiB6QOPzhW3XNw4ndeLNQDd/FMlFTwPgjUkSI
zZp98SSRFsgX8tM8e2Dnc/hd//P4ciqO/vkqSIN2NBJyC+IE9WeWfYnlOyvhIBm8Tb6eev6pDCZU
Vh2AQi30xlFllKLaxebeMDptPlXSbtBbwVY6a8L7TwSJrdfMce/qaSI6vS5XHqp80Q4UuxLRzTRx
KlMYHoWirnq7zaISvDDYZSv1ZfgGUJHQBRSEilW6qnPqqp2+JM28gIBuJoArI2E4kn6SbswgtPwu
knSnUA3hiJd5tA/zznA1QYuddOyN20nVq0PRYFoxGdLEBzuZ4hZx0Rw0Ra7Bsqnrdovhm9kupXnY
CbUk3sWaOXP2cDbmQehTEkUsNNvBe8z2u3W9bFIx64Db2DvlL0rh0vvqd2UHyP2d8QkbIF/EK7ME
Zh4fnGkjRJ7KZkIVmFNLc4lqWrZXhCshmEfHUuvoUysK2k4Rcm3CMruq/cTGwfSo1rlkF402H2fT
iEO3Bg6ID0ab0Acb99+jIZ3+MuYaScI2m8UQaGOo66V2osa3WJs5Wk3498WDE0Fs4xz9ujjopjdA
teBA45trkgFgOCA/avyQ8FK/DUdcf212m6iIYwM0ffjaeYHBpmlwFOWp/vut51OdmPxyakG0nMgU
SlWN7Fx71JNPbXF/Oe97mwFk3P1EEya3DKPJAlkCNAH0rR/v+hB9Jt2lJRjabcKW5jHEUoPTfhE9
0NA2eFhiZISLJ7R9niAONzEyIp6xKVi5no5KN1C2ih9zeFsqkWOZ7mVVzy90epzvMpjApmdAXJgN
yChS0zawVaPGHAkbl+2pCCb/y0azBwI6VgzNTLme5vAhV5KDslikmrMd6EVr0G7L9+IyKk7UxhGA
C6zPl5XcyONPfwITC0JT7/KBAvWnz/HNRAwPtNnBneWqdvY9uxluck/4mnOE8k6W8fLaqKOxGgGd
ueijk0bPivmFoxVHAotEllVAsJQpwmScYdemL1AdSbw3JNLidiQymXfCU/jPtDor3Q0yANYa2Ivc
53sweN+2LQ/QgmP2GuPhM1ifG5B6I4z0L2kU2QNeJbLJcfGNzf8Tk2BLzRFmT4R6gBTV1w/y99wF
k3R3tN5qq9N3MEu5KG9kh353+aP9l9Dyx+HYAVdhkYwaM+g0J+tK25R8q3ekV+PVCv0mdmlwif3g
Mc+dJt3P8IjwXkV66HTX45E3jfaWap6HufffQr/EKnOKojYT4f/4LTnJnlRHsqUXC8MbI9E9695w
DV9z5F3m8zB0N/LSddBhy1l1iaPvsXJKmqZFVhPbcnMoskd5/nH5sDcqv6cfmQk9LcjDx3GAIPFg
fakGW4uI8kXz4kPqFBjU+RXYmjMCWCK268fKCR54i3c8U2bjjjKXvS7gHlmi+VFSxy+Flrq5Vu0v
68kLBEyoMaxOn0HjHRO9Mw9l0pO64laV6E+9YCtsIasJOnHOKIB+hs1WEFJjxrcnySNK6EC2xebn
vO/RCQG26Qvqg4Zi8+DKNippJ9+SbVcuRmsOUwuHTa7K71qMEnCIdEa6D25poRcId5x7i2OkZ1MM
UwqKeHptjXHkY1QcC3GPiiQTbNlyCiTUCi8dLZNtgEJ0UsUUK/8KuJ7LWgCX724Ovpbdl2SueE9f
aguXhFFbWvl8iXdbVMuwlfEAyvq2dvLWznoUJzMPAH7L7IAF+iqPXOlXo9s6puB5WeLW83Dt/SyG
kNWqwK1qcW0Zj/JB8zCX7QSe/EVxcoyo8WIcxzVY4sNuKpLUKqGu1oIGPQJWmzslYeVddkDeF2Ti
TAj++CAqoNJgzXdBtNhzrbhq190V3fBlXBpOYs8Tx4SVQsyUEs9R0MugQaI2j5r5YgLsbhhyWzcX
jnXyDIYJLkURZqVFg7XqA1fTT30FOMx8OBxejsbWZMT8/3P2ZcuR49iSX0QzElzxyjU2hUL78gLL
VCq5EwRIkCC/fjxy7nSrozUZduutqqRMFAjgrH7czVb4Zx4PaJ95uI/+Zvlsbot0SL2QwuCcvE2R
YJTq7yd3zQdekscbJaOTsWJ7U0o/1rh41Y9oJkWAvLKwa8L28XwrrV/F7lrk/U2/5T8M2qX8l6er
parOqlxz1B9ydpxITJL5CROxCEPqgwXOMB4KdeZm2XtpFZbpNdz9lcdxCWiyDOVPChMSMUVbfe3G
oz34V6BG/580/F8xhn9hbxyQs0DuHLuUMSjkJrC8gbwezZ0z6bWKxh92cp3O++pdughsFNTgzsDU
86GafL9OIS1DO+YZjcqtqaLOC93fhochn2sd9CsO379Ip6ZSUM5ND+aG3fQgU/Gnd+JaVzzTled/
WVUBRBQTjhq7Wwd+KFoa9dROZmolHtu58zULem1LF8ZmaSvPw2g9CGkK1LmBtBfiblDXwInfXkUK
sA6UpgG++HONvrilStEinwX2pPWDOUFUAYM0f3/p3+7jywrnn39ZoZUV2srn+GHkUwgtzXAlj9P8
v5Q5BRAaj/rLKhcXQJPKaqoWkkoLfc1FkNnAEqChe2Uv177Whb8p8yoYai3RIF/VkQ7VzjWXK8zT
15a4OHbD/H/JJQE2sOdbX/Eroci1A7lwLIZdm6WtcOR89YOwX/1HOgpoU+offz/471O9f5/J5eCq
qru+N8+SJ+A0RVoHdHwLJNGs0wYVSTREddZHXVTcNEb295W/e6g2JikgKnBWFfgDd/py5fhSzByy
j8hk50mFtEHHFVIlOuPT4t3owv0gmNtP/r7md1/165rkP6+5wOCUgboRSlf+GhP+01s62IVr7fNv
MysbQsWOTX1M51xy+jiVCPwhP0fjZejnSb6EhhXSjxyWFSPrZ7BGMceLBWxh4oB3+9SBwfgaj+t3
ETrCVRdfFwMemNb/z62OLHdyTMLgAjmP+aCSftlItwstsDv8g28KtJLlnvn3g0umxYHgiekZrWbh
7s1yE5zVWcdrvPLfHtyXRS4sR7OKYtULFvHoye+3NSiFyre/7+NbZ2xjJt21ICQDkoHLTGOg46B9
nFqxRfGB/6HazcP7MRzQZotHFDGvhRjf7+rfK57NzJcnwBw+UWjeIwNf+thnryIY4ECuvLNri5x/
/mWRpu8N4VUL3hmqiCFlBktpxUjiOtM1o/WdWQRDAviBAg8D15dZKM8X4iqK/Uz1DLW3+7HRVy7b
tytgcBrY1cAHhONiM/kaiNVr4W/ZUIXMr0Pf+H3lGpxtwGUOCMjoWXPWO0sBX1yDsp8dxhvkD0Ni
RsN9l9ZgrlkjhPUx2V+reH23n6+LnX/+5XAAUtXT0DsgY+uGPciBErCAXXGH3xmCr0tcfDL4EblK
hiUkGZOmOHWeleV9EIr5n305KEICHuma/wW7bcdmcMX6PzIDazxE3YPe+5GfibN41rWx7W/jWAcN
NGi+okgP3df//HZ5WZC8sv4sF2RnfNu4xg2EDXBYdtQkaoReVwPgy5Xv+V2t58uyl6mY4bq45mQG
DrRnVQi5sGlfLiOQriub67u2s9RWiZqIcB4L9xoI+Fsj9XX1C2izgdovhGmwaf9Bx2DCPMu12tlZ
W4sfnFRGXab/QT79dcULn6n63BisGvdn8nPUru7FoODUutQWh5ZcsyDfGauvi108Pgrkiyo4FrNt
nKC1JHT+GF3r6e9v/NoqF6+OU8ssBIcVWcCIyUYQOXX9ck+88cqn+/51/+uG+hdPb5YdLYWJ3bjL
mMzoiqG2eyUSvbaVC8cYoCvVz52P+8CnyLUq6HrIxJ83f/9g38VqX4/lIphgVW1bPcGtq8akczKn
flAtVJw9jISPVxhLybW1LmJrDhvPprOqyxiDqmnbvWkzLqdYZEVa3xUPgBDF61mz5NAdx7N8bqRP
6lS941aq2+YdX+DvW/8Gdo+g4N9mxr8wM/1aeWN1VoA5ixC6qXywoWkD6n9+YwBza2QzkBs5xJLb
U5WAkPvpWj/gyiW67FMz7o6VOAspLaWVCnN4Lthw5T18Wz7+ssfL5nSFAbKOni33mZfuzM1ov5xb
ZT70odDs2TlXECPnT/bfLvZf7yK4MCljLiH46WE5c1du7P24abdqW6fDFTzWt54PU9oWnLmJuOTC
mLCh8HUvS1TlpWx8NNyb5WbRtXEgasy3fTmB/uLvl+Xbs/qy4oVhATTXBicLzkqC+8VsSFS6/6QB
6HxZ4sKmtCaTaxGA+HRlt5VZhXp8Ku0x/vs+vrUqXxa5sCqMzb5sBHxciZfXdj8Du9pY7ZXU89rx
XBiVssfc7R96cQOUSdz6WdCPEvzs1XplnWubuTAoxF9K3+smYB/l1KSjqs1tXqkOeh3AGLErX+7a
DbiwFrzXll7PimuaWTGQ6U90BcfpPzgd2CSQfto2eNAuroDXlf+jeQYYTyba9RhM9e2EMfcr63y7
ly/rXNwCcywxfsfwTEHxkPpde6KG//D3rXwfz3xZ4+ISdKwNan4O6K3b4dmBxGvx4CdWtmJUC31d
4HCuSqp8uyvkxCZ0Gh0MkV6ckCC2zqvWwAO65c/DD39TJgzAH2sJzQ8rqRIaX7Pg39YDnH8veRky
doE12tP/dSFyuwah/WIkbWKssZGUZ23ZWABW+dRkY4Q8MP9HaebX5S9iRkg6oM1a4ByVWEI79zE1
6YQBvvnfz/LKh70s2VfUXGv6x3FLdSJlFZVO/fb3Jb6/Ll++5IVJB8C4tLTAVkjmNylJrA1NrLvl
Y0okhpS6XXdzLUf/3jd+WfK87S8pWtlguHo8v4I/qkk/5pu+CNmfCbclBlas0dG15se3hvHLihfv
e2pHIIL0APwyDw5gtTvkjftOx/mds6vTwd8axy9rXbzxkUtrpQt2Vy93dQ219O5Gqf/9CDJCqC+L
XDxyM++rCSwjeHJrB8TyD5Coi+q5rMGMyXX09ytybUMX1j6YpUnmc6gql4egy8GmXsclWa90bv4r
SD1rdp4rl6AqclHnu7gUa+3nkvugPRDSG5OiMzM+Fl3ouXl1FjrUoaLjlRj8v57XxZIXGwPBzuz4
foNpyr4P3S7fGD5J/v7tQKrxX6HZxSoX1nEkojTrsZji2vRAT+HTjZsbOrXt0k2k5Vq7fFbDaRw5
6eLRHABCx2RXNi9a3kmihsj3AxSSc3cNa8ZZNPJGb73cKXZlF8ybVkHXdcoF37rK5CcKqPm2g85w
OncD23m6YOm05tM+N3v2vFqEPeHPF7GyvHmDHjIEC/PO2vMCwArijH3C3am7XS1hpb1TeLdBkM83
kk5B6mgrSAyIt4IMW4VW66ygf2HFb4Hm+15pJuwwyEeMPg+V04YjkTY0MZnz3gtvwugKsyOh+/Zg
CwahZSPPXxqjwHbMVtUffjMzRJOVFh9LIYaDBSGHGyjRyG3R2O2tj7GmJoS+VRsTS6n31SvVs1tY
JC0Gxzu11Twg3OmCoI0g8slfug5i8VHV5NUTx7DrvVqK4b4O/NEPO9sAxEugvCCieeXwEkoI662e
JIgqZta4P32IIUBW217LTLg5DWltOCfimSR1eya35kRkEdYY520ic+mECF3I+oDkTouEufmKURBw
4RaFKaK14OcyteUlwMWDvUmqNatru08hMNM/GGNgPVQFZhsmB/TI4Th13WE0DeemmQw/1M6ii9CB
WmaEjpiMlADs250sEkEVAvo7YnAic1L41AYQIiqigwIXQTG6b+CbVHuQ7/fbsumq7dz0/N1z1ikr
MKW+hvPQrHOknNWOzdp8MyqGukoxFFlpuEtWynZ96AhVn34xOU9KyOllWpo1FkCvpSVuVxkZ3ipv
hSODhI31nDr54t0OGK+YQ4z5Oj+FIeuXkffLLXYjPsH530du0Q1LGOhR7fK+rJ9wQE3mrsh9p8r3
Im0G3i2omYobu+/yxDJ94yAXNty2hqVO8LHeoTeCNsmFmlKjN9+bNu8247ha940x6x1UBYKNsmmz
6etq2VjrAKp4u6bZFEzQMrCpjlRfNOfx1HbYFIxbJ8nH4WZuDGsPe8SelqWSUBzzNESgpqG6rVjN
MjUxHVreNKZgPfITiE/libMqG21WU4cViveZP04gq0UjMbPqCamdN4zbSgdghcFSUBFCowJQfX+j
XaJvoN1aZY3TrClxe+AlGwNg9MrpWOq0wFF01CGZ3RdgcVZWu1n6mYel2wwZm0cXFreWcT80/g3+
QrWp14lEK3OLg6TcjofGxrWEQhOkg6AGGHXjYoNyFjRhNe27iFgFjQKpgsSjnbUxa9fd1DIvDy64
YE6TOem3YBXq3ssNe6f6kuOCTKgXlLI/gJ1kPk2D4UMYQriRrgo301AyehAMkx0gHaWHLvMXnS1t
EetB70pCbqXlpcE0PrNxxCGCbBvwzYENe4xGJ4pBSMct72zyoVmw7Zxfk4XSFFFbSxTPNZuPw8gO
tGFpUyyoSQd0A7KVzWiDsLIfk2rVL7MBqAZYkshS78y+Cc+aOaOzJl2wtd0prbREcqWT0Z+3hNm7
YRiOuh2zSfZ2aDM/BQh5A1BL0mBEAWJmB2LbzyUlWY0xMbV6RWibfDMM/KdsoOdhu+KTuRpcL8S8
NQI/HWufxmNLWKhXsIiX0xPz3NO4DHsTQWGImYcU8vKneQQkdvLvNO33zurF6BlYkEyrP2gxYzyD
07ehW+84t3dWaeq0liQdJd9XwXyfV/1WTh74B/LbWvUvpmw2kHcPQrq0N+Dbe+C1hvgWeyEmemBe
V8DANyAqgJ4hWNZEWDjTwTTvF4Eih6JtuAC6bmtlpqYit4ZJ38hYHL3ZceLemU4rqTHxbKttOcpP
ozBjOnibbu0AqQe9TeYZc8j7DgxYpnZpHbaSLeVNmdfVI+C4dUh8kLhoCHJEwnXvqD9YofTtd4es
8AkmeW5HDslPzxvDYFzQ+VwWqH5owwmt1XopAsVxiwYR5nBJTgUiSLNKtQyORuPCrPW3pKEfk6t/
+L24GXvsvweFEcxMjUJ0gBmXuB4/0Rzc05beaovdQpDzdaWGF3NA3cMit+/lSDeBv8oQGfjNXMjT
AHafSAySZ6Puvciz3MxcplBV0O5mTkLM+jan9q53WczYkFDEb6powWE6e+eGX++EXok4q+zmjwKg
qGgd6sxYqscqr96Up3frmZ/Qc+uDvwRZ1dAxydV6kKt+suVw05P+rlkWHpcm/rrGkHCNRhB5bbNv
FnsvhiaeXChCqKBItJHfYtI0q3P2qQWUfW0HPbuhhdIo9BcSOkEtVo5+DObJMuJGnc5tCQwzaWU0
eSYkByeSdNy4QRfhtZ3b92YtIwfeVHJxx3sO/idQwxq1DU4EMFs04/JKJd90FaDqjYmmLiD6faGf
uMY5N7mowtZbP/Pe4yC/ocnUm5+TCZaTYORQ43IiBi6QXC0Hd2rJDbKkB6tsXjFuNMfcY1OoaXk/
tLUMoemRUrvcNLLe+DOcOxhM3X7YGYuN+0UFjXFx2tBy/B9+Vx4WwzajEZyM4WoWH2aB1pEP8V9D
/1xX0864NlRSq/pIe+ccbFcqdJfBWjKU9Stkn8pAX8Eb7f7WHCj/aEDG/yv3aLsHnxyJjYK8SEww
R7ghMuzwGxFo2A7jECTTZOzWvl6jAV2l98ZZZFLDWQLBu6SlW+9WzDVLXJAqD+5HBAkbtfYyzo15
SKXyoEBjSBXyYAAAwMr3ggJazoP8aOGXaotnyIJuMSrV7rpFRx4vsorWSV8RXGOOK0ZkZjvLhtct
1Mtrzwr7sjnOI0lpP93IGVa0k/eLMyV9YR0bsz35HaYbuD5z7JiDjCha1pEa7AG/YAOxb00iNqsi
g02qQzpQPHNysjhJiqasjkVOEWkP5W5wm1SBjJiKzcDLHet4Upc5Hk/FI8LPVJQT2HaXstmtND84
deCEEPQGqropX8x2iBAp9GFpOGmxIjRt5OugvBR0Ain1GhNKPO5H3g1R2S+xv9ovXTls6Lri5phv
lrmkzVw82cYAes2qSqpz6X1aU+gKRMG8vI8VqNdyYdwtnpe2g/dIOXnifs5DvwSFMgE2mLNkcf5Q
9aeO4Rw7xKBhw8QvixU/c5c8uxAiDqUl0ZTurTCYuyL0dXBiyn+x7PU4Vi5w26WT2uPwUM/WfYvQ
yDBwU+38yefLW0uO3gS1A2M4BQ09rCCWRpeg31ZBf0BXuA4Xl74P9XQ3OwU6Zk6cQ+a8hiXUFdkE
54ZhX+0XY15CubRLWJr5gzabN7Ms3VAwgmhrcgBdY2/50p1Wa90aUKFhZL5rqX0qcg3xn1kD7UDe
qyo4ug1/p0MAWiO7m0CxXJ5cyT4Zh0qds5D3wKp0JAoal9I4dYGEX5PlNjCnEBH+D/ww6xYRdvrN
xayfYHAHgdseXHt9Wgu5NXogD0aujxjY3qL0cGtgUHWecH2tm95vYtMo4oogAlxgJRQzkrrCEnRp
+qhW1g4JapITSF5y59QJntLW3VCH/QYVT1asco4DgsVB3/zZmuVPQfGqfaqeoITwkrNlCb2W3K68
+XTJsIJmS0IxLogpV3Eg8Tnd9oxcHiqcOiYT5UqasDMsI2wsqHrMCux8cxEPBniXHAc1XdfZkYpU
ae2Y0E1a9qRygo006HGp26wwun0Fzgd85geAMzN7gmA0GWIIxSauB8ZVEdBwWaf9GshPc3AZzGqR
OiV/cLl5anLZbmhT/uqNroigmswTDIg+zL7YrW5zvwz+p6GHOxCqRzmjiTD6/dzmwOwaoVh+6jFI
tO898Nl4h1wehKq7jHX9Bg9nKwu47+E8EAakcq1iWYLnScLtKe7ft2Ye23BeDUKvybcYkgUvNQx3
O85eYguVOL54b8FxGvpefb+4dqIba4+oPnEZPXZev9FrEfekQwRf3mjiYJZ7hQnvqlGGzJ7TSQHq
YiwvAaYHYwh6EZQycFmYF7VcJmKdkXJWYa09yGoxjDBWm6aCbAN9ovBbY2PeSUbvl3Yk8WpKND50
/UJBWoo/rV5GD49hWHc8z5uwEiKql/UBSvd1NMvxrueomaxAxPK50Mh6PMyJ2XPsWzbMBuaOMAve
8Eckf/fC9kOTdeGQy9fahrefUe9caGgUOcoiEjxj5qPUArNfJSLh395IY1XncU7lkZf21unKJA+G
o619yMOcS8wq7NtPPIBksu1w9XRYEHGoDOS/pR2aZZUFJeh4C3XHp/pkcPy8uNHuuiva+sFtm4R3
a2gYZljQ/ob7Muzlo4c2pTnrx7l8r8x3YT009pJxo38exyDlaLGrMgg5fXb7d3P4OVQ1Pp4blTMm
RIjzVCpQT/lQS1ehsF4JhNoBBQq69li2bKcMoFwECGcaEVr8yOejwR9pEeDWLH80HfOpQ3XjA/Yu
s+112yHNMI0nY8o3RTXv3BE4MeRYBwQ7sAIAyUoznoZPB8PEfl2GHe/RNj5BWD2UZnN0ONgovENh
/lCCJKayolF795Ncj4PFklrggg5lZJIazwM5v3htGpbYOdmJtkb55jNHSjR7Q5L394XpHpBY3Qb5
s7We0H8LaZffljlPgu6ZFwuspUxchLZo/aTaBYuIA/YLg0QGRM9yIHsb/mYP9Y1nCJw1eK2tOwd+
uYYmcdki1ci3EMVFgGDsWzqlufpY4UPrFTNXzYpXB5k0E86OMjQvuszGt4UsXqRpnhbgSAmghVid
k3pp7ir7zhlTw25R5p1i24KC5daqnlT51kCPIqA8qUSRLvXJEjD9XmpNbmzkv1qUnd0Vyaqz5f3R
am6cekcD/AGJcWu7a0MqeExtI9LB+3mydDBZuIDwY4Y8XZ8/5c6tQYL7bnwZ28y1bfQL0mB8xRxv
OBRIGqUTbBcE46FytAhb/yOo7nQzQfW52czoWiBZPMrGTN28SLxS7KrpaJbzTthzYrf+Xjr+YRhz
vKppiRUfH/0Fk2i4XYCpSjAU6LfJ7Y+tNz8PwU/bnkPplUlZMTtcCrXrYPrtpU3q9omKZcu88s7t
nIclR+e/6l4sgpCHiqQoV3ToZWiwGmMCCpIuxs7xIEq38LBzVVR08BxNvSHIKOrgZhbb1RgT3i7p
Oi9bF0zl4UKmRAM2O1iJnz8G8+did0nrPPTu62o6sV2fuHfK1W4NVmDKjWRg3o1RZp5T7gcTI209
zCifcR54MZyFPnCJ0ENI7aDfcTFndoNZFDPY+a7cExwCK9o8Lh3MN0xPasL/dTtvCwW0YfOzQxVK
YViFlQcbl7kW9p0xo5KAoofoPz1SRZVdpS5i8LKRUBBeMUQ378Ea/Dj0ajeLNhXTcODomQKgFLoU
WLHgF6J+K/QcfRI9/TF5KMFBivpUWv2PxuT3Uui31SrOu+hDYhhNRJfqvgzcH7AHG5Qu2shi450j
RxRmbYT7JQgeBo6gtC5/FwuHESeQJSib6ZFb+GWTiSmG9uYNYd4mCJoD/hlxU2PcFJ0BXqCbQHSb
YR4RAcN5tvwkTQMqLyRUng9A+1HoZLZ8nEf5227mGG3ZSKKMYCl9ZEueCu4mDIdXyRLOBua+xFyW
NyVjV0W8qXZl2R+kALs366e480AV1L/V3Ynl5aPqpp+ageAgKDYUlRUQEyfwtBif+21rzI6brxMD
pRarEhQTSQyWg71iCHZxL2cHsbPcOn1701ByGBcXhb457Rpc7t6joSm0itqmDEfvbbC8fbGWCLCB
oGq82GZnQfEqKoxPlLTuDdokDZy9teiEzcgwZjvJJxu8RVjbqQ49h1vFA7HFo1X/qmBHkFamFv7E
wgDoVe79KPXOMEhYBB+CWCFKiDd0PnmTD+qFGGxpYT9j5NG481vEv47C4ZNAxazqE8mLVAGVXHVw
Ga4NnrpRP0y5v+tI8Kh9uUMg/uDaz7UF8ak636FIGWuzSBz6sAZFTDBr5HUbGwe79lMCufnI4PMN
uPGfG5+nTWdvKX8C40IBamlxcmy1B9oEM4k0bpnzI/fII3SbMR2KeBTDYEbln81dvfdLeoMwY2OT
/tU1zzTORQxBp1uSP4JoIaK02LaTHVJJAZJJdIHqBsV0ic9gSlXCgG4KSsCBa5EWSPK77oP0bmYE
+ORQQ4NNiUb/QZo8GawDGcm24/yX1SU229QmBBLYT1DY+fiM44bO1tYK7KRZSYyULhwMuWGzDrtW
4GRZ7Bsqbt3D0HaAp9EZYWO34XgBXvXiKIWrAz0QmB1nfTeYHbO5PXT9eKi9IulGRGEeCgnuVuLM
RMnhRKAqZj/TMgNdaZTDVeI/NpC6WXM3XGUXDeRXjhjDhMmykfwj/d4x0r1aoDZibHkl1M/y4KnV
ICUvzQ+jGHeCFKmPwqHNnk0BU7que2HAa2m9NZch88o25XjqqOiHc2WrjaUD2HaCDLjsvNcx746V
MA61mDRS6PEXcBhbzQaZSArM86DIvViG3yCfYPFi1keoMiKoQqIMxd9flek8205/73vzQ86w28Wf
b/u5egRVzL0NSuGgpz+N3rrHZC44QvSTKiBlOKbUP+amelDePdoRcd7dEv+1gTuRw5trjUjYoSBu
Nds8h4ezKfJyMK46e4pYgAagWDRuTL1gCs7JwGSS5m2zWeRvxWgsPCPkfhm5DNWDMvJAo+w3H3xa
k3bmiY9/ddw5nOEXAgNlrJ8FI2nuvqlp3njB0UNSDbXdtIQVNfzfI74ngLEBF6EH/+sVAp1YEZkd
y9rc3qGihvr+Rk9e5llqRz0j40KiuHbrTsUPgIXD2qgAeMXN6asNsLWYDFbtxvOW5UjyARWkc9G9
f6P6hIu87dc1dqmR1vNmHo1Yr28l+nuVqdBieaEVylhumyHZ33qCbrz81adstzRqf2a5rZTAfBV6
dYGfVfXPCVojfkVQsfc3LbJwA8Q/4erqh7ZYH1eIxkwenmC1K0h3cvgKU/h4lpPxvFOJLoacPoFV
oRouDfVHyCZG+ZLmYtxUFQyLCWETCa6hWW2CygpN+44glK4JCZ3uZtAPfg4yz+oHw8ClTyGbMz0X
ArCz6aFE3s7xYctyZ1coWdR3uNJhifb6OfBoV9gr8dKSMZJooo52rBSyFz92ik0DDj9UGTuOKgDG
6OxHBxUfVuo9ahjhSPAXyM8OqA1v/d1xnRkSWLO1/TG6c+S2flw5RgwAUdK0EOyt7RHxg9xq091M
9qlrTq3/ODc866YXhik1oXKQyRw798nlKG/wIppY5hv0ffb7WDVWsubA5ksXaQVyWtSaWncfTM+k
FcdlQpkraOK2ZYlGETb0+Qa9zQwY0GRA8Fw6c1aW486YpohVlQqBSgVPUnDP5uFGtHAlIFPKWFOk
oM3euoH50IzuhlTdpvaMe+bxrCUY/SoG9Mza7n5uW/QA5sIMCYoI0hxg7yw0h1xUDlcrMczWirre
2aNYmVid2rlUE1QFlAcdRWdIbQbLaNupLFB6HldXRo1oH5kLS52Pzm9AloptLZy4a8cnu4IucBss
h0AvI2aGayMbfDcpZ+SHQf2L0OVBqvlQ+GY0mRYKmmLnWu2eo00l0OQw2l+qbMFn3qS9lc2ueugb
/A807zmXMMRQm14eg2ZIFms6irp6blt9D6sZ42WhNiRf87bar/l8X7Rqx7mFhPZzFXJDVPPojQxn
Vs2Zi9L/tFbp4JmxKNB+AyMQop9yP7ZBRsepwrfIEc3LGj2TwHpF1/l21k2GFPBWWPSAAm1qI98x
pRH2DELODoJK7WGujoNaHErfKSR9oknne/DEP+iyKbJ8GW7A0Q0hX++nN3D0F+zfM2GRhdfbI14b
x99LNaCM5aGE2G4rgqpXrQ4q927M1YlBqnQoZ8zv8zbr9QTMpPGs9XAu7DZh4Vcnl/kZWfqdN+Qp
eHXCdeI75ixJG/CEoRRnmTgYG1RUY+SW8pHUU5RPFn49QOQyR003JkhuY+m/tYPcLgVIVK0g9gsJ
AieWDFB7Dc2+P6FMkjSBB5v7yY1ml7fu88zrVGDrhtBhrsXtsvhhUQWv1fQ8l1PqV+tG6Sk7e/m5
azOh54RboJVp60dwmqfCBRF/VyUrpQ+mhYe3TLceEtxiKtOm5hGDdIgJGpoc0YzK1x7FYbKxBzyk
wUtNp/41UuAA8O7IcoI/ToNyPiiKDpE1HOtlCMt830o/7ukQmQLBAcGgOSmzolh3gVmetNNkiAUT
qLqFDYpgdCnTwaCRrPID81XqWCgFrWjN2bt8RGOpYFnJu6NHEcARnqyE3a+dPgJ5iJgEB+b0CPLq
ZeNqlnDnsxdg3h3FhmImQ6HE5Mj2aPbFT7sekXz1+87md6KkSeuBdFQ4UV7/H87OqzduJU3Df2Vx
7jnLUGSRwM5cNDsrZ8k3hGzLzGQxh1+/T+uc2ZHbgntmgYMDCG2pmsUKX3iDWOFD+BxYvI/O2A1p
vK/HYCnCHLmG5h5FQQqi5lKH9FzkN0ZsbQ2dQDmP5X03MTlhttc6tNwOTy4DWobxSspiKQvPb9tH
5KCwRF8pGAKmoUB6R0tUki69rPKNeiZk8NZ1OWyGBGiWXrPm0ZVt55tsfiwkJjWcRaLCxLvLaaOb
90FuLhwr9Kv6h1HF/phJWo9q3UxybXFRyz7a51m7MZvwtqvttdXnZ26iP3vWsFd5cSXrQfNjXW5K
6smyxWskH86grp7nQbcFIEejlYp4YGy0jncgpo03iq05YndSh9+qTiCPTe8nLLJ9Kakn1Bl1iHo/
xCQEjlpYMl0lZn9WUkKudHvZj+oW5f9zY67XdOV9M08vPDmskml6MNIKoEGwLkbrUjlAgOjtbzko
z0AkvQqVnhchvSJb27R55I/zl4j+FB7ChO5Pdm2s2xhD8JT16TnlqhWE9NJdz4Zz3ubZkzSmrdUn
e5SI9qmXP4aRg7ZJYV7oiJOqwdnMnfIpzK70vrjoE+/GsVpCiGa6CyIyi450qUjitZMUN4lrWbtM
EpRS4gEmPZf7OkJOTKNeWxb2PiGBGuZxWEzCuQxK6nuecxEnBTJjLBl6NEujN7aJHj8X3vSlHjAl
QDLNH3TI37q7sspDlPgeHreWb8/W45To9CCn63RIviJmf292Vufrqn425mTE0r0CLe61T0kQEAiM
ofK1zJNnWRa7S4rYhp8e8kenepxziz6AZlwekJr07Cj9VHGwKyZz74zuHrz+M8vtmrLm3onaG0dD
Ckmzr9DSI7KvtOci7X4oO3wJg+zC6dpmIRKA2bW0FwM6Z4u6cF9Hc3iK8+qNN1UvypkpdYpbqaJ9
kqMIMmZCoQdnalstNF4K1T+olqS+8RygAMX0kPblZZjVAApYqJQEstdYCN5hrKuNnpXzJo6Gi8IS
9SX+Ghy4anyac20bDumjnYe3VdrSMgob7L21l3GOHaTZE6R7hu4N9qVaTD1txEGnPlg4j1qa7KJp
/EHB1FtYRn5bx3Qs6tReUraqmJhCUUM0ikWuG9tZAOsQOn20SiMIMHp3WPCGnMWYm/nS8uZiaag2
XKu5vCgtikoimm+oqzx3Av+loXDDZQGRcKH1+tcWw751kDlPvOOdo/RdMVsADaQX+nFMt8Domr2A
/7KVpJqjig2/V8Glnmi7yZ7mTavSXewWy3qU16Hh5f5cJeYiTb3vdLIonssAmkqd7KpWc7cjjbOF
tBV+AxNFG5tbnsxTu5sqd7wwEszD9AGGmguadgUI60dq0Y8SMu0WM0CIRSVbcm+D7ncji7vZdBOS
VWO49KLimWPtabAQsihj54ELythayfzV0+t8Ecylu8LH61tWJzf0Iq/MOp4WQz7oW2FGZ22gKEEG
RbhIk/lGhjyTR2mxSvN2ZSgCU+Z03AZq3IwN+0SQS1eWTkfQsaZF37bJthrFrZc3L2noZHRKY7ma
k5rOsgsaIRK0lELLtZaVHl7R7MzpdytEN+jpYWB2DSyVcJU1vsj6+irMi9SHDaFhpRI8RRYlQgoE
ErRE8jyG+n01ua8q9FJ/7vGwTtM0PJfBIKhNEjgGjXUb2Batay1c9n2qfFMHohMK51Wf4wdDJqmP
onbsh1GOdYAl6YcwN6ABXOwn0+xZFCL2AQaFflOQ3xaBNH1zDt9U2zR+rXW7vqhqPiu+a428NKDW
L5RJ57xIDI96pNUtBlOzeE12Rq+YZHWc+1ddube5ib2fctjlTVUHNBnQizNd4CEVO81zLfLA5tYK
DIbJMXXr6SBp2SYHZ7Ar7UiQqpDxyka3FmaOxNasZ9yHQW/vxMBimOmz7VwDbG0cG/qN1ZvTrm2l
3OiaZDElmgT9EaLCMzLXL252CNWSst3pSLZSYWyc4S3VmwFzaSPb4DevfEPW87TUSq/5kjb8zPqE
CWI32s6V1bBODUxJHTPSHrsoUKsGDsDO60Sysc3o0U1N/dq2S5PqLdcfnd84XZkdmcBcZPHZoIUU
7vBbjjc5Qc2G869+bIuhOzPmqjifZOTetaO01kalwkdYWK4/GyGE1IbnS+o080XCOZwMWX+T1EVw
5UZJ4ce5aS+rGFhP2BAZTfbBfjwLbM6XgpxDmwwav26/SxIPU1zEvrdRG8V3dZAb64CUFZiQTRck
LueVYXUkTrVH7qVb4Q5RXWffgwJ8UB1p3DRW+b7WR4/d79Am0mV10dgje0u5FL6aXFuTnBabzs3S
PYeyed5Fc7kOXNGgkG4Zm7irp81Qm2LThPbEEWO7u7Gxi4uqrqMNJrpYo0ZBvs1G2l5DMNpbps46
i7JmvKlVV/l0E6rdgE7zwpkMfTVZrUao7lF7czuFo0kZjFet7PLlCMbtOZG1cdHRU2arT5x6keau
aCw4jw4H6q4qW201AWFhttqivhzmvr6cDa87T/Dm3pT6nG1SQtM1UzuxzKfyKhHGV11zFPuyHIg0
WR2uM4EwGq1sU7q6e1FPlTznKPfOCXkUHQiaLbXkWDPHxmWdDOOjGw3OWSW8ilNBa9UmcOp514vJ
ECDUNFoNzDet2LpaGpo2vPVKi77VQkyXE37lN4lsu9tBSEIapsX5TriXnPVzFC5dKwjf8jmt9lHj
Vi2RR8u9n5S2deO2Wn5Ta3IgsxvqZiE7F82/UtgezSJN0Aw+eOW5c7zVTLs5C9IMo1G9zehkjFRF
7nozo3s1NHV7G+T5LBYdGrsJ60ELN3Siiqcq1VpOYTtZUbNp7003lagvR0Dm5swrrwXFqDXlMpw3
syrdp7Ge0DshdHgqzHA8j8c4Px+g62xmneiXMaOMk6kFTEkslX7RjSjiO4LqXTVREt3o+eEVIEb+
ABk/It8OAmrB3cSGF+E4vLkl0rNLdo6kr81Ge0lFSusnxYz0obML+ssBDDe8EYpqnLdhDdoQkGEw
3KfzmLwOivfoGgG3T9gFVHix6iKaA9M6fg0tzXxRY9qctU5j0ElwSs4P1Vd3rjXzC8M40S/QTWc2
/AEhxwCgK08AjtRzL0UxaGdNSlazKmla3boeFDtqWjTYl6aonWZnyzy59MaxJ601vGJbddpInXqw
TeXHHYZ7iz5PYafPYOIeXX3M11yWETdA7iVfkSGRkOPMlPoXN5etr7QscGcwBwalzyb1hnCZFJPx
AF4opOes0gDdU8NS5mZuJ4cujheD+wunkq+WRjZ4qCBynNvQSLPbhuAevXLlujgo6gmeDikQ3nIn
jLh/bQul/yj0mBjENBKANLnRSvu65PRUftlKnWtNB4OzbMau8fY474E0K3rPIu06wMjcOZzlWRgM
Q7keDJGS2WUhWT7TEd0qM20f9b7lm7iVYqqaIOSrAAwOvw/sMS4620zfMItgD1i621yA2+heawrj
JOBQrcnA8RqUC9XMVf5YAVWp1o5pAh7oMHgAwYzsNPWjWrO7Va51YbFUuga10OXFLWzdVBn3f17g
DZZkGWLFeSyWuSCL33VStvMFkDlXovameUO2m3lmWiHmnN3Ysi2Fn9oAJW/oepX2TRWljemnInOv
Z8xL17Fedvd1btXBNk+Lkc1WJTSEu0jf1a6Gmo1T9997r2yNBfBbimG2yBIKda2h44PWWpdu2dqe
j6Zyep2kFExm0Uq/tspxB/k0X+u68n7obdgokGqathDjwBFgeVN1llhpdSEjDx5FhnkkyWJk3fUe
jY8KLBHslNbwNjLu9W3ExXmbpkmRb9uqy869QabtSiRjXi6MgRpCis7yklwZjFgWRVRNXKPT/UwY
3Y3A9X0thzkflqrL9Y0XNNJHSLh6SmaPjLWOkrMEeed1S2P6zAt6+nFDPi5tQXnUS9NhA2ILMaYk
7BYWFmCPLbCFRTxN2ZloonnXTMlwY4nY3Q1aaVGSMqNbI9OCbRiWwypIa67YvEkfDTDCmzHneoll
YeEGT5sBredwl9IFPTNGjxKmaVFUkPTlrAwMZRl03o+x6Nu9Tll5Q26v+UArRnouwwwgto22YGuo
1VRWdcPJ2S/aaag3XjWmmzRDftspqTA0RaatZOu0X9NGCExx896+CUzNWM8pWidRZ460il21CluE
i0yDdKEPlXc2zV26D4YEeQCA13f5yNHS6yL0RU3ZMaK+tk4iXP2SYPhiZhUopNLUl9Zkj5u4dwy6
1E0OoJ/Wn2bh3J5QiHAHYLlZK+yzRA7mVZua4fdZVlmyGLq+ftDZalcKPKnrl3nIAdmY3V5JvbwP
6pY0NlBxzQ0R6S8FZ+TOnGPZgPqisTugSPJV5ip7QVmOjkvA09JyGddlnyH6Pzq29+LkjeWsSjMo
vvWGNy2DUk83ldviyWErHaFbm/5n7NbJWxV60VVQlc1lKKR9ZaY62wL5jhy1rIiwus8T8C2tE3XF
YQtUDQXEqX6YU1eBe0udNqU5ElJ+amKrfRW5njyhMd4wfSH0fDA4MZFxX1fOSi8YhEpAe5ZqkSQv
TIKvZuuAa60Ji0lfmp1DMfCuaQsEmDK7/44RxXivVboOwl70w7ou4AGEMx0JD4bCNixN9yLsTS9c
mJacL9x5quiku1P6bCR9cwtrW9b+LEPim9LhgpvqQV6BVSyfezSSNiKsBtxlpuYm9gYdKMOQ3nE6
hpcZwfqjk0f0bRo7+WKNXnITd1F1a9NIPPfKoW8XtaaL66j0tC9l0ZvALqJEw/55dAwYS21Bjd6g
CvY1iAVQ65FoAj0VaX7Hqb1fj0VDZRFUy7rw3PayqYvqzmii9gyg4LzvY4suhBVMydnQp7Ff5cmf
RJf//snQp/nH//DzN4D1dRxG7dGP/7iIv9VlU/5o/+fwa//3z37+pX9cqbfiDpDvW3vxqo7/5U+/
yN//a/zla/v60w80zeJ2uune6un2remy9n2Q8K08/Mt/98P/env/K/eTevv7H6/f87hYxk1bx9/a
P/76aPf973+YFFBgEv33xxH++vjyNec3r9/q4jX/2n0rP/m1t9em/fsfkFb+ZlFZwPzBxreAvhfs
6eHt/SNh/A1cFtaiuL9aWEfDjSrKuo3+/of+Nw85E+hKB+84B80lCdGrKbvDZ5r3N+FaOGeT5dEP
xVjC/eOf3/D6T9r2n6+HOfnr5492TO+KUR/Y3YKA1LMcXeeP4pgK7etnwpzZs1MDD6RiuxxWHOsR
xeA6GVbZvVw3i3mrrYJtvzJ877GYswsTovnmtEvMsbA2ovC6bkrH1LFqE7blHRGZbMNsqKzKZ7FJ
b62ts8sWADjWwC7XpzTgjjU7j4YSx3aK2HG1vTsi79pj8xzEF9Tj0r22qlcg5OPnf0MNUmcGf5ph
G2UprnF4syYzfExs99I5K9JIPmuBQ41l1nXKaORAkpPAd9Ns1yj9cQIkVc3mWeqe0n79dWqPhj96
wWJ0MpYYz9usgk1Ggrjptwfl/ITS5kkb9CNCmmPghQd70LVsXF8tcWzm0hDeeb0dPCe7YP+nwGa0
PT2lR+S6X0Y5Wi2WhoF8bQbPNszY0XnRtP/Q5+d4gGP7y1KTDUF+8EyCvgiDrbii0/vhpPhk3x1z
Y38Z4ojmKx3dqMo8eNb3XGQ38Wpol+oHjc3FQRWGPbbpTjn3HSiHH9bhLyNyEn2kxlqa7uJyEzy3
gLlUQF/FXhX6PbE+Jcp7u3448YCHP/e74Y7IvxHBrjZkwXN2fjC2pna/xNXzC5sMmnj59PvBjmik
74+Gu7kwHcdzpW0ePv/A+rXG0nLSUXvW3HbVdRe6A1xv+vH7MY54vr+M8Qv3NnPKqNOAgipfojGs
6oWg+hadkow43rB/DSTxUXcAUZj2EXU0NwoAzHr40kVT8URCgrljS5wluMAGqDCGe2slcbhszJJX
ByfAA1Y1Q8RqKNOdMKL6bF49x4Yz67KhOZ5/nleDVM9qGu85xTQMoLV976Y3//mseg4VYd3lrkP9
7ucRbLtC1niWz4VRLkdKAHULLQYvmYgaxu9HOlagep/Xj0MdLRK78eg4R+7zwWn9oJrSicXB/Yze
5wLl1mV6F6xOXTafrZmPQx6tmaCYA2eS8tm2aLtql70ugX9Fy9m0TvCoj0ULfnm4I9K2Nnk2dTea
tOdiH/kZV3e/M3CbRCByE+N2GJ1Vu+5+vgiXpyj3p57xaLkWlMXmPnSf3YYWc7zFgmahO7cWILnf
v7/PDn1P2i49ZClMzJB/XimUZMkEYrTvZ3uhew96Pvy/BgCMC5MU8cJjRcFDDadtO/lcGgVVoDp+
KvLohP7TJ8/gUVj0JE8hXHHsBwEruKibOXiWYtX02P+e1F//ZMP+NMDRJDmVUUQlZzxcKE9cldmX
bLj//Wv45eLCvsXBURIRUBd1WyGOLq4J7I+c04S234/mVcvX3U22dq85DQ8Ivxf7cf5SVwv91Ns/
ovBz9NiOZyFIy9ShKPiu+/DhhE/pckuv0UHad93VWNM1Mz3Tp0Z+lxnzldFOm98/5vGbMnXvEF0T
oDumkM6xxlKZ00pTPeDOKlL6bVxGN03rRi+/H+RYzpWnYhT81xE3kSZTebRrSy8wQgve86JerqEx
asGLWEHdChejPyyTybwdtTsaUStaM+l/uNqPhz7atqgpdWUVHB7QAx+n95VatcqR6xNPeFgNH6OA
wzA2dUV0OontdXmY5w/vDeJaaXYa1nDFubsHwmxsYbWtEATrseM4pc94HNu/z+fH0Y6OeNXZlaw8
RjvYI4/ns/k+nrWJtqCv9e1J78JPnw75UY4L1qR4d1n88HQ2rUc3kox38C4c78KVhuUIbdbb0zHv
L2HB+0x+GOvo2agdU14RjAUwclsbC5Axy3Y1AdFc1Cfj+OND/TCYYyEkxllo6KZ+dPGnTu7alUOt
JJZasITMeuhsVwpefEts2iXqhPiXcZQkvb85jhXDFcDUECM9GjB2O332KgbULPOmHKcXSPTGUsno
vNTmVdKATMxnYJ1GvG0j88Sx/L7PjlYpMQ4o3/dIhAvm51WqSbSGjZYSEyqiEShp+xaubxXcHSxn
2+2wzqHMVj3U5+iip328ECfV1k9+haP96Mx5mYwjX8HcNPBWZ4Dv6DujoL+At/StuhfllUL/nUDl
tLPEe3z86/MT4qFPddisR2c6DDc5g20+PP/IvqHkDtWlx4y63DhLuSly8QQELd+JdbkrVtA31uk1
ECJjG8fLh3Zzch8fX2MsP97Hv76P+fP7qC1VD/AR/yxKuOMD2ICNJIoZH/MGPcHiEqSc2pzczofb
8ddpcA8CpUQY+rvcyoftLERTIHpOP965sJ8ztahQf0b949n9Zp6LbbyuTq36X2+1w3P+34Dvu+LD
gHnd6bIOGZB196M9j7foW+1z39kF29nPLsEn3OV3hX8qZDtWSTrstp/GPXrfJaK5rtMzLs5BS/3d
qim6S/0MDcFyrT81J57z89f5r8c8ep2YUgyugDOJqQ4tbq1IoGYYF1lN/+bEdXP4S795g8dhwjyl
aYWQx2HhAPyEZbY+hL80MJqFuVD+KY+Ezw7lnyby6HpzvRlAQcuTZbsc8eF++2321WVPinsqlfh0
DpGPophoOLblHqUSAPbLggYgVxsqGSDTzObAd5J0kEAlpMvfz6P1ycVmGx9GOzoQm6hLodmzAQef
dse8bkEe2slarMZtvzhYzVkr70eyNdfj+FruIE/c6mtvI+B5bIfz+KW7qnbVOlbYYZ6a8sM5+Msb
/vDNjs7JtEJdIkcyAAKlBQIiSO/HKP+m5REaIEW9bNPa82d6dL+fEPPTnWp7uuFIcnLjOBMe5tZw
SsnxXEFG9EX6ZHS+Vb406tqrt9Ly0QeoODBQVuDMjpaAM0ksTZhaUKfLaDXhMU+n+S9l8pMH1+ev
61/f7mg/e6BC+yLqaG1QeNuodbSO/c7d6OvW/zeOyVOjHW3nzIMWlQfMRbKrd/mq31bLfhX6QIr8
U7LR4tMNje4ftXOdnO/9vXw4Ia267UqkEf7c0FK7Gtud5X5z86eQ1tJM50dGwJMAgOWLFGXA2J/W
6jLb9uaFBhJwS8U1RcgMVNzd2H9V84KLowcf48D/479rg3blj/hZQ588v+5vhOCc/899ov48bz88
xdGijT08cwcUaNhOw6oblzn7SK2CK0LFg3/pyfXw6UX2YbyjAin0tcYbUmZNbPLLrFmq9biFpgSt
xKdpsEQbf/X7/fH5QfivEY8rpkkXtJNp8YRiA6liFey69aGYWexRIT51yH+6Fz+MdbTaUxdR6yjh
6ZqVsaZUdiseD+9e+s15K15kts0dse6NXUIt9fTL/CQ0tsk1/7kiraPVD7hiqjLJ6MNYP489hAfq
+I31Sv1lcWJSP0lCbYJSLHDwTdWlfjRUjFpQlmOm8N6b0cTjIQxiY4MUW1o/2luLTs3m1I77LIf6
adDD2vqw4xobbR6vfl+rxtrR7v65dg5CI9b+30hsPr3ZPjzl0R1ae8kExZ4Bzc3wmIVfkRw7Q6Oj
WIcrup1+7YDksYFl/b8DzQ9jH77bh4edBrgv8cjYNd0vBSMpshCyWI7bQ7SpcmQ7btIE3Ydte3qi
P73JPox9dKMXZNttCcObsdvzUfj5ZC2yRlu5r82G1G6BfM+tynaO9lCa46a5Oh1TfJ50IEmrY98u
PP0465rzbrSIIw4LrF8Kmm6Hb5Od6w6zP3Kso+mk+oU536HPsAhR7z6xwD/dyR/GP9rJpZ51TuC+
9+LKy4Jzw1gDpZDbYAfXH1T/ssTAU/shtidX+Sf5Jqv8X09+tLWSrELaJVJ/npAdRdJuXVyW63+j
tXn4S78ELB9GOtpPelW1RaHxjMmuw5v1cBAfPLuQDFjiJnPqyPh0M1EokzwalUz9aDQtrEzdLHmu
cR1svkz145853LTuULoB+4LpgLY8dd98diQeyrIWtTIKB8ei53XrtrGsZjBZblQ9uaNRL+dqtPfU
bAX4sOaUMdCntw1NYtjKNNXxFjnaOraTCCsIANFb2T0azljzwEM3/Ljv7sKyOLMHee0UrS+sRxvB
ut8v2s/W7MexD59/ODLmAVcs4TF2lqDQY6wG7cooQZ3eTLN3YihDfzdh+Wn1YJgBPokCoWfTOn6v
xn4YreiyUgHnahd9Ytrpug9FC7I7nID+IPGnEA+oq2+lF7XQjItOvppNFdO2bxz1MgJnhbNjJg8d
/6ekHZYuhLDiAJqnuIOAs9U591PVjcaqDWLTWqhwTm80WSu5jAI9PGsbG+C3TdXJWjqBI6+RuRnx
7mgN8IWZYYFXQ4JAiLMqVsn3qgyyBlaNHO6jqhg3TjKbpp95hnYQZYC2slBUWbagA3PA1VnvPIM0
tn/M5YDfc64QupmMUR9WdRBGxiqVQ1vuY8uK0AsK+J5ynO/B1tjoKiRTL8B8NdAWQ5iYF3YorMuO
uOCdHJG8zpZb5iiPGSbILr0proAEjo9WY+XlhWVbU4bAXogyWDFCbJmA2p8b+MFutBx6wUqMNiD+
KBv7G9cJAXUVTHqw1IpQt7aYlTVoLISJCOFuWAPkOB0JILQqi3bZ6dPkYsZl1tczmKFn0B4dXquB
KRHqsKe7xC5bDG1lVVwO+nAwWVGd/h1bdFNHwWKETxsrmEsr0XvhYyjc9DZEqy9FNcXSoEBSkAY0
MOU7rR2Mve7Yw72KphrQWO8EfiNldRupLr6yNVV6160tJulreaceA1t2b4bVG+e2PYmvcR/WdLYn
Nois4FVEdQS/2a3B1NYY/v0ARawIqLvArq+aVGnXcT1kF6mm69+LqIJh4s1qpiylgfCenSI4c+yx
uC3nTIJRK2Oy7h79w6WjjRAzNDC2NzjlxddZUhzoemkuXu0w1ReFyzJzNc1dNtLMXqwBD+Nes88K
r0Ws1orBhsMtt95Apuvf4FAH+9KqvI01VgUd/4TA3QJwDy/OhnwcOx5yBBYcuSgQM5b2k3OW5UXc
rlTRFPtuxkNp0VDkXtpRpp610Un2jjsAZ8HWtC/8MRyNG9nI/AxOjc2qEUbxoCBl39Vpz5JX8Kle
QCvD+pWls8U5D0L0MAptYdkxuQXgYIQs0jG+cYBYw2CWxjU7KtvGaeJwLtaRhwlHWF/lcXrfwqiH
B19VchG3Zo+2CCxOY20BQX0BviYusbWNn3sHmU0jSuVVoWxIQ8AowQ6n43TgeTvQ3axyaynhLcsK
Ubh1nSh1qRmiv8B5lPqdAyZ9DdK/96MZgXvnICFae5EUi97S260QSu2K0XbWYAWpJCgkoVEFKIN4
4ebg+zqZVS+ho6NaF6N2emf1enPn1cO0RBSuv9DSuD3vbIWNiVcV6kFWFaTyA1cNJR7DvTB7e9YX
UwFleCEQs8rZ++gihTl11UYM2XndOCAJEUhOUZ1Jx5dubkbodyl9WCXzTS7s9HpUUfAy5FKsU3eU
kBirapcPQbM3ZuzEASiO26bWEAoVqQrFApCNhzgcVLxVVtrOpaxRwOjsFKyw1SKsMiOAgTCUjmCF
VGyYycheRruIQTm7o/4SpnGPCEebXHhhZb+lZuDeR14BIFCL8h7KU5JTBTTdXN0r6WqbCiLg14Sd
8Ih3ZfTdCmakDFw47kuIs9bLRFDfL2iUNRdjOFeXQ4PAT1u600Vq9m4IUaAIdy5w5Acv1s1N1FaO
scyQP6v4tlW4n2aTwpxdoDEII8MuYPQZ1VflrhNOrQc1hosWNaU8Nc/qtq5WnWy+N8hhWaiAqUJD
vCj1HT35GsKMrKZ4YUGPSEw0zpzhYZ6yy7xfV3TSvJB8IkIZaV5pcGzxxV6KfkYfLbJ+aDYyL8qF
t1+HsDNqY9U4nHUV8h8LGwU7O/0yhNXeEvm5J+NVFnpvWkbUzkIy5HfNAi+JNiDbsDvPjHuR1v5Q
G4+SSNeFpKVHg99CHEO8CTSnu4+q4cor1GoWVPq7DKCxe8PyPc9C60k19Z5e3a6N8NL15Dl33qYN
HeQRohuFqIAsAr+D8ppE4bWykUTKt5obrYX7RcTaRQ451mku6xam3RitQ5VcZdZw3wRPKCJj/R1/
MYanIGdLWfoyG1+yKfUnUD9T/FbCO3U0yhrRoz1MkLJyP1IvmWm8OnmKSqOBjNZl61xJedYjzdBC
nLYi3+LlJNW3zGZljsljh3H6Shu1ZWnbGAY44ivHEaDkaFVW1TLwtOWAEVbkhD9UqiAawjg3rQCV
ADTO/Lntb2vMXpbSzY1Vl3TfS9De6xwCflHX2xmocH3gjAGbqOevcz1us0jbZoZYefN16z3WdC/b
QiwEoimhGXxPej1fACo592btm9uqy9hMHkm+4hV9ZdSRXSw9BgxLfLQ9tC+NwquopR9J13y+dpBt
XBrOAB4ZlZF1krkPupI3NV1/I679sYGGkukrW9jnuV7eBUjT2iOU56K8seP73rY2rodKnpXfqkgs
O/R6GqRVuyL3K7QlTJgDrQMHjkDyyjJxRA86aJrmo12J82lAzqzuFNNU7FF4X0qz2MFyQ85u2inN
/m6PsDHVDIw2IYGDwysOuifDdGVMCBr3rJ1xSP2yMd4aPNCnHp1zpX4YdX6j280uqUyNWbEQem5s
v8IqDAnjrLrMwuL7lEzpBj3EpRkqez9kAi2Lbqd6eEpaXjXPkAGMlRiiL1zYwyIbLPUK3+06brzr
kE4Osr9rO+l5LKWPCPR1yzkkNidwdbXOXqqoqLe2VxubURb62TwH4nGQ0ZkT12cSCbgJfL1VOvvQ
NCDJ6apZG0krFok5uQ9T3kffJhhT22I0sKYYjLc6jimEmNxzhbTArumWtqz7WPqzLSKivohnDZV1
pmVlyhUCDgWZcfchiBuxtoUQV3VtRgugOgI4secXMkXvbmjyrYli375E0NBH/zFD3zyFo27bXCGO
9JFPwq5bBHs5WAhfVNHOgpAHf7z9mqN50invXLbqELhwQgkNXbW+V7xcOxAcw5N9PSIes9Yt97uu
Bu/8necnphhlrWYokwW6KuPXdxIOjxMRmrhzttfRsiuCRq30aa7xsJTi3GoS9c2CobNxYSJdW+Qh
KPm4WgFtsnAGv1S6vGkhgF5HYwO6taxpuFiZhnZA2W0awOkAMoN8Xo8i7TfuGKODaSjgOgIpYN9V
ffu1rj1Es+HSmqt4TIsddeFsNxpN6+ceNAI52TOyYIbzdWr/l70zWY4dubLtr5S9OdLQN9MAoo8g
GezJCYyXvBd93+Of6ivqx94CM6UkcSmGSTV79gYlU0kpejjgcD9+ztlrAwvzXYlOyyYYDnEFlmLh
VaV4Ir2hEoaEqB8Wlpipd1Ed+WQZMusQNQX/Usdkbj3+s6oRwWNkso9XQZuBwEPHF0PEqSiTdr0r
P3X036MSTfN0JzZ5vozU1Fx3cY+SjXBqEyeyvsrUxpqER4ip6H1/UiApOZZYiMneB6YM/tFXtyjX
uGv3pVHeRYi9nvyyiRNHR7grLiQZZIRXKBwpUhb8qIcSwkQtSdIOWYm5hmNOmj9NB9DzluKd+qCm
Zzio4yWKYRNLd20072Qjqa/buEsviMClTVLIDdC1QMcW3FQ8LDmScfCR8gyNRuQl9o9d5gcXLSBi
HNOhtu/QZ2e/5BzxqSsMeoCAeuxvccIFD1mPyqqKZD4yybXqLcB4C+166uWXqA+l+wzF388SEVa2
4CI5oTsV0fvZmjIwX1OIDmMQCVufe/RNV/CIFwkOPWuU2cIeUbly8JA83QdtVVyhclDWItHti6z3
6r1uZO59FcXlD6TJRbyo4OAMC4LsaJ9mkrtvwPNuK2AIRANq0iwRpkNaVDwoFXUQNk9prFpPrC6q
K6UABaFwxbUa5pjb1UkzIIEca0iG6F1O0eh6l5UYCytTkLIjLUQFEXPBPylWCJjSztjTQpfsEwlq
fpcrsk2DLsJxlHAhEBS5t+Bx5OyIVafQWKfhLOZzyrSQHDmiPeFSCEXFQYMe30VdYT7BSwC9WXQ1
Lcpj6BOPpfGGXpTw2qry6tANcJxiP9P2raB6/CWpklJbi0NkkIEZ71DANq/ARY1o7WaK+IMeJ3nf
V3UQwLmSpm1KToc9J2DHayqa4DEQi3GHMLbgCgOzz0HU2bwVRoypUDR03jJovOZ66LlobmiA0Ow8
aeS7pBzy10JTYfaoYtFceLVS7diG0lMhyIwX16/82fTZFd3h1qy89AXzScMp1NCAa8Elxa5JARFk
5PqhhMVoLhoxQjjr1WN7J8Abuuw9VdjRAcEp4lH9CiW1Bk8iyeGjKvk69OKaO3Cm95nGTajVf5i1
Jxyoc5pbQRg1ZVH7kexUeZQ6gAnNg4icbAfPlKpFoxcJDYdyG59anK9X5FujU5EN7mU3AMIooZSu
JVDbD4gLpGtE1eZyzF3honMt9QL2tHWtl4r7kDYyvwBClEXli1yILYhDs0tAhf+MskhbDZXa3AV6
m2+s3PeOSqRrXDq0zO77sdoXeaYVu7iXjEVhuuMiZ+PdaxPj3be69M0SRooqAf6VjzUXi5tSKtxD
2TR0ZQ6lKj9yI03WOEGlV3rW5gRpssltuY6hNlrdIdEkf6/JevSCAAzfjzo1l2aH6LbT4/hayGJx
U3GUBeR2p7YjhoXo2FW/2rGo3pq8eKoCU6TrQKjQiPbyTTrWQgwwIIBjposy4UybJ/VoW3CIyWs0
jUxs6esoFYGWpQfKH0CDC8HwXkWvBjZrqRmdq11SOHJvJMATAC4D/w8t4YfXskcvxD4XJQqpFVpJ
eVDvKi2iwzeIR+pnrO9uCb4h3WUIgvf0AQV7cTQQlWZq2pCgVGM0ovDw0KFmsR/oTgpcFBsBapKL
lBy+tZZkyO9738MWYQVWeBi2RhWHl55utq+yOmQVkHfZvzWqAf4qOOEU5t+AmnbrW6J/G5puL9Ny
LGTN0RKU4qaPY/OXxnF/1ePlvMoUAPALs+1Need3LeTp2g1huCu+VvF98hwsW+o1Y2d4rnCfiGbg
LQfBNeHt1mZpctNvY22XQkxDLeuKQ3GIiXKsBWs12I+1pYMxo8pyOXi1cdHErboVJrXxou3HhhDS
qPZNGcrX1dCyZZhqnl7GG2ALMs21DZGeB5eV1kAryNorYkqgPlbc/aq1wXwGI6LDd4nwUgma4IBT
WrTOohZSNmbYAORa5arUxPyO+An/Cz8Q150axZINXcHYWimHP3pH7WIURogF45j73cINkuZJ19uC
bZDb07DQDCU8YRmQa3bThzkRmqxh4cXX8dyXkbCxPL3dtrliPGAEkz2WrthxIZS97LEKpXKXyCm4
BoJ1A4KXJD7DeoueJ2McFK/qBJgwzbUqIbVfJDnxMajOouYQq0gFTfrY5FpOQyhxrsr2iXgC5xuY
TmEZVncMLoJr4wqF1lqrj7pStOu4CLA5LI0IVcoYKnwiYWkE+zZgZaY9vio1Zj1UMUdaMFk0AcE8
ImzlaXRr60Av42vQifJFP0AmbRGAXwvyiKSZ/8w8tnzMP7Pc7G4TtW2cqkDlsIBQkQAy5rIkck7B
Lh/kC0yWzYssoqhd4boDqKHFu9As42eVPfItaxr+opsr1qnmcvycYs63o+G1/pm78viaNWpHdsuq
hgmfVvhnGhNmHZOmRHuYQnuYrmBcQ1J0rt5p3CYfxkA6TYXUTl/AxLbr/eT4rK4qLHVFatDxsTmT
VX//q39nYX8bdV7dFORm+hKlU7E01/KyekHG6fAtrLOjdZ064apdtHZylNbaTrPru36dXCYrbwXD
bxWuz7cdvjcbfPdzZmWTMC2HFI+iU3ggjnK4Rx8ASdqhYzrw545w/LbWrrtUbDgw5yu9UwXhu8Fn
lROpUYS0YnD3SLFmU9iT9WjlhNd/loj+Kvb+Je+7+vMPz/SEs//3/1F5ISWaqcX8G3lh8NL8z39/
lBb+9T/5S1qoin/gpa2LlmwiMTTQvvwtLdT/QE5HyVjGSFWnTsIK+UtbKMh/GKpKTQE4i05HrqVR
wPiHtlBCeSibU63BMEjKIsv4d7SFs/I10kKJOFpG1CGbqoR5yOdKiaI23Kh6XE9p+1roHQiv9MeH
B/LX4vioXpzLzWSdZnCTQhedo5JJ9+jnEUKEyRiBeBFdB96mWdeYawvrcHeu58iSpy/q70Wv67OB
5u0/VV4Klp6qKhBkeaJ1pmZyKwVDNtiWO4DN0yRigIij+05t8fZoalTarpoDiKvUwrwlGi5uhcHV
72pFrTigZavitpYjTiao4BzJSLVO0YKVpYuItPWmdicixQByxKJbxW+fVGLFW6DOdbwxRTf44cPD
q21PcrGOUfteOHhSYsWLSG3c0ck7of9RpxSLQGTD2rZHtQCcEIwuWZJkCEwUYJ5nvJXkvi9LrSin
rEsyJBTwtAnaIHLmCebAea6MYaStmS4dsHlf4ZJgCh19e9yQ6B0nYyDRdBSFynEYuHKhggyFBesR
lU0bCg+oOXq0+lJy4HoMgB9yCCw0awzqF1q4smc8beKdRCpFsQcgBLdZ4SdvoRz0z6Mk4PbR1AG4
h6QnVpFKK7iF95jW60Hwh2MoDdhyZkbmgDz3CMBcMSpXrjRIpu23BtejEQ27toRIIHlbLZZFDGk6
lbhIVDnuF2EI2GUZ5qr03IbhwMUQG8IQDqDVPQwAzF9Sok3uFSqXb1p34D9HfUeA7+Y7t1TrbTZa
7qscGXTkWbAvnlF9KDbsCuugEj5dC1wKJxBYtzaNgcaGorpJBRfWYNmZO9gA0FCAY1mHbFRhlbq1
+lDXpEcdani897TIiSyjyCwflY6DuPQSdW3FEhfNAYOWnZ6A6RabBFxpMkhkh1ozXHVe1Fp2xOZ8
ImaJ4ZdaSl7bcs3SWbY8ORDpxAGjNZaPcT2aN0Jet4dMHeGaDB1UDlxl2h1C/uRWB+tMSj7g73lj
1t+qigI0JKcCfJiUupBEu0TIbKAJyjNJfHkXZ1KfkpyD+kB1rGhjuzZi7TrTU3GDR4L3lkUqf6FO
goEmrbRVgYHK/I6yDyC/h/jS3JGdL05pbErbKjFDiFVdo1VLzS80BEUV3WxkKhRnwFgEvx1z4BVG
uRy+WJIfbyPfb6816nsX4MqrjdQV8V1QjemF4EFIShRJ3OM5BlYZe6qDKZQ52e6WRHTcmMbGdIF9
GoluVocw90oMH/KROHwsc3mYgOUEhXpkPmhZ0G3jshI25RQ8avQh0rJhKcC4hwFcmCC5wY0XuiJZ
f0p+d6U2FA/WFI7i2EFkKsgZ/6zpqt4VPn7RnhbPwoQfT1RLjVRddZkMYS3MtWOOP8OxUJrkLp+C
4RE3oHU6BcjtFCoPU9As5YUFVjbJtvoUTUduMV756dhehX70TEX20fIBktBhvQh9guARPCm4wVE8
AvgpNpERNKQ6sla+Nvuo3ndR4z8VbmJhWdgr6nboFeMiTQxi/vfwPyCHtU/eLwWWYrnWHqNsCi4V
Uid5oxWKBfnDKhlRMhoV+nrQDfjyDbp64realh0jgP7R+kl1lY8uNIOgUsRy11bkcsiGSuK1H1jw
eHpQFzepqRTNMU20ATtCSQGqVuQhYrLWGqBhVG4rCsum1KJNGNTicNETfFNbgdmhaJ70ZGIteAMu
iI89wMasJ/QlS92hzp+Qq5332gp1ZbuQaPZa3jRPHpmfy0RMe9huQiW8QtLg71HYlXsnVX0oh3El
yddhBRp3UQ2icQBW1kl0JNUVLl/ACU9CilBqS3vosEK5idtiwDZ+m42oKk6iEocXkeCBdjd5Bj/h
/WIHViQ53opNouWXatCVNzFudoD3JC/EiyNRxftIFupNbwnUunUdTMyi1kEF2W0zSHtqMW0LH9Un
lxVizfcWDUp4oCzb1zzXTLlNlbS7UEHRLpHyB4+1RgMA71NTbEPqMS8KBn+b9bisiFInDHbpa03t
iKnX34pjhtMZUIKNUY0JbeiFVTwM3QB2XIDxjl1BAMjfEm+rQh63WKR5az1NXG8RRzXGf03jrTp8
wi+wGPRvuGT0P41BzDVsTnrzbcSG7RUsMXxjDO1WkiQLW6MPvS3ve6QM4urthdap2qq0DO0qN1Pk
Fk0uWNu4MDieNN8sjlKfSw+y1mn3qW/hzKLChivsvsCJ5dSmppCvSZ6G6yhT5IdWlvUTdT5hX2A5
6i9Fo4IKO4LVZRuIMn/f91XMN1R047DJWys+lm2chMsUePRdPEDJtCVKIlDtyWaue0sW7tNiUFRb
QPRzkgypVEAWCxrkE1Ojpmm6PJEIIieuZKRnsX19cgM3fvWjkvxBCoWKMyyp0iP5X3a0RA81+oVb
XbkWTRZJTD/jfSXTIALpTCwjW+jaGpRSVCQ/UkH1t6I6xPeqlSuO2eDYUeVSeVvnpgTLkyLNFJfE
J7A37pWiuuklqt3wtsL04oebjxDl3KHXyCIFFXx4uX5UfD84SDVEe2wMwXE1odAcDUtu8kcxU5Kj
0QfNnpUXdrZJm4WdMqmJ81lmERZZlfyECUj7aHYwkxe4OVEuygeXdAdNC7jc5a1LW0Vj9je5aAkq
5VUTE5bBCvqYYiPlywVlba69qeuXr66E48OCho0em5DEVVZNX8o2ydTqQks6v15h7KnGS4WU7sb1
lP5QpP4QLIUoV6ILqloN7hOlOZBj1iEZ9YikGkegFwLAZGNYV6XaRL8CpYcTi7Jn32odnTuDGBaX
ZjZqFVn9vH6s2wBrRYAbMmLgpofxKiYFrO3SyFeQywCvJ0N3dAHF3TVdnl/VcQVlZ9RDnX05An5F
Md2RmrLyFgZYydtsMJpy1eZa/ENK2ng5xHpuLXJxDK+SUcPm1oDSipFHf2yHPnOGouh5GlI13umV
2V6HwEmdJNbVX4hykDzmqRJAlS2giWU+/yXI60GFgCxX0Qm8KqhZ1+tNokUViM1CjylUwQlulJ9h
6nc3XSMXOP+M2k2QSAANa88Ik1XLE55SOEO1wUlEXQpyzcmXklTidPUo79A81fnWoqisgTxnzHHT
Drr0s09U7Ib9vLLeKlCSnt0WnndP8DX5oGgBMlBRYofVhtw8GZHHEyHFV1a2FFvtz1h1hxeeCM5X
XSkcI1I40aI2tfxnEOMdy+HjC8FKVho8irxkqHZuLJngiBMlOmkk4l7rfBzeumIorobBR4dfQueL
baGvVejLrksHGjlKTEwK0pvLxK/xQXBdID3bONRwUMdKBs8irA7BMJaDUaV2QSvLkwqCfuNGfbLJ
rdYlr2J1+qVI2vfQm6H3I3IbbIaphLH3lGr4mqdd/dDSBIaEEc7Yr7iKhFtYRKx/LVNp8u8EnaJd
2RbguaphL3Lukkvnn70zy4D1WshKXth6lgdXVm0hXqDty3RImI23DQGDv/ATSwTG1w3eaYA/BTWf
Q/dW6gw2jsEDdrAYYLGBQhqC6t5tQmJQwcR8a5CC7DQSHkPZJgS+gXpnrV3y6fzJUPNwjlLq/sXN
slwHr96JR8/zSGdkorSOyfxNF5A2eIhLqhQLtaaSujTSVqvtsYzo4OhETIjJkw/NEW0emSf2NDpH
2oxy2SIbJsJVBYgPP6dW9Ht7CH0QoQalm4sRtt1Dq4f1DTjhCnOEID8GLi7IUPkKDGmS5hbhsrtT
QzN5Jmih6BgYWgt+Ny+H+z6o/Atx8NQbao3qOrUSxBRtT1EQSm4r+0vaSyCaN4TcC3GQSDgKjUBN
MK/F4t7sGv64Qiav8wWLLBeJ3QrSGPYhZUQOl44H/xQ2lblWjLp+8H2hemxx8b0yixY3Br0onsKG
M7sm8MRpTqL7i+jJP5ljQvbdla3iyM2quejleEixMIo0uh+ESLssYzXbYvpWbXNDBFNsNvVpwKQ8
Xmp91j/ppcHF2C/1bpeI+tguZZpnwDdLOS0Y8VDFb8AWSVJnZicd+z6i6BX2hj8tHquooYINagHl
vzaOCsTkIwRC/HhjgAPyIun7QlwUSaNtUjNyXzwtUNcdzU7sJJQ8bzVBGREV416tLbQ2EKnbKM0F
Fzo41gMF6nJhJLEbOOyk5mVeoEjaIMz8VRijeDICqiUL0WrbEy7c47aOEulHl0v5G10t+c++6QKa
IRTqAFLZbgJFQspYBIXT4+qLPXNSXVIdMQEM5fW6dQt5LwKVO8hunYDh8uK1T78b3LBmWBVeMV6W
Zq6uR/pPluXAN2vl5DWDkAQtlhac/2WHiVOh69rapBS1DwPXxXHRJ64rpEi/aatE3SgswKWaSs2x
zTOAeIaXb5SsRuVJHxw7iKpA8s1Jb6LGV/sbPBbqh5Gq35vuucWJsnd4FCypva7o3SnZNbBZGocO
FHPWeBhclZq09eKE+0IO6A7f7EL3NpbRYN9n+jKOHQPOCLQ3LIiHJDqLDHmtcbIv3awsV1Kd4AKn
qoW47EuVdpFc63QMvzIMrVUslG+NAcu3yNOyTTh22RHObL/hpqUeKlPNXnKvS3ZtquRrjPvUZqlU
hjR1X8Qb/LqKpe5q9UNMcemCnpt023LFYTtkdewteaBGZ9Sk1/OQXszQxJaXTM2zAN12jX+2fKmO
o7zGlav90fCkL6WGGpejpmLTTy2f2saQrPpCpapPm4yLBTEmzeCae7RwDmE5LQ1amd0LYNpwL8rl
K53LEH0xvY+FQ5+emskalqoLlD23kMqcXVpW1xTKsZPsOkPFHUVq6TinCnnbdeKwy1l91Pu7FguD
sYHG2Rviss47dwOxEua7W1UPwMsKLNPVsL3DFTc6IHHsV97Y4sGr46oUlVXq4D9qPOC7zLfQWzf5
cF27VR/YSWalPyD9DulKp7UFMzZFwo+Gzzs5tGGqFovRGnACrfTOW7m50a5bCeT6oglcaefHbXdf
sXho0o2zTmRnwUl7LLJgG5W9iq4BsC3mr1Gp7nIh9I8dTc1Eqib9mDptAo4QkEJbmNRhTTZ2k2JP
oQbxz74azHylJRLxvoiJd8/pr5B7j0YusRU+erQXVXUe7yD8FzeKTJOEMXiawP1Vde9q7hsG3a9l
immUmig9SYVMoxmD7t1LQXW9F7C6mA3DocGvNst52zQUY/pZDuhmhMG/zLmObeJBp0xveIN0gMpu
Xoh6a11yggsBouycxhIJTw3SQVqu3OZDVP7CQ9Z/0FwvcvrELJe66U4GLno2vJY9psn4u1TujSxV
wiqPSSxhc3wqwOC65woFvzXCgwoxAFvpJlwgkW7YWWqQcp9beDgL94/mutzKy3yVXk66uHYZps4k
Bv1Pev1ng8760gUVo0ddJR/Z2eiot/hFOoKNF/VOWeZr/fr75OdvQBt5NtqsE10nNCvNlCmyklHi
yUvgXsc/cS9MkQ3OOT9F7bde/9mgs5RrFUljUJpMkXQOftpb3DiW0gZFghNux5WTXWgr3Vb2HeZV
7ol816Y7SjKm8Vt911xoGy3hwfPvcY9wct6Hgc7DdRMnX1rrzMmPsSusGxAK3IcdQXzGrhYZ13h3
Jx/oxl3+WWM4V945+yBncrkRpmYtlDzI6J728y3cgRVupu9rxaCrkJ8S22e1L7+llD8/SGNGPCAV
SgyBE9pCQ4U9HmIndMoN2NhNvtbOqFd/13tPY3HucgeSoTnpswlWfRuJtMcyQTQ+94oDJfcmWbdI
yVgok27znIL/nXzxKWH+ecT57CRwsLWUMbt3ZZHNKMiZXKc7jpt640LI7hY6qtHpu6AQgVAPlya+
mkBbBzfn5CnSrBChv38of0/fmNXLBtoaJLyfabjf6sgTrVW06zfTTjCi0V2Q5LPPaRTfaUTfzX9W
JTOGMqONmPn7h3HlbaRNO9Lqs883xYE2EriGOKMri2QVrAyHO24HpX/d7d2lvnzfJP5//ez/0K41
1Xv+df0MKs9/vf38r91L+pOo9GMd7a//6d91NEuDfGmgMdbB7k1b3j8Qneof2LgosqgY6EK09//q
n3U08Q9DpxRu8Wm9EzxZdf+oo8nKH1NiUzYtMFKixLfwv6ijaaJlEPJA0JFYybReTsv7gwYIZnhQ
JB4GQZb+o7Do5iPS+PBgvqijzfErGvghioGUuUwsIyxOzM9D6FGPP7NEDxZ5tm0UdzuKMI7bD7Su
hkuwzW8IVqhyRes88E5nxp6dKH+NbRmiqlC0tCZC6sfpqfRAlSWpAlte91d0dZOK6a7jVfQzspVn
faH8QpOg3JHy2nw/8GxXmMY1eLST9pGVJKuzw3pMRppGfau0JYIjI6MYdvn9ALMQZD6ANtt1DS8M
zCrXsWIy0y0ypGUeNaea/s0zb2/WDwCf7/NM5jJO7gZJb2VTD/UaVAOBQGX3m3SPhy762fxFBsMw
YQAmjSu53e33s5y1ZPw5ujQBZCVNozPj/XT9sDzjDDEaVmOlbTZgLH26QWkmFoiOJ3EHtyY7Q5ah
eg/4CS0oUjq+1mGJVqBYqZ3awhCIxtkzP2mm0Xt/IBOPicIw3Clxwvh+XFI1ZZOygpBvyycMTbLC
NtejA7nZAS64oh5S0Q1KPnyHK+udevH94F8tK7xYeBDwoGC8zT4lr2klImKNBE9S6tTdGlCbRaQ6
348yP9P+muI/h9FnUyTllcnau9nrqXuRl97OsrODwfvul7UdOc3D2SPtzMT0WeRHF6QY9aThbZgg
j+6vZl1wuYMGcl/Yt262wht5IdnF2+AYu+kXdJLNQ8hW3o31dmbuX75eGUSfoQDJhKX3+fWiNtFa
GstY5a/pbd4sU0pFoa074mP90q+z2vafzVW+znf035yRZH75rUl/j61M7TEfVnsGX4ZvgbCww3bY
tm7MneJ4u/LyR3IMbPem3dnhaDP1l/AUH4OHMzP/akv5OPr8VjP04A8tpHHiznrUX4ZjsCRzSPsT
Hnm37VHfCGf5jtMu9SGS+XOh0byhSrKl0nM1C55KWSpqMWGbhAi49EfdTkvrIqp9pyzMpefTPyhb
qyml8f1Uv5zph2Fn7xiHjpwUAHtaqd6b4UUV3anNmbD4i4Nn6iZDuMzhZ4KO/fwq0ampCBp8SKDK
zgAMEgT3AjqxgH3qP5nLPweax59ZJxRyh+OGDbpn71r40bjZKRbOyaK//CxUSk+KzL+KyuxAC/2y
tQRkdjZ1VbtsbvrmF3YPC1X/mcl338/oy0XxYajZXoA4k3J3PFlN03hT0XjTrfyNuDHPLIKvzxYN
yTqxjyJLymyXi3K1xI6SjVw/Vsvy4K4j5B97ZePtRNRgtkFqgvNlla4t5cwGO83gt2VPWVjjcRoi
MdhscWgYCeuqTH+bMCwFnMqqXzmmDS2qDde9Syl5f/9E/8VUp3BTQmZlzjf0MaiatqMua2OFukSd
sja33trdTh+3sMacwsHY7+Hc1ejLTwD+pGyJkPc4rz7PEu1r0ND3jkcCFalWQdODhFswrrLw9sz0
pu/1t+f5YaTZ8+xKLRu5EU4rpt5iHasCPH/kAmi3axzCXHsQz+zU8w2EJi5w66qumfyf9VtYSfer
mKPNruwsoQRZUcqK78Lh8ftpzc/E+SCz0yBt9bwnR4sVaX4lCI+J8fy/+/vT+B9OGx3dG/ktnV2Q
jVdSn3H6O7Pu5ivgfQYW6ChTJgDX1dl7qWO1CBFvNHaUXRTlRZ4QfVubLtt9P5Ev38bfw2izbMeQ
5bT2NjKO5qnyEynsfarnu5wk9vfDzLdAZjM5CRB1SYBiabH4/Lxa3086pFKtHXntNsM03WeDghLf
pfSOa+ewkV9MivOQtm6wtAoAlWnNf3g7keazQWH3YtN+4Mg2EowfVKYWgT3aOJIdpiTjuWh73omo
vc+Qy6WkQPXi2jrbEel/9jO8wjBuJavZ/EpvpQORmI2FtRNt8lUACAmUyWgr6TJb1fq/D0D67RfM
9ow+1nqxlPTaTon+DG2nu6hS6Il/+P5VfrEwlWlFwj5in+XffH64CX4w4igEvEqrv+xjvVwi2yYn
GOaA1yD8fT/ab9vv+3P9MNzsufqUuOjh4Lmm7LMA6/3H3qFBzHG3U1wZUylcAc46S67/LY6fjzt7
mqaIfmwwGZcGPKxrjtNx6jrogcmjLtQVdTFH2n4/1y+f7GSyodCZZNA7+/nJhmpZdqkZtnZbd1uj
QyitRPSgKVuzPhNhzWFSf64Vg+uQovN9MN7noUj262Wv8YUYN+OKrp+NuvW2jSM6ZL7OYmi+2IwV
PMLIcAIrgNM328qU2tKksRNpraBaauLRk+RndrE5MOl9PgoWfsSMXD40cdoRPnzxup8avTHNZ4p7
6stcdIJdvackyLXL3JMnXgeOiPj2bEJx+u0fj89pmSgSygfMXWl1NmYHjVzRY9V5QAf/DLgmiDJQ
47M5kXmm+K8J/j3O7MDBwKhU8opnmB56R1g0P33nFV3Ivb6KmJVx+/1K/GoDZau22KiJseiQ/fw4
MwHnIxxf8YHKspVfMjfYAokWnAkFvloYH4eZTUqiW9UrZe6LJOvu4UbQiaXqT99P5esxNBKC4tT1
/A7y+bAyWm8cWgMsgo2p2EkpBTQxwvL7IeYQyveXQ0T6zzFm543p5fQ4lWLJIgivjG37qO5kO1nS
b2beE+fY5hMunWvtpLL03+IlBcylsvWhbcfL81/bl0vl46+ZvTwrJ3HfmkFl146+dtfNWrh4rZfV
Fs2cfZ769+Xz1WTItTQgijQnfF4q1SDnmSzzfAtMzbdFSGOFHzbdmZXy5YIki6Vq2F5M7kufR+no
GZPVWuWm5ss3ogf0WJ7stgepPBOozAskf77LDyPNjrc0ghVUjzAy/K2wah+D6+IaAp2TH/Rqpd4F
J/SHTmYby+wwtWVUNJDY7Gryxroyz8z56yf795xnT9ZqzIySclvZHXyQVqeBlZ6z71fuHNj122xn
54CBZleTGgrFyC1XRqFeVq27iwbK4nmLds7FINmVrIcKtWjXUp/JkzNZuS9frM4gBk3DujjfuDPQ
Np7fcRuw4n6v+8FTQfuRKxVnDFO+fJboekzyUhwS6mz9AAuqELI2fIxdIC3oIbilD+w/OL5xWeI8
MEi38kF8XqOD3itmB9YIu9Sj5w/oWJutX77kknvmtPtqMjwqRuLBoQqabTf02ChJhFrA1nJ5mbkU
B2i2O7Mwplhjfq5hXqLLkkYBRtJmm8joRSFenyYXqKHNnVo12x2Sz3hN40+zarLOfxnaCp/VEZs8
VZ+ap+hCOvMbpsX322/A54H7ooFB2/wKVI31qPcuv8F8plkCUoDkFGsV912Y3+sEujGIn6O/9/Bh
fXCvzz2Cd0+sb4afX42KGp/mAL9fu1yZ6/6gvxxRui9FygYO9tPLYEeG78Zb0012Q+cUpVIZKkO8
EFc0U5AWOJvhnB75b7+Hk5AgSqKd35yt4UyieTIO/Namf3prXMa3Pu5N+s68S7ejI9+R9QUj9Eyf
jw0SFL5TWi3IuO6MM5/Sl5ExnmmsdLRoHKuzdR5HCHgTOHXskGWMV1uwl3CjMw89YNlX2cnX54We
X+0SH4Z8L5N9OMSFSvc1TDtRCKDUbvw3I1VxAj7nZfL1zCx8JCV0a5QXZzNDp6UjA4noFKUwEWy0
h35j2ckW6B1IyAkefu6S/9W8uC6qJHqIHXmtn7cMM7K4TBmscM/TV4L/ZCHI09TGOfMhTang+cr5
MMz89j0qUq5FMcNoi24pIM7N7rx1eJEuh825KsuZGb1fkz+8KRMjxdCKaODOtTdX56mNwoIWxnPn
1u/fAiVcXpNBmRemyfxKIUulFqcy4XC4ja+Ot6mTrMXL+JrulBXIqX9/M5xGwzyP+IbXND+kwshI
oeEw2gRRruzg3Xsiuw1353yIfn96k+JFIknyjhZ+D+0+PD0seKdqc0kSYcjTBS4w0Lu65yA92wby
+/P7PNB0xHwYqO5whVbAD5LUBCY8zWiVvAxL38a/5LInUzKsEC3KtCoZtrb7JCH+ZFD6UST6rgL9
vCw//4jpaXz4EXoFiI8ifWMX/AjzBWvVcTWyt/qrMlnId5NrS43741SSPEv5PfekZ2FeWSuKqhuM
PeBF7unWoorvxvD+3/7wphmaU+mev2dqsxnSviDJWUOuRNwB18Lz4N3W7HFKQJ2rmn89ob+Hmk8o
BGwh+0Jja6EJKmylIugcrTN7/7lBZiFpb7lamlR1SztC+mCKOkQeQBUYMJ0xpvhyaSDpfE99g3dT
px3tw9Lo0zFNipB84WQY5GEkTXcFYiMSFfXef6hepZ28UlfmyrrPLs92ZU277nxdktsiEYMWCZ7B
7K256Aw6L02mwZEv4F29ykEZLUInscGjOYot3uKgMCzkFdVVyuVnNrfpIc6Hx/qVhcMCJNM2fbsf
5j7kWSMiIyPjBcxUxja8Vp/HHFUnvd9K9fT9Ev09loRfC5KYcAJROtWGz4NFZNYqS+KN+uPep8M0
Lc7t1V+tmY8jzM44X/u/pF3XcuQ6svwiRpAE7Stde3lpJL0wZGbovefX38Tc3RUb4jZ25rxtrOJM
NcBCoVCVlen7A3SWgSHrFDBQgdO2g1JMpruXF7LqMgs7bI6QBJI5lRVWklex0FrSVJMD1OqnrRSD
fWvOxcQxSrF2Cw3ksjNek9sGnE2YWqlND9nOaM2q1B+7WB7cBPqYrWVM5gheJrnBeOnUJznnM7Po
Rry9zrb+99ts8Z0HkRQFCEax9bvCQh3zVNlU97BztGcwNNr8DJLzJX4XBRcGQdraBn0m4HbJ0AqP
J1sdg13appx0Y+UJTReGlB1PEyB82cNLgpZIGDXE0fVaKKJ4/Y7KvZTbbKOe0nvTjX5CwRy9+BDs
7aZjPpgFDhJfo4LVXvzXBn/9DuadhOn3ROgwloBz7N8G22zfvqdOdDdsZrAeYOjPQul6099hoLG5
R9NX5ezDyuMa+wAoEyYx8IqS2Owu0fKxH/VosGtHtIs76RCd1A3YOv8HxvjVY/xlis3wwO6SBl0G
UyAtfUS1FcSh2v3lA7ZqgvbskPiLQM4xUTGXi6HA9D8aUl1tg7jaBn3eZQvrR3hhgrnDWkxEQc2G
5t/gipyvFJDIQGvAbV6Ljem2bnaD8XS8sGSnBg0CF1Cx0moAwg4+C2k1FeVckzEPbm4pKFQfAjL3
5gct4JH3HH0GaaN8+MiFKlTQxEP1zlk09UIm3IMbS0WD2YQkKTAq5xG4KYoslc0cYeBY7gDRBsk+
zRL6J2XLL1evBZ0za8xX1ED3PfoC2ho08Wsjl2ojKblHVbbjQwaaU+9XejJETnBe8R1YxYuKngeU
ypmT2EhdnPVZ2oM67hXzxbPCqYis3NjARkKQA+UdFVcZ0zlp8nYGVSe+HEgfj1TfetwLG3lrcIpV
1AG+fSoNOZsEcJOhEGYZUCLtS9QEejsopE0ifE4CZmObXS/8uuwTq9uF6KkCFw70DqspJQeDKERd
Q3telSX0r0K4vWxgpf8DV19YYBK5wNDj0SjgdMNe3utetQFl7W22U+3E03elw7G2um/AyqLvj6/0
jRyKjpdq6YzKBZW9KUQbkfggTbZ2PTioF9yGrr6TdqB75PSBV73CEOESKsUks+c5F9u6hywMOpXS
rem/FOVDN+7C/MasbsbhQCLd4qzze9EMC1wYZHZ1RrMo6UNMmlJRzWJPQ4ewARUkXyhu1UMWlpi0
zcRYWt/GtFXo9c70Bu79fz0uwq26H/8HNeF1gzhiAJOif0/JiZZJaaWD+LSSYTBUP6cUMRgzvZzd
45lg1hSOZQW9bER//wQS3v30s3hMbP00ONNRekvQ403eL1tc9Q9gBIBKQI1TJ4zBEiyvXZzSRBuX
nt0DDuZkiQBRsFZOD2gt1E6YZeKtEJDmrmsigVffXF3wwj6TGVdqOYPDDce8fu49+VeL6D//qLc9
XhaFRezYDa55RcSVFBD4V0Dj0SIFLoL9jMOQQGYCNEN2nYBEpGs+ijaoraYSeBpJa2tbGmL2VppN
zQfHIl6KrR54wZBIGMRvncsf8BvoEyn02XKYHWxrTTG6XO3tOLIwMwjo8If5Ibq5QyWK1I12X6V2
8yw/Z5+0lJFyu7+r24kLB79Dx4Px91DWIqMOArE25ayHy0ovGGSx0uAZNCWXF7mWRmoSrgFggIAf
BK3Y+dEzGx1TAJSWXUEVusR9nRzBt++E7l+uB01s4GZwzQH2z5gSp1Crg3nA3GDm+OXd0LyMhsI5
6OwMDs3LNdoq/7cV5oEbZt1Q6GBYseOjts/BqwG993xrZig7dY4e2/62d1FDt7t3Ku6p3fkYYz/w
9fJWPx5evJAOhDoOJizOF1sOmAgUFCw264g1g1G+CDc+T2h5LcYQyFUDFQRgArLKcyMt+O5bAhYP
ZCYYrcOMFX0BxHuubhL9sWxqAufAeK+IuWr5N0Bi4Yllq4dalMGOfg3FCgeyrO78G/iNFgCuV14c
Wc2VUaZUQY6JcqXJoumV0J9aUSCdbZyUvY7h9m0FUKTZWOpJ30C84jq9zR+7Q7i5fBjktVRiaZd+
1MU6E0wtz3pqom639zfiLSipXcgzoCObbH7/L0gsKg7ZBDfRMbyj6QwtCdM2O0+rlX647xv+tQH0
hy5+SK+MBnR8ELyVFmK8QW4r5mcMWUNBwmhHyGvUrvnqctmMGyXdLMZpg8zTrH3DI3K1V+iTITHA
9Hx5h7lfloncoGFX85B6UvsMRevZzT8phaW2i3Zkb9RO/4vYNPj8ebcboNCFQzGhXJj0IVEmmDWB
7cV8vaVjdv/y0tY2EfU88BHKaAJDu+n8k5WoVZpTileCAtZrMMLK9TbTe/1K0xQeavh3n4N1j6Ut
poAp19BDkUzknuEObGWtA05Ot3lUMJSQXxu70lWeRWe4bn9BcR1jrBC44+0nb7FMKNfArtfXMRZb
x+S5SvKXPikfid5z3uxr9/xynUwQhejYMM8QjbJLfwdON8so7y9/NJ4B+vfFOQNwAJ8tx0ZqKMFq
cWy3/cNlC6s7RYUcTWBtMXPA7FQChoWmn5DaygCpoq47UIGj4h26SJPzzywxm1WCtykwZlpggJyG
XwjW3L+1fxUr6LgXWkV07IutBdW9PHYtvj44pHpIuEBOayjcEYCEy4tZLSUs7TAuLoGPOFJVREAw
3uQ7xa1OrWj5n/1e/iB24YR73w6uqy3H6qo/LFbHfK24IG1dVvCHeIeEeWNa6QsdH+vBgOPInv6z
fuTdrav+sbDIfLWqRVqmZoi9YyJuZfUK/NYeAVv55YXxrDB+DjpLkObTwgy4oRwBBOEY47Daf7oW
+isWpwl00EEVKbCSgXsSIo8WpHwgfMsJCqvlhaVrMJfj2LegK6tppN3oz2Do2kETeN+7NQYe8xPv
JubtHHM3xooaQ74c7ZpmBslRVea/1GJ6ynSoCv/NJ1JMUMmjJYXG0PnmQfAg7ztaxmjzl2iA2Et3
V2Yf/8wGc6j8KgJjV4Wrva0EqDuU7/0kemMxcUoja9kLCku6TNUoQSDH7Bloz9WwTHF2df19TASM
l8gWplU3kLFzM5RY/2JRBqpmFCQILlPmbqcEqF3VY+NK8SYbbmP9oEucjuEKBtME5+J/bJjMx1Hw
dNELFadUuJc8aE8jDRbd9Fp5MT71x+hRuaaPC8kNnvNTfdJ3dCZq2qtO7xlXvBi16pCLn8J8wwG8
S6o4EXR9JbKNah+yCBpUuaE1/Xh5X1cAK+eLZoKh2YC2zBgh9uafMELsUrVlobEo2TJFIJEdv0i+
6jiLtTHBsC8N0rYhTnYS1ZsQEj3ViEgVO2P3Mfm81uFqrF8YY2LimE4YajDQIZO0BGyu90VbOZwd
pL/3W562MMEExABMwSHuE1oPL3JgflJPsKHjApKUa5mqtJ94k10rUPXzb8bExqmAimAlYFHxrj+i
Kwr6AHCX7U1XsVIgchxQCXuTAxEr7pPlv5hWgaHFW1T59uKNIb8XCwMqbPp9Yb0qdrKnPmO8QHUF
+GD1Md7fBw6vDbZ+Gr6MMh9xTnqf6LTUnGrm01AIB02WQcQz+pwgs/bSBmrmP4tjviT+1SBC/4Ei
5EFWiccolM6P8pYHnVk/AF9mmM/Xg6ehB8E4zXogwaeWVJ8rcP1IP0ZQzkhFsMdddtH1/TNFwNFQ
pcTE4/mtkxfQQyItDGrgOwV/qFUm0HHvFPufmWGCViypUxiauBH6pv2VjbJiZUN+wnI45AurL3hw
cPxnPUzMKuQmbHIZgVq+lZ4ptAJcRXeY6PH6Q3mfPEo/+kNkk021G3Y9QBfb7hjgGe/fxa8N585Y
T1MWP4UJZmErNUDA0ssWDVoZZDhgF3Io9om46S0PoLMazJAqUv4RcCCw2C5hqKNK73DuiyL+wMTd
Jo8lTnK8egQWJpij1vTZNI09vQP7+LlNUG6awGMTVeCqKwBl1ExHTkQPSnIcu+sbuTDMnL22rse4
FfEKjHeQXYGWdnCcbd+CzgWAk7yXLW8jmRMIoV8k4gTGArHbiUG61yMeKmb1+a6D9QQ4PAUYIJMp
ggzQ7k1kgtOQm2CBwsTNc7cJ3MQePO0o2MMmuAVRUrBpoKdtk5+U2+3wNzig30VYDACjMgICnPOD
PxIQFdHUydZj0Y1RIlDCENx8pQutNSsNf10+/6vPOVrz/bc55lyaQxSl9YACjHJLcwnKHhZ6mgMk
GeB3/9uFRL8Ue/miYgmWHzo7hero+QoV6Jyh84C8UK0J4ASnriNgLwBZb8CDcK6dDOCbCEZHMEOl
i4ylUGunWB4H+sbPvXLSb3to0LZD5Or1Txm9CVGYNyI3PVu7K5ZWGS9K59JE2xPra1wgiUB6G9zR
+H2PdCmzGmIPDlSbgxcw6V6DIpl3cTDqOHROBtN2i0UzaTcY2ccQ+BeKY6OwX9MTrqMtJfKh836Y
DILIoz0ekn3oiBhnx3BJ4Umu9JjdhFflXXM9bHkvtdXaog4ULXpu4Gj6NtQMvrM0UXwTVTFQB33U
u9KD7JkIcQwrscdbHYO6FGv6Qx/AOc+5RleTHwxVEsCt8ejBVNu5s8kQt62SBL2i1jEyV/ulg3Ym
RF2zP1C4hfxcv033zT3l/bp8sNbu76VdxgnkAQDRuUSPSJur62QC1/WoOX5oPlw2sxYVl2aYjz2j
FQUmXzQz467ykrl2DdO7bGH1tbEwwdIZjSArGCRd+Y2LrJ3xOXnzNwSKS5Etg5L3oXloN9yx6rX8
fGmTCYLREGT1UOEtlR4RlTbmtWz8nr/wHXI1X0m30S7rrWAnP+dufkIT9/mz3PBwBKtfEIwFGHYG
mExi522GGNSbTQHPIWBsr+vGgUzdo9jzGn2rX3BhhslGtKZGARyiIHaYg2ywSd5iknJwMmsIK9pI
/M9S6G9Y1H+kUZP0ucZ2TrUVP0Ce2qX6PL6THwS8P9SNOqHxLDvgeORe2+u7CFCwSMDshR70ueke
JORmOhl4q4KrWaszW56fpubPBwXphPGXFSY5SNqSZI2ETaxAJwVBEEib/PqrIg1GtGXQy2EEgRBm
KTWYNn2hUAc7GLNjIUAwIR1vDcNwLh+41R1bmGHWIvZ60yJhwzBKFt7N4vgqNeXPPJg453rFDJwa
DWw6T2YCq3j+YWZQ2EFvkwAkOYx2Gx6kTL2HZCynjb1yA+uQgkIHFLEXrR4mPnVRFoQCwZ79e1D6
/xMLXoGT7gmTUizNsK8lWYGoTmhiMT3S+ib4kUtgQoe4ZyRwHg+ru/a1HpXZNRMC7vEA2QJbV+/G
6EGEgDNv0opngsnIOmmqJHSPUSOIt0KxwxgIeEIlzr24kqNgw+h0HUCPGjT8zr9+kwDgHEowMgup
58/6D3XoWpBmq16i+Y1N5uj9slevf6Evg4xXx4E0Q8MQBtXB7K8jUUpd6CVVdkRw/4tK3ewu21vf
xS97zL0fNJXf+KGCXUy2RXCvdaKVirwRqzUjmFfA0CdYDgjGBs53UZozMZYzGAGztpvWo6P5GJUU
/7xqC/aELyvMUqDyVWEmElbaWjmpM14E4FWPu3hvEi9QOA/1tQfBmTUmcYlGM8vlAdaCzE2ugPc9
YOTPa7fQ9ARh+QCyiH4zbSvOuVq5BcGkAEc0JbRVAGY438kwgWaEVMJqSKTjqLTHWuZhMtY+1tIE
s42jijmZKDaBP2mrU5489sP0MKScb7W6Dsz1YYhWBxyDpVBQQkHNI9EHIluvDkqjbmWRxxeylpBR
jjRU80QF70N2Kj4pTHFufcQg7QQiyyfMbv2mtQ4eil0A/Awf9LCWP5xZZL6O3wKHkFPhOkiZHxVb
2mkA1hd7WrJRPmYXmfS1uYEWNFgtL5/itaGCM8vMRwPnYFJKHSwHb9Iz4F6jk96AXdujGUwD8c8Y
TUCwnod284HB/Ogm3kLZF7gPLvKFGmJvmOWmM8eClJHSqhG8p3EDwZXb9yyyE9SNTbfcop8GpM/8
Go6OfKTcyTLnFl09lEvrzDUqZBVy1B7bEO4AKXhLwGBs2o1TH9Bhs1WbPALtw9l63kdn+17q2FXF
NMLmsMcQluxSAh4orXq6TfY1KtaAGF0FgCsOW16pZw37RvmhgYpHWgdlavZ2itFqMCE0CGa++VEN
xs9en+6mtrzt5P5FHGUPcgheYM5eSXSIr/EKatSdv33rhXnG3U05apskH6GtUH3M/m7o3LYIrX7i
pOWrLrUww/h2oGaFEVbBaActXqPSzSiBea0FUSyIWket4XzP1fC3sMY4MJRrBi1QUjCS1qpVFIci
3kCiklNO5i2J8dNy1oTQyJPRhmSOo7Q+9K06SDn+DEVzU6mVdzk6rAbbryWxHqqjLO4rMzYQKnWv
g99fT4TXXlgzgSlOjIUg7QfBA5OMtbFchFFBk7HxHVIJNvhtN5cXsfZdlhaY999sdGUvTLBAILyR
1Y/FdO+rb39hAyMYmCI2UNlku6SJkcVpLcIGBE7wrEgtaKVD0qzgJJXfNgtVFtkA0xuucmwXSwpT
tSTQIOc4wcR9OX4oDQ9f9Z3kBhZUEStQ6ICZbDDpd9qpNQhJEBhGyep+zWDOH7fyjjRW94y+HUb1
/7i+whhkvr+uQMK+luDQ+VxZQwkVT+OP2QBgAi1sPI4oSei3wU89jEIVWjwjBMpFBxr3zjxgjpHX
Kf/mZowV+u0WJQAj6jMlNfLRFoEy74XrYYaqg86JaOtGqJQxXA30IfTvCyNhWxsA82MpfXyczY9O
hVZ9mnC87Hvb4fdSvqww4VktoISEUzPiMix3lO63/T3SVwNR9xdcDYwxJkgnZT/4c0vDpvJTV0+J
/hHz7gEaec+uG5jAyA9kmRFhgM1gPg3UJ9U4TyqczHrUfgJWlzigIiJHPcsTQJQL0u2EUZRA1gNc
+x8GBsY088EyIR7ECLI4EAUUrTiFJjRRrHBU/8YMatIiyCBRjTeYu6f2C6goau1op1K9FSOIFFdZ
/iNWKs7jZc3/EH4w44SCBsj+meWElLM18GGnao6SDtXfe2PmPFS+5QbYMXCF0Ol+YAYlFtndGW1Y
BD0+Vj3rb0FWHTOoqbQG1HaVinMzrJgC1wVFt6D8CBANs2uRmWdhBkEkOxRAt9NCY7hos8cmTDe1
kHNsfUfng9eFlgIo3y2VMGeuoSKeJohHQ08qPRJLtSRPgnoN+G5djCdDNdBRN+iOXvn3tL2HGYRN
0P4POh0r3w+lVowbYWprZf5fS/ShkTWsOAbVV9sdIjTZZs5KV20AywUGG+CSIMNyHqOAXzNngfpI
0hkHUwdPu9HdVNrsXj5Zax8P7C6orwGCQBGm52bGaTT1VIGZoZysMXkRCqjZ3knhz8tm1lazNMP4
SGLWw6RN+GwtqKU18ZWo+y75Y+5e+MbSCJPVzVXQtD6Bzw8FRLbap7p7I0HFCeuclbAw7Tkcsqxv
EYoyYXD17DaTwJpd3F/erpUMZbkSwuQPSY4SeRAhs6/aAKLqUTTI95Ii1Bwf+/5EpzsmY24H0BM8
0dkyQJIF2ShqKKxO++nXBCWo1EkqC6X2W+G2esBUkkf+lNUcBxcRFookIsDRKoa1zx2OYIyoVAEE
sOUyvq+V2TKr7FUyRs7SVi6rMzPMDiINglgY9WsSZpYW/hSUZKsOMwg+K6s136ClySnkfX/7Mgtj
UjBlbMwCNHE4sMhb3+qb6QSKmAZUAukVlO6s7CF3wdLQ81Boq/642E8mIEJDsCpSyPPZmdpbZXhl
Im/y29vL/khPDnP1n+0mc/V3JZTk2hlG9Gqnz2iC1pTebR/F7ylUlqs0tvOGB0dfy59gFNBmlONR
/GdZlGKj17pOhlFKbR4cqj364Xf+Fp7pyT8gDnJ5iTTQfV/if6yxj7Q81arOj2iE6jH7GzwATGsZ
8hsRO6tVeXWS1fP9tTSW2n/ugHPD8Cae1E/CtepNp+KxPaSHcW9uyBMqMy/Jj8urW/eSr9Uxztlr
AalRJRltITWsvPtZd+/+8MdjQL9PwJcRxhVnvRHbFKhIG2LVThheoQcBNZfQvryUdV8EdwXAShj2
ZTOAymwgt6vACtA8e0rd0XmQDtnwkHTrO/ZlhnH5osSVOYJ4xc5alOkSrxt0J4u9y2tZd7ovI/RH
LB4isgjB45BGqa4hViLOVtE/tMbgdOFBC14u21q96ZGzUGoAE+KGTERUY7Oo+wD7pk3QV/bT5ikH
nNqQIltPQ46D/55K+XaaFsYYf9PRkK50ARdLfqwaq8ZNsk3cbJNeo5F7XTw0UMfbWI1T7QoHUxl3
0OAFhRCvNLj6CSGBpaFriDSY5XVIY82HMDVWPGA8NZueB+XnOGwv7+rqSV7YYHy+ENRoLqoZ7665
2okjUEKjyXmt/pfNBA2+SCDw8E3OIvRVIx0FHedK09I7gsqV4BZZ0RbHQg799lEOgunVLIzeGjN5
ejfAgvUYN9Bf2UF4dog3XaUB4EGyqjedNgtGyEH3pbAf1aI9DpWAVmRmtvV2zEr5iJtZCJ1CMfW9
qfgFZ/RidbfARIxWngYCCZa7airMUFYK7FaMrCYI74yMc1Gt38ILC/QULE5UXeR1WItIzdvnKbX6
B9p1MO3f+KFoJ3oBpgMDx3cvO8F39A6NfEBu4b4iIJ3UmWAxK0VbYlk4xyqdpqsdOvWZbT4yxZlu
UGb4NRyH69g1XzouK+RqorMwzYQQg/Sg3Rxw0lJQbwMztZHeDcCWfqSH6ijZEPU9TQf9Jg0gRclt
NqyGFIqUQk1AFjHMdb7Zg1wHZjVg2ZWrXxsbaE1so1O0jzbhmwFKmtjtDvWGh4tdOdUga4e6nqJT
9jM2Z62gqV3FCfihfFAAS6m6bQT5pgoUTmhecVXKooLAgWqk+o1V0Q9TFRQlyYQ8P37U0/KxM1OO
s66ZIGjHgl4T9NzfMF9ZjyqhblYT3ugJlEx+dn886gHu96UB5tUlRyTHMHaDrVIw9ju+BulblnPy
3rXPgaQdG4VRa+Ubw7YEpWgMWo+T3UWyJbRbHVo0afzJOWArnmYsrTArCbJIbCINK2ncfJfdyW90
qu4jpG2l4VgAEeRfgRvGuWyVtzSaiSxiSRllslzq1GjxGZa7XAevXscpBX0niaDfCGPxQG+B3Qms
yedGfJLlKUY8p98o7963Cku8kyF0K22NHUiUG6/zqmOz0zwFSkmBM/EO8eoiF/apky4WGagp8cF9
MdlyB6HVuLDM8lPkOclKnoOjRF+ZgDgCgsA8+tCgy6RCgxPWdZF6YSucivkqKsQMXFoDpH3A5sy5
l7/Tq2FflyaZdMcPZN0352KyzW28yxqoqZJDAoo35aF38zvQQoqWiZkrYNmgK26pHIelu8bkP2fW
mcioyaWgRRKsk9rMgcwrnpLA4LgOzwbjOakWzn5WZJMt6roLZh+X8ErYa74BvlcNNKHQ4sBkwLlv
xLHRKqQVcK0VN+KkWFOc2S13cHHtbC+tMOvQU1UmAiknOx4OETJDlbyKylM9cCAPK+8GfJKvxTCO
ruu5WJcKzPwb4kU2FDvOG6RY6/3ADpR2QDAjQUuSnoXFgRLywS9HI8SB9lCGgn71prC1nXqKUwti
1V7gkb+IwLiAkdUjCEMyhVlY1yhNmXYEaYYCOXYZN3CI4qgictzt+9QBPVELO9RbFgubBrkVJx8b
2HvxTfOD7P6fuLCxk9uossB3LQBhAeHtbVRa4vbXXzBEMj+AOtLiB5iBqHZ+EeF5nieZ1eHdZOWl
fyp6cnc58P8GRH07vkBQ0g+I1xkL/TekaSyaEksd7NKRN/lOv6+Pht0BXBBCpnzcVWBxS45kP+6r
nfA6uxlUqUH8t+FJ2a2e8cUPYe89cGKa5owUwdBFu43vZ+P58lLXUlfIjeI1jYocclc2Ja/hPmiH
IZ3qvcElXu5hTrLdNZvgcTyU7myLzohK+miZL/8Smf6vDMvra/uyzHxOGbPDKRRcsMkgOS4rMOrw
TsaqBRS2CaR3kKKwXPARBHD1QEhxt4ErpHgkA08ylqwFFaRQUPakzIFoHJ27pD9DVCgsZ5CVgpB6
Uh9w0blRcwVOcDsWAcWOOqfyQdPat7uucJUm84T+RhZEy4jTbdU8dnrokWr2KoVct3K5nabAUufr
0v85jhFuy3fUSg+FJllZ92AML9Wg3YeYTgAJimPW12GXWFN+kyc/prpDDeF+bj8uu8f6+uj7Fqhl
2v89X9+gSTMiAvyPcuNRdqfOi274QPq1DwUZYBVIMQUR2mC3cQTj3yAjiRS62FXqyqlUTpBcswC6
LQISF2h3op54vhAxlbqqLbrJxuip5zf53WDyHiZr9xjI/CC5hCme7xjiwAyKqQUa307yz0QrrAqU
OwWEJytOPeD7nAriIDjfUBaldJLgID9fyyyU2TwESNno5Izk1L6Ve/MPA7O5UAO4nZx4C+EJV/yb
THFplvGF1MRgqa/CbCU/dDhK0vho6Jwn0VrGQaeCwEmFnAPPifOl+XqdJINIbYBEVQcrYvss5pxE
YN2GCi9QMewPZulzG6ncqlMwwkZRXWnKzRid5JrTfV01YQCyDi0XCg5jks80bbQG7a7JjvBmKLXP
ECgTgC0vn821WoeBRqgItXiwPnwT9TPRvelVBU8H8B45cYnxKWnbW4BHP9W5S+isRAZeQt6raO0k
AQGCigeRKCUss3192XT5rGP7UDiyMoy+RxOvkEw9ib1+lyYYT1OGUsYRgAlfIBUG4YptLQHZloj1
3p/IdUnkj6bmxXKeUcb12nYw2rrFN5sgTRL1pV3okxUBjx1JN6qSb+Lm9fL3W3MSHQRlyKs1qMKx
ScaUGUIu5TQklQ/y+CKVT0R6vmxi9VstTDAb6SvKv5BOJfmVZVdzxwNmrMU8VCSh9IMmItjd6BoX
KZkx5rWQ+nDBzBJSyAZUpaWbR05QWE2pdQxiAnJtYBaTtRJV0hAlFfoyjQvgemVBbjmE2CGaezam
4kJr4koIrzrDwiKTm+hQ9pCCCR4Yhm+92ljm+MsEF0I0VVY83pLh4fJ3Wt3GhTnmTAmynFcGlK7s
WX/PxZ/SCDXJ2m14F8eaO2D4iODeIGAaUxgz/WSifV3Tc3UKwIV3rB9oGUVzGifzLWhMH/g1lLXi
NQYqv2yyLmgMhRaXsNm44Q2tUYpP4Y4qacw71GY9A98RhPtX+qN/LSqQJgq44uurpYDlT2BOttbF
RJkL/ARl0x9LZ8YAopU7tC7cOAKUZjAqgGHX2qq8/4HVgr6R2Vi2MM6O/BhChQlBWkSiWhF0prX4
2VsVyKAwEvjIJSCkidIla8zFMykKCcoWS5U3yl60lafkrd8Bgg6mcjoPTvZqavmeDhC8/55zYfCr
/gWqWlDwQiYUMJ3zaFCnzTw3NEMwh9itJcUSivc/Pyh0BBz1Zsj5fXtcowCZlUIqTnaJEcF6Vp3B
T+0qw6QwLzqvrmVhifHbqRGkeYwmXHNV/R742Y9J530tngnGL6UkCcqBwITfvMfNlVJu/9FmsROx
ejmZwjAhbErCKxGuSfSgG88DD3q8FioXn4TNdTpiNq05YxVSVT/mWnIYEyiMGvNtm7QvXSvvkG1z
AtlauFyaZOpSzSSFaVch09bAEd+3J510bqo9+H+TxgEFqELMTkFBR2FugbInoaJU8DbR/1HUj0KH
ST2F85HWnGBpg4nJWTdLETgjUCnMDMtsZ2uG3uFlP1hLNHC5QPgPUEPQcjPHUkyCvO5UPOKI+jMv
fxTyVTpyvsjqKhYm6N8XeYDYqUNOSrgakm5bTN+NsvyHi2AyDV8iQqYW+OZNhoZy/JD793Wwu7xR
38d40IpBiZBy2UDkSmFnqQslqSQIFcGxTuFD+qlgekf3ij2t9gzepti3WzR6XeUYb2u7usm89jby
/rzkQ38DKJCgF0DdjnGIaNRNVNngEGZabo1EPKDwt7m8zu9fC8KJeKFi9gsiuhr7AiLClPVCHIq2
Hrwpw0Oc//jzfx+D1DKmEQhmy9gWXdwpUlHV0mybSmiD7dGKuH1eGhvPLzqQqRFKBA1AAyovzC6N
Q40BNqOf0TYBDM9qwT2L4qPdW/nWuJ7dwpn3qMp5U2tBw4VLMPw9AME6XpAgR6BKfCy+H5BXOUvj
erbDvtv3cetWk+CQ8baVeHDDFYgeTOkG6nu0kAW08PnJEgKMc0+ziIV6xi0gXrkX5mCkTn9RqSf1
Sd42ovXnTzzYRIaLKXIDM7fs9xvzClkEAT6zR8F/7DLArTkP5NUNXFhg4kXnz2KodgZoeMzMk+s3
JY42hvIrzQLnsit+j31YCqS6UDBBdw0ttvPtU2NVrIS6RR1TeZGGJ7VA8Ig+LtuQV4zAB6DMgsQH
+pdse0uujAl6f9psF7/aI0Q+HF+1/BOoK93sCvViFFX7rQF2HC/cFjVkKS04KBTaDTviJru8n8Ik
gNpMZjWYx9ludHGXE2h+FonTFx5nxfR4McfvbMXMDRyquWzWsQoBc2+MLOUOWOxr4Xp8jsZ/QR/E
e5Cl7wF/8HwPEwNAY4vPWWaDLIsKgnM+8kowwK9BmYVQngAMdZx/ZEnPO8iP6zMSfCqwIrhk0+zk
LW96fyVs0vYH/n0ENTBTMulASsQoMys4raDGpzFqDvmfS9gBDrAwwV7VlaAMXQlGFjuongq8k3xg
c/5c2JwxwmwX0cIgGScFE5la210FZWK4gTjnHB9ZdZGv3WKnrIq0noNWK0Vbq+8mvbeSbsIzGrVj
dGCLzOI4JFFXnWBhj0nYTT0UlTmrRai3qQ+BANYkuRKtORxPaVa1dkZaYqVl81Ab0bYh6Ukj8mgp
GRQCFXW8HTL92KXStvLLU1oBzVI396Of7iZZfjBNKH6EsWlhAHKTztkJiP3HMRi3eRi+VEpSWrVq
HAqllb1wzLaYCDuVZejkNUHlfzKtUBSdqNQsIEk2viy+y0X97KPUaYcyBnVNUXDmtu8csZolrxDK
e7n2ZXuWEo9M/Qah32vm+l7X5tQN4jqHFqToZf5wP0rmbaOBq7mY8n3Rqc+SQR9DvWRaOQYvMK0h
O72enaIBb6UyBsUyGVL9BGII8VpQlV1DBij4ZfilolL8yBphL7SZYAVzeCtmZE/CBH8BPLCTZJe2
oKZsOAZhUtpaFZd2lmeukhteVeV7jeR7IZIHWx77a1AmHABrfG3bOXYK2XjvcuG2iaS7BITj1th1
jwqJX9ok3nVi61VhcQCBzlUu5pVd1ngeT+ZdJxu+Wxf+LhOj4yyooV2HQmkrQ/8oNf1nFsqfLRE+
u7C8883mdpSLY5QLmKqrxe1gBlupnb1Jn/snKOPdyIUqW/ks3VSJlllV6AuOKmKqLDKkq4HMe4DF
fnSaj15Xk+jQyBgKB4pAz2I0v2pmdRuHZe0mYqZBy7p5KMd8MwvAPIfyIG6yor+ZSgxzSnr7PAO3
6fuaRWJoDSjDY9XhSkvnK0NsE6sBR0pJynsIxoJeiai4yUEzCYG9zh6zSfYAo3qE6mlm4elbuWlS
fIqi8RNgtpOqQGs10MTRkmTzMIVSY81JfU2V7ItmaNH/0d0J5Ptu7vdXfdLvzCHYYhT0AeKlnibU
d2LZekrVHwU/OUEVe9P280NExABTBdOGTCLYrfI6tsPANCyU3jdNPqcWKvO1FUbaHToNLpozBiCC
402UVR50WR2/kuVtVsz3ZTneokP1QwyCbZlDA1trU0Ato+Y11o1riFscupLsg6Hz8n6ej35pCsg5
p/ukr46i1O5VJTtWsh5aRp88hmMSoGmi4v+BUIQYNlbcykjqwtLDf/fUNMmVkk5On+a73BgewnE0
vdGMAiuHwIHVJv5nEeq3qVwbbqs2R+AvXsxRdvJ4uuki5dUs/Xtd/T/OrmQ5chxZfhHMCILrlWsu
SqV2qXSBSSUJJLgDXPH1z7MPMz2aspa9OZWVSUomSQAR4eHh3kas6OGmOE+Zw5u31gk+vL7wo1IF
d7Pxr6uVLBGj7Zo2jhK5L6WJ1tHNh0peNQyGV9BHlCC0DgfT0r20hmuywh/K9c/aiLMiBJB7MyKX
Me9OJd/nEV1i4x0nqbdINPaz7ttr6U5wwVszweSVdkUZCea+6IL8nrX/YZrhlw/ZhxWvIOLWls1d
ecsn9zgXTgUde5WTwkr9Qe68oL8SQetEUwgLOIfslKnvFQx0ohpbOwqGGi35ynzUznrlhMvr3BI/
nt35gwTIC2CVDnU3o/e67sKYDXYYhcI7jp4H/8F1y2wzJ6Et3jcp880J4VNp7hTCRGbNHot4ONxV
wvuUOoSpRK8+JJbz1om9atGPpAv04+ENVtr7Kmz2k4vEfJN7ET4s1OvieiQObE2aM/PamNbOre6L
XTh0aVnSDA4VGQyCksJYkYbOWgf69dID7PXXxBAfihjTqS1fDV/Og/Zi1+6ySnmpjZVF9XB26zXq
Aj8f5Lob2BhrPDQFl+cRv97NqXZ9bKYpNcGO2Y9b0T9VhB7oAJ2GNdxT7mDcGBkK+bUtkE1EX/yu
ZW9+WCFyKRjBOPauwqtoC/VYGWgpVGdLO78hA7YX4DgPHbgeAvc4hFG1duN+HuTJ4eBUiVb+CpEA
yeHsh+6+0OODPUIefrXTegx2xSjvZAmN374/Uhjken6d2wxnwDhFmpPHum2yEuOWna501PgPJNDJ
hNEZup4qMErVsEStBckTGsYD3UnDEq/rh2juy7hZocnjIK4YAFg9j3x242CDrJAsQ1npNRg26G+N
hZHubUwwzG+7pw2JXAjl+uZYF7d1V0Y46rON+7mkSTjIRIanbXks9KtrFdHa6sTvMM+FP6hgHVBU
sWmvynnFSe9EBjaWgW9S7pdpLzCf509op9x1YFzNm8CcwNUob3BoZdOmYsEe2u7KD0+DeuoEmBe4
1ua9FoW7D6cF1Phzw3S+8jYarHM43Uz4+SoqRPYiDgqWq+1j1fuiFLFd3hvM2gzDm48LTzAEG4a7
oaMHjM+RjSYdsZLJ2rlkHwaPFxsMWtUJ2So4K4Bd2OqjXPq0asKIBufWGUBM4NksGMCfN7e/dUuc
3KqEebib+NqGBkIa1G+oVCMUMZP/OIc4jfRtNZ9RkKSrGBNZnhr3vSvYLRue1ZwTBKJGDDtPfUB6
PAP/CrOTMImZfPAgSFqFR694RYIQiepDrthMI0Q8mmfPf3ZmGCaIEtzsTx87TlrvHSx4q35IGkcn
s90mqr9Zuv065GxC78/rY+ZHij2Z5mURkO7fYDP7RPBEL+isnRBx13MISZe/vS2V6mCpJV2gAlls
fcTt4lo1V2EIBUj7GLofgwf1oLLeh821YgefJ5u/FxzHF9k5EMv1jgUmnRlkjOacuUFktXC5Islc
uNiZdRQU1lWjg6TpP1C5wxym3RH5rtAxCqz62ACXVPrRW+ANxG873Lu95X0vs7qtE4aY3KyPxql3
HqKh0U0iA3dfQ4CCbtnoZVXpJqIAgi8feLknBDkPxKF6iiylzdYeqU+wlkkX3hfyrBHxpu7oe2go
rve6vA6qJ3v+WtUSlfadkrmjtsj4fa7C12594vKWkUM1Hy/JGJZqbLc0DsIhtsIqscW11+6xUKMF
L90KSESHUzFdhSU6HHgxS3Xyl+cmkED2AmyQF4gwh3MT++tumna2fl6tW2Z01IKTJvF9bOQv67MQ
N8tSpz7t0lYDEBQfi/+6lMNZKjtV7nNQfU6LlxR+rqy84HnjZA1JnHE8lGCBGYZwar9Ib4hCN8M3
IP3DuOx6Ja8cNsTNUu9I6O62/rMfQWxinxzXqFS0IjZSmVL5SjFgzXHIWx5okoj6sEgIwLFlAU6C
hEIUFGQU13+crLSSZcxAbBvFcZ1vev/KCu/X9gW5mWf2LNgN/YQk571ip5qO0eDfO/S8uW5E+iUi
fNuVMM/WE7ohAeyzoVTHlJMU1QvBvoGBYKRDljoWjyx94zQPfDpou80VWLGQHYC20bH08YQsN696
82T6NoFABg5pgvOryqquigPrXs5vfblzRpYVy2GAUKx9EzKSD50VFZOMTHvXFK9TNyWibG8dfB3h
lZGRIoOt2jvv7cgrccAVbqoL/0qEbVIrnIBY997rYr/r8kzVl8SBENgPvripoX27khB96yXBH8RW
j4Cy4Qa4txcOyavyeTLDIahVoqV6QfROKMz1NoRc/gIxtXyeuqj1d/4qb/A41uB9HV44sbKOW3A1
fy+KIiHLsremJvVDHpW9m5olzP2iyW2OLL+r462bII5d7XTvROHixFN1M1q3snpuzDFY19Rin+Hw
1UzrwZmzQe477xB0BLK9u75/KtSD2/92llS0FuJZ2pCclSmf+6hQObTFkxZhmGDCkSKq9YEdLdPJ
lI9uuO/cxKCNgaVerF/BeiPDPlZL1nRfAVlzaDrsRv6mwuIVSpVU4OgKdobdV+u5rzDGwi6nKIFU
z9bvZPPK1idNoJxJ9rVzJwOTIBvcUdpHYevtFPyzsWavmlpFTklv/ba95n2QaCoPKGYj6al4G6Yd
JXRnIcCVKz0PbnmEccVhIa+8u1urV1TZuT2OOEERPBRMwTwB1WL4bA9hnYi6THE2T5MPGEUhCG2J
S/q87jFk7geJB9kvcW/su7B9r4rzpJsISXoc9EBBtjpd5QnWznnpPdjBLynvnPAX2dxkg8mCtRY4
KZ4X2Ua8AJt8/C2ok8sQarfyWRUCLhfHWewdTMiwgiHpqfO1wnuli4pnDUcIHcIWt0mV7DKnXnLC
wcgiyKmrKhk6FE/YZdZmJ8aq9hOTd7XSkR7b3AFrYlN9HLQurjrcBfMnaXm6ahDLeJOMQh64y1L4
iB+ddUq0bafTZXmhYKvWw9KMEYSldlpC6W+uY1peaRHEvHjrAhq79R13kNS1LA5gjrWYMsJIwH4a
kU8EWPJ4OjYGASXxQDFn16Nlv5VL3URjOyerpdIiqPJt4imTeTG291VfI/kPH4cAIyu2lXOUvcb1
rlwWHNfuaZQiCioT1wPEu6cbWy6pu4jUmfpYmDBpavc0TwoaujJz5ZqUkEQRG8gbor4tGpp79TWd
EIY6oIB/ccH2lJR4JxY96RZDGAg4Chiu0W0EqZOIyzpZQx4X1M26UryEXCU+gSApgt+iFyRNVjo1
bS7cLmGqjqs+zERAsnXEmcNv+8trAVV1g5qyVcrUeCwPjZcouWWB0yXzXMIKe0r69awYQxVxXag1
m/RzT4fz7Lwo3MnaYcFpAklUrORpOLRTG3W2nY+Q22aNepd8zVcK3eBqr0usStSmQXntIWWF0mg0
iTpywzVXHG2L/kbLLepAAiGB+KWtOdIUIqvAmPoJLF6ESylhrIhOJNsyv9e51Txhwid1/Sqmdh8R
U+3DbcBxyHHC8OvB7U74d8cJBZ3eTVwfoWFrztAFByp9E8w2YIcrX4CZ1hSJ00KTgQVnRBS1uDvo
U8Au7oXbzZXh+mwhKbfoC4E9rRSfyC8hSowz4aCGMFm9KwDGqAZHfJC5CgaIcyj/fcTpLEWbCTTM
SP+7HT5VBysppfLS/fAH0K1RXbPl1ITX9iZxNg6Z0erkORhyr+GOABP4h04A1qlQGIhizYKCZLLh
93aw0KgdnEwKfgAMTrFv3Xs5qozAjIZ3wYFRcst8cV6cJrWQsRpNz6I0v5t6OUKICWeBhzyILjs3
FPeWRz4JuMRTOCfU6X5PAhTbSS7wHSVYyOPoRBjMvOmVtW+4yTxXpmzqj27Q/qrruYiaQeRQ2jzU
QR0Vo5WYpsnb5pI9ejLVKIK7vtr1uOfBhwxLy48EpNKgm27CDfYFBY8bPYAjIy22X+nyqIryra+c
MNG9exiK5mzWaifL4CRHmrB5zW1lZx4XidYa6Sx7gkT63eY00HPsvd+bXcbG3l5LSsGcm3bs8gNa
k2im8o1WWFNT0x9V56Bmr08N95/ReURtEJBnR2Ir+FxDnTEsntFmi1pdfIaCVlehW4FnDI+pGAco
zh9FDpNd36Azega7jEeb3a4w5fBgCsLFo5D+ruidyz3hjjtryAn17vlY3bq+3Fe2fqrXEQ06ByXk
6HRFyi3/ugloC91ukcM4+5cxDirQsbr3a6REWqgOD65EVQgLF62RQDlT1QKDreqsJzpMaImi2p3D
yGsAHhDKXpnYcszd77sL+3JedlYrrooWZfdS85fBd8/cdPvWaR5L2VcHNs6348xeNxLcLKy7rSbd
pZvn+ckUhrtatcAXvdtxqcqoXJhI7d6b8iFwm5M9WTTxhRogHjbzdLIskUEg5dG3JyAh7gOGlGHo
aF973XhAgfdOSH/QKzsEXn9de1ixyoNuedP4sUPq50bV94sA4UDRZ7IVT5bb3CzB9puV1g3xIHNa
B7Y+DWBhJj1Vj0XfYtkOFXRwDDJ41+92XgiQsiTdZ+GLISFdhSEANZ4gVTLn6F/ZoMvVdYjExNxO
8wXiDIshpajCI6uDliUSkGQsWxRIDpHxEvpdVBTGTizprxnIxk+VMz3CPSEJVuiwC9H6kVuun+Ps
438L+2qHbUrWWmgoKAMArGadTlNXGBQsRXCrfTYfWBnOuV43jProIrwOxs5Cw2xuy3wZF9iowkrg
rg8xkJe23WZPqVuF7kkz7j5P7UAe1o7prw4iQFGvAhAZen+9NaMKk6rr3azu/S3Vo97unLZh6bA4
Zqd8rwUKZKnYs4gLgrHHbqva7t5c7lSZ6eVy2xpEAvBZymNVQqavA/T0isae/vLrkhLsh6F7sxb+
PjFriIp5G1vwv3yWYwJnwDypWy9Po2est7mVFjAdl3xYYVE8YFuUmeX3ZTJJlA5Oh/KqCBqT2Fvf
J4MeUVcNgZczDTGieC0Ui4RTOYe5oQFGcGuSOVNbcYQ/BTTDZTWcH3uDKRVvG3dQ26U54z1wBe6w
PXdlDYC49JOKWs2ecY+iam9C/NStUL3AR5nYg39VVArAUcPrpBWulzejvEjGAbbSVDeYEG2dMin4
3GaTFcodx+TgvnSd29Gqx9u6HEcvRcQvlzdiC/U1UEeepOrFiuTQVKiz+rF21eMMEe/q7E1Lc/RK
s+bhBq/XoXOROffwShhbXmQtddrIXnz2ghICCn+V0+SiHIGbS9vEsyjKFJ7aKr4omN44TjHcbgpo
nW1cFXeinNO15+VH7y/dTRdScsAwVNtHNTZV7pU9ywIL0RvzgTMgjpKogzSNyYi1evHi9OteDg1H
WuIhrd0WkK4mq9x7F3mQrSU0s0WjocJrRNp3qBXHkkK4qB+KhDGAWWSxlzeLVd4TYCj1CI1ZT0N6
Q+Fv7GCynazaNL8mmzfuxOShjw+3NHVdTrJHNlLU143i1S9MewgMdYNC/svfhh4VM4QoLb+SpxpT
zDMs7sNJorVbkZUlQRUQ5Dyqn0u6Q58LYwxkoZg2kM7WvvJVYY3xdg67Ox9j4iILkI0G+wqbsE9Y
0FGVDlUvdQRZv8mKIesSsrioDQFUB5O3aKo1NZFvSXaF6gvYAZhPca0UNv608XQJwJGefWGdiiGY
Tu7k8/fOJuUUzZqCDsn0kLUQNd3PjpBn3nY0dULlpI4I/d0G6mQEbxmAekouVYwk0gL0t86prGwX
na0J8cMfrJO2G3IOGs6APXkzcjuQbWbRPyMp3o7aEExw9AN/ttGMiVx4rK9TeQeNax11WLlpJyCv
P6BKjC4MESjts9pH+YBB+ms9rxrDVz5Ja9J0x8qZ6c72Ci+jTHo7jiZ7LsiGkp/N87tdTBiuMQhS
vtLWjnAr+KXDSRzsqXNx5vju0dOBF4We8U+rJcN0cqCZJNG+SvSMTGxbJGwFsEceptUmsSo9/wGt
fAut5RGV4Doh4CNtyLzFdw7h6AGlXkx1Bs687eZhhgSYPxu9m1bCD2Sd/MOKCYNzwZoiNZtpfpeN
xfOpCJfjsi3h1ex34pr2QC355LtlBAPe+V4sPcFAceWk81xjU8O7BEm/eDbjZeHQwI1rroZ3rmzY
SYtZXdX2smTdwvgXLYW8nfoq/PSCwOyMmrdz6Y/62sCZA3TbZpHRvOggt/gW5hI6xZmRDvy40OyA
lu0mA3o/hUXzCOqJG11a/0elave6DnV9420WzYOQUCdGui4yXTjI+UcPQ/+umE4DNKfOEwYBgajJ
LRcDwLbaHeYEmHZ1rR3ZvYCmL549CzzKiEPO9tbbCESDIfV4ZdoaaC1thyyoKtRckhXtdbMJktek
MI8OARLTzwEs0nCipCMOK2TiEzpSmK0EKxrB6GYyI93TGSf6wIZ8g7nbgQV61dEGgvPZK9HkgfDz
dkPx9N46bMVf6BVD9xy+rEmI9Z9AwKvbc6fn53WrphTWFNYYW4vv3mlGgaFjFulsDYLHU2EVB/Ai
qxsHHi8dzHmIeh5rqmO+Gi/eALRg0Bddwr6bl/Pa+ff1CqlbNPMX+uQW3JjILdTmHRZsyPJWcsvb
oYMzdNlWCotcb25dlYe+tewIHYf5Sxon7CLpl9yKnKpmn2IRQCEF0KZIguNxXu0AmZJwOlQycFdP
gpbSL1rJogJ6Ka0t0p7qv2Z/Cp6K3rdv9NyinTKpC+BNWBBfsrIbG4rz6Fy4oxPGZmYAUoWsUkwE
LleFAZpRkNWtdsiPFw8Qk7OgjVTS+bi4rn9aqsBfoU63Tl/9YkAJYjMIQrWPKs4psLysAtOavjHB
nQMo6Q5tgPlAOmDhCLxdXNbd+Ea0E0K6hIRfwxh6EWWqiEc2oSrRHXN3vUOHnQLV/2ADSEhsSkSq
rWXk0MKxnX1BoJtprTgKY1VN65OZJL3agk3eGbO4H4s7WrHRNhjZtOJJR3t9HEPNkrFYi8R4VZeg
cunRM/BFaqlOoraowmyyXbkrLCYAFmC/Zt0sYWBRk7VJAFB6Ed94kw+9pc4iXL0ITM36TogJzbWV
AywwbPQzm1f9g16AvUbuCh36JhiclBVEP7qtuFSdvtqpIoC6+mhENlgTMtR56dBecvUSJKxqh8gy
znauJ+qnaCTItLYUuC2j8baosVeGGnxjBxOsW3fJD3lcSeMh3JTaPXtiZi9scHsZd1OrriDJu8Ro
nQPmm6u++KgpF2jUO7Z9JNB9uHPRpYBb8s4e6anwqrvaXx9bsj4MjYccoGE42QOdWX13j9wtA0MN
FDQBQYoWRVDYhx/hBjzJKwfAth4wSSZ+h2LtkpIs9yOxcOMS/WKbkDsyeJB2U/Ott85O4mjaI4dp
kFPYy34y7pw3ffBCwxWK/UvtooPYhok3leYgGtS2i4OslITmFtodQHT1lw78z3kMxxjKsHmxtDKe
y+6MVrWXwvgkNhUYNP5qkoqPQGkN4LMWK7yz7ONYI9MMp9+XqB8tQn7UpHsIzXTyxvatD7Ytqmnp
RF3pPE4l++rd1Y2kLV8hBqNipgFoWpPdptAIzixdiT2fBxRic5VDl+IDKvrw0fOKtJD0vh62lDIf
Z88UpKF0w9QgIcmMQhMCGMFDO8iboOl2dufQiOru3LrsBmipl5SUm3SieAQjKgEaVO9dwA/uRgU6
swgb3Vp9rYMLleWavNYQDYk7Jq5a3qAT0tddvhauF7U8+Ng07MQmSIs66p4VWD+2LCDcvvoPvQh3
UwFfgYJTFKPl8AEiwfVQwEMaBxsga04ehoW16KXYb27lvLiFV0faFHcOGnHpEiKqzmKkWWj6nZqX
vaPLMC5p0ER0FvkKKWiQYiCgUrpfYeWGWbgW6bACAvaInw0Bevt+O4tIE3EoameLLAGSaDV+ts0I
XzKX98DrsImtRWWQ99w1Dn9XdHwJavKuzHYx7w5vfacLYYpggQNG3CBBtfjErQm7cbaSdr2YsVaG
JMVg4MhaGrbjLUcWVEJvcJ3Mdaj9Jh3rmSPFqh6hr2XS0BF+bmz3vHmIayYwNyUFtLuS99URjxU6
yotC0VU4AG1KX7Q77H6szhYgxVyXN6zdfjUOuUJUAqo6LO/LWD7NdQBmSGm/V9v8TJfQjsZ+eysK
58byavyaEPc9sfxooKNCZyMElhAUuznQB8i12QnAGvTLjRsjW9o3C8rppqp1CoLOQVkqR2V/zYv1
rVPr7xE1fVr4Tp1OAoA/WIfovkMFI2imM68x3lpZxQdWlQfaALWijvX3qmq7JwMFo6jwUWQEEGjz
ZXMj7SBzHP2+QW+hAVIiWbjnpY4nXh3cQKSso0m/0ZMpqhJ67QvA06BHN0xOJ9ZBFwX2HnMDoNMx
8nWYh33FRAP4qgGayavM5UvSkyGflJ2XQ7Mrwl+1AChAVXMrydCiSv1liJeKrj+uakwhzLAnWj9L
lOaabbkzjM/uFiBjxQLpmovKga4fheuTRGw4jC/HYxVMme3wG6cIXxl/rv3l2tq8OBDtqWnsVFCP
AhkxK5Y0NIQBdqKkuFkVNqRegV9NfeRVF4y5J2ev9R6NKp4l8L/E1VAEpmk7+BH6b59VG6gkrEgG
Q5AQYLD7VvVleyURRLnl/mrcJ1+/jRXATc++2dy1jmeMXFE81srH6dSoJ74OMTjMkTXMkQIW22l0
Q5ntPwXTuOS9VM+VwTVoi/b7aH8szfKbc/fa97YyGSd+V/fq1RpKGRHFgbVyB7rYi5UKl8PgzQLI
aBv2Qgg66fWAnqKF9975EKWsKYtZvb1rq05lX9750+xGcFCBYVOz7Fm7fFLMD0fTxLGSlhqHk//l
FSDtFz7AhMkHEwwCx5HrbNema+4DHYhMGQCFVNs6QaFzBZ32L4kkCpQS/oIi5TijSoKpFvpDIWra
2C/Mp63cCR9dvo0I4pTC3WuEIA2SdKxj/Sg5cCl3nGzYBIKa5dV8iWYfbSEadDlHuRRtbD1BaBjm
cmSwo24R15JpEI+4ZhHIRtd9Lw4w/gWAZG40DDHF6ufVIhRWDDdJXfAw3UL72PjVGQedC7IHtBBt
1zzI0nLTgNtvnZlEYvzyqZGoczDDDVxclMUO2IrOSmd7FArwWG8cngVMf1Y+NAHrhc5JL0rwlwir
8qnFpFu4IRdF/Pi0N3qvACEkeKrA6eRG460OPsZRvIuN1fE0hftqbAkabooevdnwGB7CP00A/KV6
+l+k078x/C4MwL8NGXROLckaDqgvEwB2FykGHM5lUscsAqSVz/sihsVIOiRLEh7oEV637Eoc6uPy
0j2Y1z4mezHG7Y8yWH+k3PoBCKEX+R7Yp/7n11oF6sfCMgbYJOYrCChC6PasOviBT3lhl/7X3f/t
Mt8ot3QqLsLcm4E4/gsDPIWkMrLp9WzED5MWfyRS/u1C38ZFFOpnNjCGfc29HSYewa25Cg3ynuLQ
VJiaU0Gmqv8/H/yiyP+vZ/iND06DBRIAEEAE8tIA73q0fZO5qFxJ8QNR9A/D8xdV7IvPO2TamGN/
I7+GMzTFLBeKDcHJPy+p85ZVqTiEsf8KxXxYhmB8ZTfLHwjKf2AOQ4PCgr8X5kqA/317pFPFqUug
ehs3UoEbUuPAevlnAuwfFiFzLwx0jMhCo93/xk12QLT1G2QZ8VY9w0G3bYuI/+S59Me7+Ns1vs1c
WJM/9NqicJzt5W0FWm+w/P8nuyDWgbfy14SqDWGN/9xLnXGqwXS4Dag1oLIEh2dB95Nfcf/X//C8
4JfBAD8FFsYc/vNCBaBLbyIYVSx8P0dBmIcaYL61pv98mT9s2stk978u821dWygC5vIy/RkWTlTK
l8lGNaJvy+YHTYM/vpq/XefbqmYIWrMILtNRfLnl2/Aa+CAU/fO9sP8eLr28nH/fzLc1FkJuAPAr
Xo4C6j7EGOF9CDB/AwxfYag2QCMF5y//gP0W5jrgKHvakvGuPYxHlrfX7R3G6S/ejWHS/S8PGePn
cEMOME3vfLt5JyCzaw/4XmsB7tz6aFEXMTeI2E8emJcP+nYEM/dvF/r2ANyOl4GZMeVG0LwdUFj2
7BS2P2hk/vkicMxyIMsDjYVvFwktjJIsBVamwpJprRDEpsdp+UlI/6erfNvLw2gu7SfcCnITMJea
8XYcQ8jCduXTP6+any70jZa/iZGYgIE+3iHXK7pXmAVEjfuTDOZPV/mWGui2b6BEgNsR4mycoylP
RfmDpu0fwiJe/r/ey19Cfn/LPtQCbZ6/Btm3wwz9J3G6WA1Yu5+Ggv/6nP9eZPAgvvjHuF7wLZ1w
2FL0oKriZNr7TmoKKLyUaXXqj/a5+w1ca0sdO3J2yLqi8F5ihOinaZq/1Kf/6Rt8O4R9xyr9sigx
QzQuFM2U0nrRk1MegOXTl24Y7MPMlJv14CyeTG/hm6AGBVfRErG/uUvSVejGc6v4BK6IDqRhNy66
uLne2ilBYwDpvAveimjoeGp6sP34RtWOYCoxM2MAw1wcx00c4if5purihMZk/eJUtrMD4LKCRzO5
dxLOj+BcrSiJC0UeGsiCxBVZhl3decFj33hdBnIxJo0mAvfkQPt71jB4g5mBHrug75B3o3NZ6q7P
qCyWS89tilu3gm0vhUouGdApnCHB9Azrph40CalP7dpZ6IdLBSqdS0+tV4zJhn48piCcMPV6ZVLL
Xhc30kKD1TK7bgqSvpNRNfCTaW1yKKx2OWhRD8lkeyz7H/YZjGspcG/YSX5fnq3jmbleXMwqG/4x
WPSqX/tMYGzhf7iM52L63g4DeJ59W50EjZ9eTDidKCi5Nqgz2vLg1WN+iDV/jGd/u8y3JUidUrFm
wZHe9V8UTWUPUOs/38gfNN4QzTwkSx6kz9zg+5AjRed+q1rkZCPUc1qVgCob3JJ75+DEQ8z3CtX/
+3rXPl0cAy+6GNMVCk0EtsiO8N/9P3+bP9/vv7/MtzyB9xYPgEhD16BD22Cux9ip6MM/X+MSOP5r
W0PlLYThg4fE99uR/3/sncly3Ma2rl/F4Tl00Dc3zt6DAqpjT5EiKU0QFEWh7xPt098Psn1VhOqy
tn2mxx4oFFQxK4HMlStX8/2h3VbhKNFY3NSUBEvXjg5lxPmalycOsFPjLCx+mUL0H0a65ifduq4z
/9awk80wSGuTffH+lI7a5IMpLcx+WclanCQm7mL+TVgvpE6t5CnuzhRN9qzuqzh1Bhw9ZiwYX/a8
AaDevPUa/VYxIQ5q9IejdBO35myCkDP52/J0GroHcDQsw6KbVF22obcF2nTg7GjY76hUk6ZhX7bS
1zEbr4y6vLblU97jsWmZ3BkQxLJkm12xmJbUyHISMi2/86kPf56IRzR1fmLHKccW+eEwiwU4yqHf
m4XKAlwXz/2DtZl2jttvzJfw47zFAu+UsTo6IPhmWkM5uOmofzsvI1YF7jfP0eJUMfSnadi9v/6O
LfVZre6vARbWMBqMHuFoBgibOSxBtMbIi5bS8Hgn98kJxsKxxX442MImGnYRqMP8+ADmAmj8q8v1
lANy9IbMFRIAm0mm9hd1KqlNVKUo48mNLxTi2t9zD3vo+ZvxSXHnvnrqiVGwOyUvd/xd/Rx1sQZT
0Q1VrAUTiT0bvJNf3Pi1fMJcHF+BB1NbrMAgpVS7ovAcYPncm00+1+sepy3ttp/VVbh2aMl+f4Gc
mtXCFiJO2pujMe/klMKdNFo5pyIn829YWvXDt7Uwgb5hhinK9RO9l9FG0j/VCj0T47cqDC7TULh0
wnnvT+mILgvWiRZoB4YEsZQlViYW1PSInjfVk5nzAp8gLGKKpPzpLABMKa8rCr5DIzuraNcapOiM
xulwpbbDPzhnTMtGRQ2m9NyV/XZ3B6PRBTrEIdcpAlfI9GTSBdlpW0PtV+9P+ahPTjkCM55dBmQj
3w6VhcgkRJS8uOTHyotYd3U33QyrxG0U8FnmtUqdnTuDrIobdVcp63F3yik/aqIPvsFi81eqn4eF
1XPSqcU2KC8zRfO0+OX9eR5drQeDaG+nCcmj8kWJD5mIaZ2oyT52whMU4VPzmL/CwS3KomegV2fc
zdSKfZzZV4NNxmw4xcg8NZPF2sCq5UqX46b2qUIlmAqF9fZ/9qwW9gqr3zdjOAcd6s71BcCHUyqV
szH6ZWezwwwFsCwKewvbMSbNWFczTzTtFOrOKi+hDqilRcUINmZonFjjR48yx7BsjkmssLyYD8WN
UwzNDw8Uv5BmfbGLK/tKCysCVsbw/f2Hd3xqPwdb2GHfKawiJnHtOpS01eTjFfFKWsbzKRGVTqmx
Hl1yBzNbPEfdGSXfnpmico3qyNDEG8rfqIJSxOb9WR09XuDRUFKHzwb6e7HqrErpEEvG2pOV2UvF
StsFrwAc9s1+3NduvqV+98T5cmxuhyMu3hqF/+ZAQcYsZfuqR09tgrt4irn2gzi0XIiHgyzeVjhQ
9epr2B71tv8e3nSty9zozoYdSL6axNT3+rwHS+OJ7SnkxhHGKfdZfBANH4uWqyUZOIumxk9tPHzj
Lrnqr2it3xsy7Z4rbQtq/Dzx6Obf26ciisfW5+GoC3ufh7YwBxt7D7sQQIPhqc5DUt3LvbPJTjnf
8yv69en+nOHCspf6YEfOzB0N0+jM9jM3U+56s9zmbMMT63O2378MBSbAnLMQFgjIt8a3qXWfChY8
yGFTPajueNmdG2tzRYHEZibFajfvj3d0cSoI4BKUUHTZXgzXlm1RjhnXCrlyrjNIEmpNGZ3V7N4f
Rj3mAlkH4yw2eNvSHiUsphU8l/vihxfXbfSzwaumFY3KXuQqZ9256el3xnb0aq4adBudaZCSodLs
qq/vf53jS/bg6yw8MlWv5ZiaylkAQN+aZ5Nn7aKz0DOuNBzNdm9vsmvjxJM+bnl+jrmkRPWGnQm4
ZdwNbuE+rput73VnxlXlUUh6lm2sm+nEiEdX7cGAix3iB1LTJhU2oRPgS8gHVpZzltbK2v/7EHcs
AJ0DP+h1ZNAWj7PvcsgSNgetaC7T+KmkpfTECzt2sToYYYnoFFYmt22D29OspdS1z8R1cF65hTvR
pHaeuIOr0JvuDWvamVwuPqe42sd8lcPhF4+yNKh9Qx8eY+P4G0GkUU2GE7Hrozvx5zNcBhSUKuut
Ppp34jTRaqnXW3Av9iqST0F/jl4ODiezcCHbKap0S2My/Zm91bzojHJrY+1f06O98a/+vszKvDYw
ZwqwPPonFhf8yqAg0exZheZozkW1q9EQJ1bH0UenoW1kzfF4xVm8naYmWZzWeA9SSi2F+qUijUVZ
74lRjm6ng1HUt5Y5TtUkoEQa74sEIbRRl4IOb+zO9Wb7/mI/aisPBlq8n4zayKKmXtnNgmmdE07v
s52gqM2ZmnXmlFub+vD3RzxuDw+GXLj8mio1Rjbi8ks7Oj7DNbenNZGftXmNWimMA1e5lLxTFMVj
KEeOuJ/vbX6vBxeNKjfoj5gtIpHdM+u6fZ5exu/G0+SRpKRBnsaDVR2s4geeBHLinwaQgajd7mkV
PeGiHd8SB99k4aMpYT9QDzWfupNib40wpPEpHKJ9XmUEVOpW2TqSGZ6TKJM8qp/k61hTqvuuM/XL
Ljb+SUzM0uAv8I1MQpmL59LHYugtBXejpctKhXkxjKdI6scdxoMxFjOO9RLEDccRkaroo+Ssugva
kN30OvQcN/9OC+5DsQnP5d0pBYb/z1KzZqY6XhmaJm9fulEHppXNGereDe+pfsacRzsK6D3LjR9U
ekUuUjTBsxPFK0cNOF7qX6Mu/A89qEJNHTk/egArlTKsDPPEaTt/718ct4MRFmcgCaxKgxXGVVCF
wQKewTJuRVSvulGjv/vEYXHUFpF9JJlE2BSJhLcP0S96uUhTDguTxIvo/LkGeZP3EY25zQnbcPTk
/TnU0m2JrFBvIENxD2xheQzF8LHPdcxsPO0rw4c1pcLloPOY0t6P71ulo2b9YOSFWVezXDhxxDvL
pnpDv+9ZqsgeoqUnYrZHl8Ys2WlbPEhzKboaJgasNJXTY9SL1Tjdm82p0iJl/qbLtUHhFEBCcgWo
Zy/OwJ4umnCKuCFRlPFQbrLttA1uZvHFwDtpyo4tjcOxFk8tNRTfHjuWRu/KLumP4szfwxjaSy5d
wdD4tXV23X49Neyxh3g46uJwpH15MisFhxrD6EZcccdTwZxjq4EqIKRh5jTBLzzXgg5eKTLJYnbU
bEZDeCPbwbVKiff7i+7YNrZlmrFQuaFcZWl71cbQOz9IJ3hDjauLL2Z7H8WxawHKCcNk8/5gx+f0
c7CFEbZHpRyLiTC+P5WeyG8jtQRT++39QY5a3MMpLSxuDuxnHAKJAPf10G5VV10rO3r9V8pZdGFf
20/aQ30yKHBqZgt7K9q2ssuEvVsqACAEaJLXobt/f2KnXtXCCNZpxXlcZITVoQKslNa6KWXnQS7N
+0oJYoArpwQLj5nCgwe5jKpXQTBRdzFnXfZiPwNj6/Usa30q0XxqmMUOLhDoVgy6gFyKaV/krnAD
JXSr+KVrZsYZBAu/Bpzy/f2HedQZO5zcYgdHCiwKjf5YN7xo1/BMtHDd3aQeC2VfufMFPX6gM4hV
pLj5er5khVvHm17bnX/KGTu6dhTVVGRdMWR5aS0bAHRjPM1ntQuml/YQStbMfbkO7hUXRQF3XKFF
fcqAHd8lCiVdpmbbIJUXu0RkxlTo5Q+HyNlVD8N9elfu9JW9stb2dXMDhM2zT5zixyf6c8jFJikN
PbCrbg6cRdSOt1p6EWfxZwrQd++/2+PjAFgmKcRNbFlVMISyUaoG40iT+kwX4s5XO3onE8P7n42z
mM+kFCg/tCwhSJnT8BJFz7J1Ys/rx05S5edUFnueMKdpd7kzglpILmq1W+mOWL8/i6MHKMU9yKAq
NGAvFTUF1V1FCc/bFUW0t+r+PFZCeJDBtjLiE+mxoy9GdSwI77ZOInex5uRYrUKrmknQHX3OSrJS
NU5tqFjvz+joMDoaVNy+DdMxF8dMmemdIUUMY9n1fdmGD8VgX5hG/fD+MMceHNFfsPhzNkReRjDs
eJIb2S9IDxe2a9DJ6MsPdoQmIm0k/7ORFjdkgaKWo43VPCFxLtOURCG5l6jVRpdPub9HU+2Hs5pX
5MEllb2Dk0CrIxelWPWKZ+dptkfSenDpZVRfygfZi9fh+p8kEx1b13FFYLj9UivW9I1MjXU5zcCK
lZ6qrjQUW3k8FQw6sjRYGIpBRtEyKe1frECz9Cezo1LP7XXDAVuaZZ/B9PZujlBe+fffGmPhvlHe
pNH1vViGme8PcGRpIGiKh0CxXH8UVJzSAVJ+en95HDESuqxw1QOQb5F2XhygvU5qHHYXEPAkcyOd
zkb5xMY9PgIa9nREcHNYVq1YbTYEqcoIvWalG1NYwKub+vafTOPnIItpyHVMwXjGKtfKz4ly3rR3
7//+o+9esakpQl2UmrOFuc7zNGmIZcIYD8NdmELaGbR1E1Qnrt6nhlmYbAAeDswlXrsMGFPqXqfs
zglO9Yy8P4giL25YBbWVwpIstgu6XJVvgAi6nYM17z+xI54Z91FqykyOB4gCizfS9oiV5hEiAj+o
bCnQJD2jhdhJshspTh+jGZqe29ZaJ2L3/sjHIlRvhl64Z9S0Jf4A6MpNHvSzuSwrcf0dXaWoFPwj
RSz1zWgLAytLeU6VBaOhy125xqbZ2t60VV/yK8MtyZG+P7kjB4eO8oOigtmATW0tFmKUO+AgBCvE
At9Uh1cBwFqh7IpTypXHx6GadK7aR2d6XkQHprwYdLW0W87BAgZjK7X7sRQ0lJTrAcTB+1M6uh45
Gf4aamHrhiZvY3q8iVyC7HbUvQNgfOhPGIij87F5dHO7lCIvo0AT4lEmxAt2FkDsMTDdFIpFLDVu
CP/6/fkcNXh0Y+EZq7hfy3PCoEbJdHpskd/MxOzsI9ip/ftDHF/iB2MsloGoOyLc86meX4gLzZt2
5Q7uMy4/tOftqVvG0a18MNjCKtHD1JgiUHhBktg4wZVhI0Pjb/saUQDzPuodr062709wPksXUSCO
c5ojKT9ACGNZzex0VVVos86JlVWg//q4W6my9Vw5+aVtQgAIWunEMXV0gRyMOL/VgwVftnKnSii+
uUW+HTUgt+dSdt4Up6pGjy6Og2EW+0qChU8Prs3VUbos+ntTnDiojv1+CjghpSjczdA1fTsNLYe1
56ADQAVZvcq6R7P7+xcxgj0/B1g8p4n+h37UUxkQLIjU7AkImRdVp9zwef0u37+iIBtlKtxumczb
adi+M470kszlk8a92SWrHuVUHQmCMf/UWDRp+adGPOa8MrGfQy5OjVE1C4igHFizDLHETTpYS2sQ
yNK0Sle0y1+JLZDseG3cv7/UjyW73wy8eGUNIIJwyn4MTJPK+AD31A0ug2IFwKRe2Zt4HV+eivEf
u8K/GXTxGqG1qUnqxHPzcXwfQg/8aLrldXgnzlpv9IAPK/9BpOvkVBerPwzSNAxqVqfWUuMjQQFQ
gz1aHl4fg1yFyVtPZ3Z2U/pcu+TzFBKmDzWrAHn1/jM/duRQxEGDnYywF17p2+UlMC0DgEsuKlm5
r/unBGa7RQb5/VGU2ZP6ZRUfDLOw0pqdRf40D1NOQMkHw8uVxO2Uxyqrz0PpJoHnYU/x2pG+vT/w
/PIW41KwRQhDwfeyfunPhaUkQbTiMWdOt5KHR804YWWOGEsOUqSJuAiRBlhuz6ELkMxAn4aCt9ij
RBeuhQZ6BBRI+vX9qajz6v9lLnO38Zzj00kavX1VRak0uT/grTp39jbezxDWbyiwrZNP8h3EimEH
kx5BpnzdVSt1k64jr9mVn05dMY+cRwa9yGyZWQCblP/bbxFakiHCBHuUGogOiH7V6tLMEs768ML5
JyV+9GRAl7RUBfrlsiuJ5rSsgb8ru1X5Ura7QoUNap9I5fz4Jb88WAcYP9acXMvyiAVDrVhSxSAQ
odfBMxiR9LN1TvgwXkXolXv0GAxzYnNNFHWlng2v6UnUwPLlIm6FlMjcHz1nN41fFir8ztTowfGR
7KkvrGvuCG6z1T+Dc18DP0BNN7tQ1sbZLLNFyeG22vS7evP+Alss5V++wsIQKo0tj22Zw9efrvrw
rtUeo/q6QQXs/WGUxYn2yzgL05fUiirJU9hwvMhu/6B48UZyk/N5IZtet05utPVcyGXKq1NFh8vW
sF+Gnh/BgWsT9UloTDpPOd3L2wHV3gLFB9dZF1vTA+DoGe7wUax7BPjS9XiOhA+9K7FbXpwWGlwu
ul++ysLw+lpBYzqSFK5ylzx0nrTK1grEWS85gxL7eS45h2q5LcCoflQvTKjUp9UAj79wmgq5ceBZ
LG1XYNYi0CNQUhbww8i6r+S1Bk8lGm7ef+M/Yu8HG+yPuWIxuAPrJDTNhdusUoOclvPKivf2mXqm
f+w247q9StbSVeSKdXwN/FSs1Q2CWzrexun05uKU+/MLEIyyDeoVyQa+fe/WaHd1FVUN3P7oMkjM
Z1bg3k6LT0o/bDdO8lrCzVo/OlP/vUztM6MdoUHJYvf+c1jcHv74FrPt5prsEJxbPAbk+/JkKurG
BfflJbBb/O8Zje2Z0ayq7ltRXUXj9/dHXOaQl0P+OJcPFnxeTEMHLrn+sdeaqwa9U/26vgLm6xV/
RGz+62X4P8ErKNR0DIq8+fd/8/cXyjvrKAjF4q//voxe6qJBDPG/54/9v3/29kP/vi5f8ztRv76K
y+dy+S/ffJDf/+f43rN4fvOXdS4iMd62r/X48bVpU/FjEL7p/C//0x/+9vrjt9yjifGv35+/ZVHu
RY2ooxfx+58/2n/71++qZc+Jr/86HOHPH189Z3zyY1T8tq2f82+vv30rfruCx/l65POvz4341++S
pn1AcpgiZJVgELFAmRO0f/3jR/YHA7lJVINnDUYWcc6vCufPfLANtg4gM5kE13wN/P23BjGd+Wfm
ByL06L06xC4JLjmkHv76om9e2s+X+FveZjdFlIvmX78v79MQVBRqqyjrJRpvcnNaeBnSCElU7bLv
oPpgZN8021zg9Y+bhg1KmeSpGt8/NGMPjAMDkjYjAWDjR82Ik4UhHLNUL3BNIzacgwBWFPDF1tJU
2mLbOX55rvXddJ3M4FqAWXR4yVEvIGsX+BoK7UNgV+RC32lTbnwBn1Jd5k0XB7uko9OFFKh0pkQx
4kRAj4dHCULvDlE9tLeS0fpkG3EygwKT+Fs2AOdvIr8uXCk3Qqrf02JovCKUnHZlSiPVHUNtR9Z2
7j1RVlUtd9C7JQVSqa4msNzbLurVVQcreBOnotVWStBnnwuE5CgMzmXzCeawlbsayTRvhNK9nkSA
UJIorfJRKxLpQRq1+HM7yBQ4q6p529d1bz8ocuCrvIiSAp141MPbBrShueotlA/CZJTnTm3f2jdS
39KZoDdd5CI90F+bYS6fo9+NapBED9XUTugyTMAtKNlKHOoUMnvKnVWDWdZh31bhpRC1MtJKWejx
yi8Tc5f0LWJNYa2sBnVIH9Fmz64kNc90EucdlWWWsGDJyV0of6odMLkVd21pA8IX2MQkATg0c+Cm
Vdv7l4Vs18G5mUfVugGp9hSOiXSrZJn5MlVdo+4luMRXfWHxHTG6MeoMdS6uulChY3rqx2zbqcF0
FeFvNlUuPDSBpovEAATohnWZ35uOL+6rphhckcZd7MY1ANcV+wVeiSUnFK/USXeJeJZ+NZgq+jBa
JdBVstusWFf1ON5requ+tEC8b5VAHxBVJcmlZnW+7apyumNcka5VH40qT66R/2LSMTekcYoi3dP0
Ysg/KrqwLk2lz9O1kFKdanQB53yLFEXVr8eBRykobLNhCcZ5eC6JoHxojFo315U8pfT91H73GMdN
8joNMWdhnWcQeJs+bC5DNJe/Iy3RletCIMBlRdULYlbVox7qKBpR33KJkt8sMRZZybkhWw9J7cAB
LAoDvT6whvswGOKnQin629RIKJuLpO4yYE8h81C3zsUQoa2UtSMkTKh+3WU4iOEKTm8JgLg2KIkt
pQb0lhEZr1xPa08rNXQvAgtWFNUGq8SRUfspsvQ7nyGhMZmQuLfhmPt6vR4GJBNuIz0G2K1PqUC6
sgtfeqh/vquFU0iFUexbz0NfNTcCyP2XpMhAgTfB6CS72gb+K2Ipu3H0Qb1nCZTUaGtV+JSAj70B
5tk/mjAIqxW4n/w+ITF+N9FW/RWlR/mCrBWCUmh0jWdOaU+NN0yONLj6lJv7LC71z5nfTRB+qZmg
WV5nbbqW2oyjN0hDve2Ehe7LNNhF7pV2nvv8k3IavWrsi8vYEkDUOzM7l+WRiGPYDJdGb0F+lPSy
X8ttlD6Xfitl9A0DeqwL4TwGkY2aUusXXDKUmQYJ7zb02jJsbhyVfVSmebCt89jY2oGiXnRxrJ/r
ki6u1NScArQHtOZLa4/OTa0r/hNqRD2ojrLaNQFBGSNr2rXQZ8WuRDaRkp7B6mcJag6dS2i0RGmz
UHYl9UnfpABNwL7P66fBrItPATywYpUkZXHuRLb03QlV5H/IBxtoWPTDlRhGQJBWH/pX5aiBzlC1
Wtrqwm/vE+ohtnqYDN/aMTJQL5FMVN7Mfqsib+V7HC5iMwS6elOYVrWzWodWPSsuL8JonG61HMip
5VjSSq2q8q7gNZ8nbdxeicxB6MkQ0kvVK9I2yyUiXiA9UrfPopvKVklbaFV6Z2OfX+pJqj7iRgs3
UbvpLM0A6GpjpqzMoNe/6XHWbvs08K+bzO64TBS2dheIJPzYaUpxYYS9iWJzP54xZ2RHnVBbm3oI
yR7Oqb+LEzPRV70UhttsahDODOp6wCtvIiyv7RdnqeVXmwRw8qOCttEqAK18rZdJcJc5WUfJiyib
mgVho/xQKI51o/ZG9LVM+hpX1+/QhNFsgNNS5gDSbVR/1yCycJ77VXdWKeCzy7xydplZT5qLtWqA
fpWFtLOrsoDvr6PczU1N2ndgmDeBkYl6XfsO+tNZUzoPKWngbEVAJENCMGlqtETnnjygK5JzMU6F
9mQjP3DZ2JoA4R9Rogk+ufVD1xrG9qy17P5Mq8fwez92CL+Qh0tuhzTRDFcbS0RJ50PRQG9SG79H
RuQ/TThql8T6EX8AswxcU2508bFx+m4fF0Dj83jIHqdUlpDX1DBkrhhyuyCeRXuUF9W1T2dvZ2df
Cr0HdFr6gXlpdH67S6m8rTwhjNrYNloc1ftCiehJHvuGTGAo2bp0LpOI0VeWFlUnPOdFmMPkjKWy
UzZ+BAQsImRvbwx5aER2PiBSyMEFxZY+lVWYSKiaR57iPBw4i3/6YIc+1/JewFiORryV7ODcu2XP
97QDJz2Ffly0jfmFJi7MIu1L2raSrU2hqCvavbgSwdq1ULB6f9TlnehH843Jf6Sj6bZepiW7kCbd
IbG/d0B8Td+BEP0lzi33xyD/eyn43VE09eCBz7eON3eCzeu31/o5/e3YheKPz/55H9CtDxpsDprP
CfvA6pghHX/eB3T7A9lNC/IZJQlzBQS3kL+uBIrxYS5zIyGk0/RMCplrxF9XAsX8MLMODcehkgFN
VT73N64EVCawAA9ddNkCCTRHOcFkKSoxqrcLVB/ryW4yo6IlWqG3IlHMXn0ZOgDO533X9dW3Ms8c
60rJZnnW6qLqwEsb1blAza+KU263Rn5ZCAjbRuagUZKeRZG5zaEKNLZ9q/faOeyjNfj+T07bvdQa
9shOuvUEEDs25LNJBYZsS5foGJqrpC9mibVUIIXmb3NQutQfzt7apz4dz6UmuHPCaaOioORqRupV
aoqaUXfTNxTbBOGmKdJt1097x0fBLlZuwtaEgQ+PqnS46GjfrSD67vTZTSqbZ2NTkqXPqq0+xM91
NOswWGeSI39Wi+Za5SaCN4z2d5Bsk2zkh8NFocm7JHS2rYjvfCcvVmlufqQ6z3NaHaUrYAl63F3K
oeOlYtrbrenMAprTqpLaHWfeToz0b1Xi1m+qLX7JJR3oa92y7rOp+Ogn8XkuOoRxHR+xkBA112ib
JMa3WC5Rjy4BNnFaIUhYXJkR2k9TuB3t2Y3vtqoqPpkZOqpO+rlIzb2cgH2P6ivBYQko3n9EFm8z
aOZZVuleptkPhqSs+0jdWWa8EyZ9jePONu+T5yKu0L8oN5Pa7QfUzbWkQafKIpoAEdivitumjDZK
QkwvV3dTgXbUMO3LcjyjLmjXIdNVOcgYNDiQfk4TpzVemon0KkLjsxkUXhsU2wS1+qBT1pZa3CkZ
yj5p9RjEmic51aUwBdje6mwwsx247sQVgbyX4vwjTX73k2p9hJ/jFXq3rTqJ/AJ63jKKK0C9V1HS
blIz/STEeGVH/aayYFw7kwAHpt1WurwNVIs691oBhi61n8MGYm5ouq3WditNnTwAjOdBrvFuy00v
rIfYVzaDr66tbPyuc3wlRn1V+D18jPA8StRzw2wfugBXr5224NN3DarTWpLsAXneDlmyRZXnuYlL
yUt92GWWYz5aZvcZDUzLldAFMVgyMwua09vxM9jZzlpPECwTAtE9cT/E7aMWpMre4JLhylZ7VqnZ
Rq5IBgvknFCa0GYpEHxu+g/VFWHnzmui5hP3kKdaMs61Kt5kySxiKfXIx1Z0nehWTCS0aaVKKd3e
SGz+sCtVfJEi3e62CVhidMOTbeNUL04nmrVfwcRGnQA0ZEVjmyYmZ4VGJzjpOvZXKKbXV4iicLB0
xR26FGQIAMc3vaAxS5h3TeOArCbkvYmHGAcnLNlHEzKldT6gcZ9p2g7+04Zi+y+p1N4l9GyvIkm+
rKpGdRHWfh2S/iIqo2dbpxE2LJ4GufzWoGZf1U/NZKMl5Htlr21lK/aqAE1qLr4ytyGC+hIpGsTS
NnGptB7xj5mmaiOLi91aEZf5CurnIpsydCm6ylXQEklqza2L6EI40XlVJNthFjkQphsrA3Wkk3OX
dtrFoGp3YWatmxHHsg43itR8NXLiemE6flTC5nMHEt6ELWmOw0UkjF3cSNvGslHcM19FM5mryZK3
VOGmq7oyPVJZm9Qvtkof7xul4B7R7J2i3rcdGtwNIcOmQkawjc56fFg9TL86SMuZuf+IJAuOu6DQ
GcmVIoovoym9iNCyccssvYkc/bKwU7Y02ikGf0oD2l8on6zqqb8C5E/Pv/oRQY+vfWY+UhOFIl9+
k7UhmhqoThsD2EIn1UxkrpQLVDYuYFKDaoYcj8ag1ayMrg6VtZPIzmVeG4hV16l0Z1nZpTGVuve/
joUY/4o24qv9p9HGuzZdxhr59F++hfPBmquRqdX7I9SIG/unb2FYH0zcCkiU/K+TA8Dt+Mu3UK0P
eCQAdOkVs8iamnjHf/kWhC+BytNhSAUyLLO5peZv+BYLN5uy+ZnKTCIRLgmQMmPhZjs9RaywKAcv
9tVVU6KOivarmXyRqk8Tcp0Hj+mIn60rC0fGmoOrPxwjW8NtQv/rrSPj1LUowz6p1qWwrqPGUiuU
ZLhr5zY6Fi1KpBtQsDOazR4CC7USqSk6J1vVrTR24N7rwEiIFiABZ2+tFqwf8sq+hT+SW4A9qejr
7expbIMmoc5uxhtR1BcgG5khKZ6MiaCaoJFqhEKKWh5uVKEFxidkl5Q0cfNx6FBldkQZUP9l+0FT
OAhwpVMMpmXSihJFGhDA4lpKgqa/V9GC0IH9t0RfemUMUd11Rv2LhLRZ81EtY9u+SaGK32SIhV/0
KkB8qp4tnZBpnCMJbaq+9pXHXroD/TA3VDL7bP5CtJ/SaHA+WfTlA+DXiHxgmJryoovK8rbR+uC1
Dts69/yuULSVU4VS4spyM9hekAuUFKzEHqdNGCf1S97ECeGhCKoevN6GEmstI07gKDlxO7X3lZte
KqRw6weZ/LWkCbJDyDCs7onT0kURIPrXO3X/MqmV8cDMI8I8FIV+M+jIDF3ZyLXbouqKiwDvodo0
Uhar25i6uodhnJzuyRxosOWmSBU7eHPEA6i7liFJZSoNrCunTYMvJSVOF7mTI8wcJpj8lUaGtvEQ
D40NFAii+FltAefwxDpCaWHBq0AYpCpttBQJp7m55FOQlWdEP1Zl2zm210kEYeiQ8G1lhUMBR5P6
WHW6DxtcyZVa2yJ2izBISnfMptx6dGqpHT3NCTp9BZxpuBimvrRWec9LcwfHQilcD5Hq7BrxFZ+m
veCYhcBvCTWKPUIv8biWehtVi7SqKuQOcelXrZOp/j5Lq7q7081IEVvfTsA6j6K1X/xI1gfCO5Ij
oc6AcA6VJk2reo6V5OYmQ3XGomxYxGico2Aae91QT6prBCOiWabZcBclJIDEezFZKQodIzjKlR3o
NmHo2tLIjdcl+bsJYXics8zMUvw2awSpBe3VQL+8klUXOSsVGYK+Rkm7aKvUYhXbTbAimG3K21qT
JyrXKWqK3EK3BNJTjq3ou2oyerHOqSUcvSTx+Z3RJCrB5pUUVMaRXs9WjsG3cE3dYa2kBIUdCm5b
lCwMeRhjV6rr5JGFpLabUhdDtItlOWvcSFiG8JyCxARyoT1KmWYXIPpTdFaWrCPTxB6JNqoLr0Fk
5CXUJ/jltlaan6vJTxG/rHL/VVgampktumIlfd+13HvmEDitl1BDQUODrwrwev2QSVR+E1fH0w06
zW0Go0a4x1ekTyjdxQ5ew0Dkqe6zMd74BZUlrmmIXHUT1JDINijxcJ9HhVCReh+kdI3uqdauBCHV
yyxXBLED3wyrzZg37eQ5viRBTiCbkmwyubHKtdqbgeGqekwN0aTmKHNR8h7mrEgk53bEJ7BPvC5a
g+Wy0O5q2URcThZmhS40Ud0QKRgN3W8JyjtC2pY9GTup7qXRG9tk/sVNjzSKoyUC77xxCoJTEcp0
66FVJMsV6E3lXh8gveEGNVjZdSHZKfn3cMqDNZJhZCMibDcyvyE7dd1zMNAOGkZp5DaURCWe2Zh0
9seWnHfrMKxxgyUc5jUCqBl1WlSrIPFr+KZ9EXcOlpvWm9wh9m2IbxNSdPnlZAUUlk3haGibzFC5
nDhCV2jQCof/y955ZEeOZVt2KrV+H7kgHlQXwhSNRumC0cFy9/CA1hrT+UOpidUGIzKTNLeiVWR1
fy8jneTDU/ddce454eOQTsWhyonRkR0xAoo9Y2rAnlO3wv6U4OH1PgSNXPdQ6DSOkE2hpGSlUT8e
7KzThK/Lpaps5iGT60+Z3RXdpqvR9PsqTEr8d8NcFrFnC0lGkTma8mZnSShU0ui0oDCTxbleeNZM
vv+3pu+t+Kgkloh/z8Kq1zeTrurhqVEpOVCjLsiiOzH1QXzWoVfl9L6Uyka9U8bIUg+GBlh5L+V5
aJ+MpOmpn8zcRgiQ5ZQkc6d2cDllxYQW8zjamelocrhYOxuOrfSgjjTRurSjY7eKComhIJUGqPCK
ORMbvAxQwtjKTDnUjWU9LaqRfJrNQGRu1/Ty7wu8ABHyRoad7NU0CRHUtGIEqSO7l1ft5qj+PmZl
2vj48eNdoFbCNfWsfqxJnN8Fs6GjkNkuxalUTfn3yBYNZOKjShd8I8ta7gLAFgvSzU2d3iyNlIgn
Qxuaz5oed5XHEkVIo6EUiUJ0E2e+BCc0PfSTIesuSKZ5uZ+EPifeGC/ztNGSFpX1AZLi6gGFeFPz
7cieAq+2655myVSp8UNo5kpDXvwcEc6cdnaYosoianeBmQ2IhwLFQuWmjqXcGaIq7Q+2iNOMRIAF
rq0rlhiI0CBljyMykppnz6VCeUW1Jv1uovlj2taxlT+mg0HUKrSOFySarfCbCu9c4w/ZlEADPggD
ReQi7UVHiZMGVaeK6mJ9GaaAqomTi3KMtwNRv/D7vjG+kPrNxludimOM2mtU5if0+ezvS2xKGZnu
SakezABlQV/H06kdtMJS2H3GxgTOSbITqeOpSKO9jrifhGJMiX7t0peFquMDBIC8simleJA12hj4
FVFz9MUEm0w7ZybyTjipZFf9p5G3vvo2hIhqFs48NXO3VWPEMzaoRYv1LV7DjFk2/8Qs/0+e8b80
01jTfh+EA2XzLc6/vQ0C/vqdv4IA3fqHRQ7QNkH6qDjuNk74X0GAIcAiQEUMT7YmFBINOMR/BQH6
P8hKQwZKE5xmA6F+GwMo/9Ap2vMnFbAIkEno1t+JAbDFq5v/JsGoMbKgMqWswAiBH0pm9W0GnApl
1Ro5xXeRkYh0exQSbCec4vwJl6H+0tpy8i0xW/OPdrTB5UaDsZ2Gn0aNtHRpKV5X8hA2yK+j/puo
yAvafbGH1H5FC0QGtzxb+9LKSW1u1U7JNHfSpOFHO4ngYerFIIE9jbqbWQ/rB1owsmOxqAHSZrP4
qShB98VaquCnUvTmqYwb6ThS2X8Sba4oTt+25TecVTonuIHVLUm6+iWI7JRqtV48xSk3FkHrYblR
Ax0ZpUGRh9FTJ9P+KiEwfIA/dT5M+VS/aLmc3qqRltwNqd49d1ZF74eIJ63zmzprb0fUWjdDaBCP
B2p6w7syPEZlTUmIroMbIwqiWxux+ae4S4yjNWnhA17A9CMKx+BHiDL5MzWiqnEBYPRfJ0zTrlfi
8mYmT0r2JwiGQzkPCPRKFDPRtir7B4m06Rbq/ipztDmlnVAyLYClEJbEG1442UVrEowp/GQ7tSiA
SmaiyB6TpUW43RrKjaH3mqckfbalNTn9zc6XiChIQG4smu7JIgLaGHnc+LlWqUczNLvnZaVKMOeU
4pcqlg2JNPMRV0/1h1K2t/ZazcySmrytGlrfB1lpn7po6L61tl164WI2z7QsC4p/Uio9JeAsK8eq
KRXOlMJJiJQ2UIay18ObqkjHx6XP8L3kGPRClWuHMY4rf6EctIn7JUXEDWlsb2gKC6U1rfdyFKgP
ZphEz1rcGYcibJdNmaeoXeC7Gp4d6dbLYqJiL6uBfKwtq9+NQRwfQm6WPy29/RhK2uh3ioyeLI2G
uUO2jpBOslS0twObmnRFtUe2yuG+7Qx7K7I5/jTnkrRfeoNQSZ3amzYPAL5IER0gyUQvkqnpk58l
RniHpLJ8HIwsdDOKgJu6tMLjbFS8+zgSXlF18s42mt5XehtfPZjDeFeIMSWfVgoiQJiE20AhFbSo
PFaD0ec7ypKFH7cNHs9sJahOTvxi0Qzpfa9D+NMYxgkx1vClHnvjKJUTXExTJm3rbMg/aVHVPnb4
mUgK15lwuimVEDyZpPmWNLwcIP40VqX6uBitpj4MZoQ38GgIjSy9NMIhYOVz/UQxMFoFnOsn0dsT
gWSvxTclde+fJCfjG7lox43cdeJT1swog/Dcbdu4jh6IRsUnnBV+pAq7PaGOdQpbXXPlokxrJyzk
bCunENV6ETwxh2FQG0RXu8q3erX5Kqc9SunIQ35p4c85jaYm3eCujj+nSioeisGstiMVYKdStOlG
BzC7Nats+J3ccul3ZTPsVCWRn/u2jE6aOvYowc2YFCWz9nBzJfehXWePaHDzmSWS8ZQzS5RkI6YC
LpXQoe6KQ5uWaei9zrQMyuiLGPri0AyAMpYFAQqnn1qC1GaUP0MQo9EKqwZ3S7EAWEzawn5EPptN
m8nQIS29lAasB818ksTc3uVJWPqQHUfkAmJgQI5G+sBLuti4hxBDd+uwSU1HdCHNiRNp6qeiWoz7
eu6iLQkQi0BqSIdnWevFhuJ59TLmU7sLVVKgvYYy7Kyp+T1Ck9pplixr8C09qm9KNJM1V0VLZGuJ
xTxSxG5Bp+NLCrt4mvtFvg1aqPazti73iJ8hODvEsLiSwOzC/RxHFFHCAmDAtCxJ5uXoRx+bWm0R
KR209KEztPm7CaIr3uttInu6OQ1PAgnNb0HQtrsIuqrHNtYlH5D6fKMTMzYoRINDkmqpRC48mdvP
vY4nvlhSSRKlk7Rb8jeRFwRNflOJRfFlowGSFaWYNeAZLq+oueUZ6G9SqUHqL2rCRznE33QipVb2
SNUYkJAlk3is0iGjOJgjlztX9aM+9Hz/kg53iigRaQ4UPb8vqkq/T4Fz8SfXLI6ll9YeANt4MAD/
PI+i7wCEBGlOkIDv3Da9dYcDpX4N8oroNGqm77M046Hmdfhj1hMzpFeWY0940fgz4TgsSOl0p8OB
GDq1ZRRYUAmUcTeNT+UcyF/6yli3fGldyZS7Y9VKQB1GJcl/pqliu5XIEBY06/mQjWq/s4fS3iUw
cnpZKebvyiCnO83uzN1Sxck9maTqVumMzKc/G43HBXXJpswav2/m1lFbLd7y2sr7BdCry1nFwJiS
6oZypdygQgyTV1ZIx0CKk/04yCrCk4GyB5mZPhkiNVeYhrXR+jHbAz9rfK1J6o1M0usr8gnFrhjb
VV+myjweD/PQNO1EaKYvWLtIuxX1XOyDeXyxZg1amapTPGsalK1cNuWhiysDGqwMErPMAJ3Xz/ZJ
74wevfOpxKMIhruwRig+yZVF25h2U/2uk8rKHOAuneao2SzdaLklbauuFjf5QikxCPJmdOeA17vt
dINiUU0zIov2vNhwQrSxUNHBgYLLgbUIW1EY5AbLZbxD4Nzwi2Ki4YmUO7qLyAPfWaWZbEdbmr9R
N7XpZ+PBAzsDPJHWiK3ao1c1R2Z8UucxvVFLQtPMKpYvkdwoO3kpkm2j2tLJQtLUV+syuVfTsnug
5lf7jaxEfmhMyi42J3IqRTYdyFO0RDWtQZ0mqQVHb+iXfdgstNlOSdl+Wcpo8LvKCjZmqCabarIT
ekfVap8oBvk8eJj3oFfUTYmg8J3Ul/3ewEB5c20CcDdCRbmXSE9tNb0PtxJR+SkioniIKYrtrEjn
YAaQaTkAQJtyq9nR8LwosfbcN/VEAi6Kq5syErB4gow80sCNtgU6uBvQZ0rp0Gw60Y5p1ij/AA0r
DghTD87c5WLPCQtu476T7qwqrJ7WkPxhLHlPREBkaC9l2TpFWyrkUoqx9KoMQk1PGqHVccrAao4F
st97UsP0wnWh/WMa6fxDk6wtd2aiZEjbUznfawlCRM7UwX5Npboz7mQ+6DdMlepM8YSiJVq/myKx
1YelbSJXb22xVSLrt7mdx93SlcvDgjS2H+A7nKbJ1E6a3SvCAWI2HuRGnf6QO0TKkRtatm0G44td
xtKNrUvm1ljmmq1olaccOJBHCmL2oZAa8IuT0T420VQ/DQD2NMcS/bghiWo7lrLiPgp633ZsU40u
9fo/F1RLY4Bypvoy2hWPsKJHoaNpk3YPU0uwGwWvqYWPASgHS+aNbWBh8ZLwdxA5GRVbsJFlN2pe
CtbqYaSiWMFOKuKbNubNSyuVVKuArCh1SUDaRwsKndwZg8qm6p8khafRPUUUjrLPqamt+GZsJ81r
w7Tbp0Dzvr4++lY+Nl9FV1b9VhEF2UN5CsLZMXpj2hcjp8NSxmUiOVeOG4ZtvgIutQBUyvw+Tt02
tPnSsCgs3wKLtE2t2tpajcFgaSvdgBC3jwD16bKq+Y1maSq/SFkaPNzskUSNfZQrPs/s+RHZyEuq
tWMZPYiJ99pq8ThEVAd3ItJYBMjWtyOmy2+HsvKpsvAxNI4+h1M7/kQ1OXqwRG5teeOKgymTYAvV
lvnTqULAP2RK7okpmr5bikJt05DZMDI+/DVipm+pxG+W5iDdjLMYn8ta1tCXx2eRQ5Y+zRU2Ducs
uCvjzrqdSEN4SitinmISlRNqXAcBEgygRYe+fMyfef05ir/8cpexJGmJ3hqtdU9yNw73pH9yCrHq
XCirmDla9mUu78baDGVPFmblpgo7HOLp3VhZUz8lyuqQpYDuZRraT60S8TLJVeU3mRCfQisvDotu
rd5ENX/uIyMAYKBnW9EXuEHFmHyTRYYLJ5vWybKBqjJxVqbVmXm78MnA8lhbDW8tFSS2wqbKHoG9
F4fRZhdHI7d82apIWdZtcXg9UKnK4xhCVfI8DqnlF0kMCLqUxaemkfATBQsNMIJNFevnk+vfgve1
tmAArNs//3W9TKkttRhEhR7V1zMtBx0nIuIwpzNnCDIMvNZg4lvlsrKPVP0rP1168SkhsH0Azx7c
gbjkfKZ6lXwTLNj3pCsi9q5C2rkRGg4g+cfxWQoFeFJzsG6TKINus6wq9HHT2lgUOlkoSL+6txyA
8WfJuSNg7HRuWxpzyCyLu4RIDp2VUWKhWy/mIfrCK6cPG/xuHOBW9GzPqOAWA/yzi43dTPGdEPWa
nSUvRBWMfJnCrSSvuoFeQcYXA+/rdepgPOhDh1bejJce6nVxEEmcPaZjwizaNgx/b1WFa/1qUAYw
TO4QjWxJBl62mdnUtpUUHZACc3i9cmVTz5AZZVW+izuleh7b9Yz3AhiCZfOHUN7VqOKTcxr1ChyN
nI44zeu1LQuLIzPz4xYZwHgrmooYAoiwfXw93M3MwWwtE6Jnc72aWpxh41QW53VLrISLO5ZYh3Cu
pu/Iqlfu68UtJ06TrEXwDodhx2K003oEZUNGHMTM1jvf1RhK4r/VvmEx2rZmKV/N46hpJAMljVPe
2upLOuTVTORQ8mWv7r8ozdUSN2oz+mA159EVYJpBluuc6FDHoShlTm8qJ9HDIAfDJ+oIoGFSkMjp
JoWa5SQHABSws3WZOWKEeMqJOvhl/MmqlefOSGfydV0CboWensa1gS2ZCCMk0U/FUBW/Y1V4Yrkn
0XHSrTriiBvtNqLN9S5TopjHGx7wcRu35mD6Mrimz2Yc9gatC7X5GbObgyuZAjn9BkK+GZy85t7d
ti3S6iCl+U1HryY88xRF711FKv6mkerloAgxHlf2oIYzhBb7RjYNJKrp6pRylqcJPy12HgYecWfJ
HyrDmET8LH2nIKHuUwt/VU7afnaqUk4Ih9MasLvUfx7lMT8iVV0fRCjyu2Re9I0WNnHitpEW/rGk
y+AJmkhPlj51p7SXyq92aavfG6WYPlOsk/e1lpibJLSmQyiW9laXlY7Wg0kp7mdeI4S5ppQ0jJpv
mwgOXAcf1f45aMV4hwZmrwDozcZHZPqgOu1kvTkGlSYfLFmy9kqqmA+jolgv6B8nYJ5ko97YBEk7
VWTR1prkFM3lOjvQHWCd6n42N/AbZ7d5sJQHSUTjIRvC8TOxjXjq6pyc0AJc3BuzgTYQNR7HP9qA
JH1baMVn1QKqIszRfOZ0gQdb+l51ITuyPU5G8FsHSt5rV8ZiB5Vw6gB6K+0gMe1+T0U1bGQphSqq
6hWeZUC2GrSFniV15U2TVo2XLVQRSXWH2aYRy3SnmAu5+TzqkMeBeTr9mZmlYOLyA/U7slLKCIxN
oiT8nEA6y1GLW/LIiRJwfhNoqnmXbED+zpgrq51R6S6Bg6SRsqOJO/atGE0xbJLExNAVWOXnMBr4
6ZC+F6pFamchwGE0mNGOMMoB3GPGnqW2ybeh4hmV6t4y95IRay9Ji7HR0iaSPXpKMGZk0FERwm/Z
jUMv3ST5yAW3jKqdT7Oij/0XKUxwTdIWPSmniBLtRbIKEiuvX2F1LaYZsC4X9vXpNtensjAGrl9a
YBv5iIZ/szqBzZLCoRx2FDVizW+gCMH0VWnhlfO02vuRPKU5UqgZWq67EA2vyesrxE9iJmDwZmGK
vp++F0nJB0g9xs8C2/NEywP/3U0RpRtAmzHnkUCld0RVKK4RUyFQYEJMHDx8edcsy7TQg8AbJysk
z2StZBUoqvJQ62QygLZFX17niTgtjgKCtIchMBSgDXjzIdj7TgJ1h818zacMIy5Ga+eNsS3z0bp9
/T+XMmNaXYUisDRNftj0w72gL8ltBlRurSnrHb3rtfswMoMDRzksHKvEf6o12/400rBwU/RacpsE
xGxtaEc/xErBlVD02FZ6QSNEEaXHBLTEcWZVDlZbGX46CvUPM52VEHIZOfzemNVIBdYyPss9Qckw
zgFgf2FsJTXp/aVDnrttStufE7v1zUxNjrTr9NQ0w4m4PzDzDUA4IpqqCF09rTh2SG149EeA4Qpa
7UhRVgI4ltV3xVDbD4UsL77aLLVrj3Z4J0tBu5lDoH1No1IZbLh0cRiMhyoZwOrHSyg8vRXNwcw4
3W1q42vD9kOYuiTfFL2ZviL7FH9ephyKUIl3uiQ6D/zMImXtNhSa6UA3FpsAbIjUkTB6CvalNatf
hyUBntKGIvWSsQ4+09vVtLu6q4InKcqme2gL+lNfyCVEAVmoIw9p8+i4sRE0X3CpZeNOszM8fy45
t5ynQv9LzOt/KjP/RZ/m2hbwf6/MPP3v/y7/1/03MslvizN//do/EVriH7T+0xKtqRqMcGKtwPwT
oaX9QwF5ba/475Uxbu0X/idCSwHYZakalRlIJ/hlDfTWPxFaqv4PAIL8og6fogrCy/w71Zm1+eBN
aWZFneNPyDKJCLSq+KD3pZlcydtQ7YFP0p2E6VMdVUFMAAK+YPzxZnEuwLPO2eX/GkrTZVBlYN3N
tWPhTR+ELGFdgeuqtIkvsROEtyunP9Asbu1G3TSP8DCE+WalQIivtoifdUP8MvbZNOOkziaKZJBf
Vwm4oUc9+lKDxvx4hpfWEiw/HR4mgH8Yqd9PEAjIrBYBaynk8nbM5RM/91Ubxt/S5ho/+TnjyuuE
3o511vIehS2gEtbajZvuQS2zW3M0Wofs9QRZ2lK6+JMPSUNpfQxyvKXi5T+Y6qqVhbyLuUL73k81
qJSmiWuGzxTqcxbeFBA0GRjUmjj7eCiqob+cUFQBZIUVxUuyzoqHJq82sTurGtfhlykrX2ZD8T8e
4tLpgHrSWtn7aNN4pbR4czIjOpRDAjTZHbqvRv597L/G6RX9vAtnAyb5tdWDcGj1yt4vGHK3IZ4x
Q1id6UTAtObpgVd8WwEO+3gyF9brzUgs3PuRjBgJ5ozbDrBGeGoQOgY4qI+HUC7OhlZ01grWFszQ
+zF6NMBJ72WEqdveL57tTeZNX8JPP/J9eT/54IXvbM/+e7xl64nnq1FWB+uKcsy50B2p61IZq0h1
lSCZNnCkQ4Cjd2BHppSmXpO67pVJrltyZhpNzDZ2EestQ+zwfpImmOpsWE/FeMhPDQw8HlB6GuY9
+hjc3gsPhpd9ljd4UfbP7tPfFOH6c7pvRl+3+c2ZnKOp6MyJG1abuqtMPwblRYuuEdtfOPjvprj+
+5tBALvLylgaVHuzNvXkSHtqtfrFluQr1BjnfFi/zObMXmTmJEmAMBUU9gaPnEUFUXrnGHeKG+1U
2Crs/TUuv0vX4O3unRljJS9TmU5W6Nv6YJvkM0HBNdqra6t3ZoNBw9thg7iv23b2wyIvW0ulScPq
i2sn8Qw/8efqofuy9mlxCdSz6waQMJVSbcL9H0t/Sb+XJVKlKo4nKWTbCjy7WW6DQWwqudwWlXTF
oKzT+OUevBn97B7kw9zQxsE90MH7ZUazDYeE3uu2pJWebEk8SW5vWc8f375LFkbTxdqVtgJQzuWb
4IalPJ9wMoMcTqiwcMcJZ7z8I8DJ/Xikc3SKCTMFIBhFgx4KLSooTN9fgiacqmQKIBKQ7dAcHWlc
TPpcaASrC1PyW02SHiUjAdTaky2WFEOCEXCSNtYkkh3AFuG0xkhZTfTBslcsqTolsyh8YfSBHxmr
lG+SYykWtdqsLLK7OApBhVla+KSbmUmdSFZvRdTVui9FqXhJkorWuogEKThUY77r2lC37hIYG/em
lxxviiFDnJcoy4mKeriBSDcBESc1iCUJEREAohAvUNeicJUoR9TAZ0fJx3pDYiu4VwUMGUAsp12p
GdWBdmflyk0/u3aviwlfCVgfoXPcjbPDsrIcLPPKykD1nErc77V+ZYBfQf5s19sRzgyjmFV1qAtQ
Po0X3FJY2ik7sNnIITmypzr/D7y36ye/Of+/TOnMSGorgiTomZJ+V0BwlO/CB0CAfh44Kiyk1+mM
ri3h2XnEU5BKw2C8vCuhYR7B3l5hXz7n6PpzSrgi8MzJMOye6yKrCaDOVeIR3iCkvY7VpjnaDoHn
DqmRI0Z6q7jJjrziyzWrfGYyfxn4zJKRkayiFb7pjtVnJXhuc7JD/RU+qovr92ZyZ0dQAHGH9p4x
ujIBK/Zkj1d8OeXMHv8yi7MjKAVqO4HjxmIc4p3+PXcpOp9QyvPs+2t8fBfGYosEAdoqQgFH+tls
Qro2IDGZoCw7BttqM+3io71NXmWCrgoq/ro778c6m1cyzGoq1rE6r/dVkALbldTedCkoHuBZ8TN/
3F2VrT97XlhMDYeOGAKyQfNXDsA5mTuZ/hu6+B5QlPY1lLlJ8D9KUB/aj6AtaNdJI19xq8fOlfbl
l4+t/4WrwPBgEukbsnhh1TPHXMAWA1aA4Ycfo6944oA+9y55WvfUcCaf9hHF7VzjS+hdE8g854j7
c+b/HvqcMB58tN5P/Tr0ZkRhuPetQ/JC66G3yjLFzrPkN37FN0yxWxzo0XU/nvql3SbDYNH7APkU
3vX7d08yYWyyUU8kx5XpX8M6tx1JbnpgAmP0+PFQl6cKG7CKwLJJIHdmQ2fdJl1rLMKdD/lno4Z8
BndaRU4wvQXwvk9d4SQnuC/FBmTmhuTm1QzAmUPxutiww0HAZUD3QHvY+9kKkcEZVfXCDVsUc8HX
L9UTP0azeXnNofjlvSDuRqUBigkaQBj4/UhGvDTk/RUOdHDU0t8ikx5fVBQ/XtELm/dukLNHIiBV
IxfYDDcXzw0Q2nZvoQb58RjnZGHrmr0b5OyETKRem7xjJqOrbOjz8aRHwOq+ve224eYvgrl3/HJv
aTLO80O/jLYaijfBiJnFxQLvFutG9902clPK6TAENzvpk/QNnKq66VyZy/hTJO41lZoLp+PdTM+s
wJJVS2rMjD0pn/OMjnuqCFE4eHZdeR8v6q+v07qm5Ii4B7i1+pk9B0Ogzfp6E7T0aNNlAE3P3x8A
qrU1sYdqEbDw98tI718yVvN61dBWTaEHa9Sv/38jnG1UOlT5EmuMECy07LTHYbgS8Lwa3fcul2aQ
JOS6Eugjg3O2HaVZ2zZQRoOjMPrBQbqLd+WjtCn29Ylz8RB5FGk9y9FcwzH2tZc+U9LGYp/KTeXa
XuVdeyUu3DYDXgygL4ZGFHa+aQittkoHchclifwYWqWz2N2jmj1/vK4XRuEBZASIAyF3P6ful7Qs
KuAp02lBDVdagG1VQMMFLdHHw5zlNdZ7ZsJojOrTKmxIIvn9AVGDdjaMYATsuKVSD2Wkto12zfYa
9d/F2fxrGFLM74fRDTpn6miCSqi0f1PqnjJU4Qa6esUQXogH3k6HQ/N+nI4uxiZYxzFukYs1vWDb
bwe8JBmKtSN1wasydhdsBcUhPDIVchbEWM/Wr5UFZdR00F0reYr6XdpD8mrCcTJe2adLj+bbgcyz
FZyjRh3blI0CPxCBRcFDmLx0V29tv1e8agch1HhMfHH8MwoJT/LumhzvBWtlKiSzad9mtrSKv1/c
Ocy0DiJz3YVB0QlUzZXiPz4+jee5xD+P45shzuzVGOr2TAvEehzjx5A6mz881bdZ65q3sU0gIh3m
J+k+ABJ1ZX3Pk1KvI0MyYSNxD/kmZZr3k6MVXI/jNqC5cdse7LvkPt9lXoCqHbA3aau78eaaN3/O
A/3LkOt6v3njhL7QyYeBcY2H+lv0PPvjtv0U3uR+eatvcP2gSv4xfs1O5f14B4VH4SeHayzJl47v
21mv9/bNJ1RDl4Zk2nVg/iDNw+7R7LSHJKlLtxWwhHy8u5eMAD4XYlUrm4B8/hg1ojBRytQRiOkP
RgjdRrBNS2nz8SCXDinlJMsgUYb47es9ejOjetHoCi/Yx1quvNDIvSr//vEIrxm2sweJdv5/D6G+
XzSa9Gytmhii28zuIB1kPyMNHNwHzwmX0Avd/Klzv6j3GdGCfcg30ot4/PgTLq0k6XboGiAyh2z5
7LAug2lV0SDB0kZXdgM8ROop9NZPf38UKo6o3K16FHgP7+cphXBoqwHzBIm0VVvJ69uHeLhy5S/t
FxToNpoxMq2s5+1gZiHHRGNI02j2N9X6mQ5XEgDnxbHXW/Z2gLO1qlI5H7QGip/5YBz622D/Y3HT
ewiP9h+v1roa56di1eTmKSW00c/3JKsDDZ7XtSSRSXs5eShqmR6k8k5Qikv1248Hu3QACF7QiZHx
Gn8JYGbaiLRWmlR4fWx/Jf0RdX9oq9L7eJhL3sFaaaNrkHSzca5najctGKx+VN24j1qA71GxLaJw
ZfUrLU/vFWMDiyTdyfTrPeRZp17Zu0vWaVXWI0yEuYTGxPcHMNHrrBgrlbpAF6XwMkhjfDcgSX7M
FSo8eajOPz6e76XD+HbA9d/fGA/RpLM+LQw4yfluUm1oc4rtx0Nc2DlrfWJw7MzVRJ15KHY3RIsa
WUCvyqe6v+3EQdZ/+w+GAC0gkyKiJmudueRhKQdFqNqK2w9VvSmroTxoqR37KgKM7sdDXVgweFas
VatPE+Sp1x18s2Dl0C7LWNDZYWudG7V0mY8vH49wab0wdBZAAUJoar7vR9AkHfEUiOpcAKf7RSJv
XqOHM6dXhCHWP3N2e9G+RJNBIfUDTfWZTZ+mIh/MhYkEFqo3RgY1xFP23aIjHNEYx7iGf7g0K1Vh
UrDhrBTxZwctgtWAJJStugtNT0DK3CD9pNh/U3ZpNX2WisoFqBFsK4nD92uX60GrTAmT6mmyGK1P
mXnlgl4K0y1ovtfoATbyX9xfbAEIuQKjVyNP60cv4+fcj/3wtvw6+OSsN2LTHnkPN9fiiUvZiLcD
n7vDNTYxQVoP0OPt5C2e4mSeecKyVyd1d81JuuQbIpqDrYW30wYcc/YQlkUQLolUqXilvTu7E9pj
TPLTckIZ8aD50r30/PGhv/CWMCCwGOA4K03omeGTCtEZcVBTTKSxwmmm4ElrgtmpS+K/SJd6T4T9
7uMhL9haal/ymlymXsPReX9WCrmBdN5myDykmykyaOUvnDQbaZS6BuK4NtSZ0UjrIY3jsFGBD2+i
7lnpgSXE37TwmvrIpUsGiyXSlQKC119UPkM9GKQ2HqmU0kNuDJZTw6Kz9kl8vHIXHkmIO1f/BZZ/
aihnK6fPXRaPPehVsbUOf4bQYtNsr23QpeT/u3HOls2AgdKUh9dx7K9rfaZzWi/+fWXqj664Fxfv
NWSk2HbkeBTs4vvToBaZETZ2q7jBbXqSfS71YdhlN8q23pde5AfuWqeHovvKc3Ip/ltJUP817tnB
b+0itaa2U3DWuk1xVP9A3Ts92L7xtJyULY4b3EpOeqdfs2OX3jF0r7GSguz/L/4UzahIB+Qala69
OKwyaKsmED387uh1J9nLDv+RAVupeEm3826Sg3m/wnQI5XpZGfg2+/hkbpRduA2ekAhzUcby/oPs
/opD+9dgZwZMhE0utYOJR5B9ycbY0eLbbrxisy6eGZwngJI0LlJCWO/JG1+gjlWkaLVAea0jdnvj
VUoOqUkv3a4SN4HT38V32e01XfZLL/e/h/1F2DUwaJ9JBcCLMIPtMzMcSAhzk/Yc+rwBycfplXle
ss1vxztz4Ap9aMghMM00RqRA2UtS5RV64NaAy9v/wE/ApCCZAYEdIbM427gynWnRLKlvV3SEickt
osBPpv3HBuzSzqHYSexFiYLH/DzDGjXFYtgKJcy5cSqvO4LF3CLVdGd45u286Y/KQfbELvSMK6qK
lwe26UJZ2Uoo/Z2ZmWyWW9iXmN4qD6W6kYuZ+V5toAN9UZ87X/Zy6J4g/gL0ccVoX7jweF7UuxAs
xTGC2fDdYbVqqe7svtLcyEqcUr8X/ZePF/XCIwelCi4emQgYVM61rNXAbq1Bony6NMmzjSiqQ4/2
CU4z2DMSKl4fj/YaCr33X3m5Kd5DLk4yVzt3UfS+oX+bCMqt/+CPyzSCUTrsdvMPWvJnlvE6FOLX
FWREpgYOD2wOrfD/h7Tz2o0b27boFxFgDq8MlUtSKdnyC2HLNnPO/Po7qAPclkoFFU6fZ3dr1eZO
a68wx8cviOR9LlGtQ7uXSVl9MGXPavPfO7AqcpUWBXdoxSxYzI822tAX2hBviOy9lGzSUq5daqBF
98rH+zxXmFlCKUgP6iop0I9mZnGUg2HEjHIbrtvXJe1LmzAiWruB2mfJ1taKV66VF+XKUXLOKMPL
wjCpfDwv1LZ5y380bGoB3WJEk2A2K6/5NrkPt707/Uw2vfu2GzzOaWqJbMLXpELd0kkdwrrfxUN5
NUL/2Yv5+FPOtiKLmI7Xmp8ileZ2DsRHVQ43emTdBIm/lxUfaTtwEW0iXjl8Lttdyus5BSiAP7Ob
WrQMRb25dPzpa8Q1XpsKPtCEs52Z3ZrKl4c0s5AMTvr117N+IfzKiHGZRMDIbNQ3r//dfaUOvV50
CCiTcdd3vdttOsdKnel53BJUD2ztR+dau/gnJJAVvDLcjtXmWgj4wh6iRBzkvcjZ9zm15dP+Uw0T
IFINBekoAz80XDliP/vAuL8m9arUtLEZz3epCfRElmjBdVpdt6UutCtpIRO9fv0tL4yDfbNoz4pI
0b+1Sry/+ttJmE3ausgMIAPXoUmcp1csXDrgPpg4XycwRnzaNJf8x+ABTHSKp8QZncWvyD1he60e
48J3+2DuzBHNTVrDmgpzdbtDDMIOkQygDfvKsX3ZChcvtRWWymXxcf8PUqVXrZZQ02uM7piP0J5Q
JuiuefOfp4dJ0bjpONqICZyXOxCiUxTM6AAnRxc4anVqnsLV8vlQpobR+iO/Drlcjq6PFxI2eUou
BZvcE+c+hWVm85gkiekgBfs3i2lRFH4C3yUR3bkVDBbjxyCXbpWYLrgdN0e8YIKGG1LeIjUEXNTb
uC5/DbW1kyjbHRCn1fxru+/zsb/Uj0sy4TiIZLw7Pn59UryIlS6fpU2eZL1zFYMf1HfrwJivzPOF
Cfhg6SyI1S9i2aEf605NfSaX6rYroytBv2smlnP23Wk2d8moRpBsWEq6XSjJdyL3V/bgle91Hg1O
mrCTUbklVB+gCyUgPNqrW5k8INfE89cHyoVKrA9zc37zo6WEspSCLXUdbIpdf0csxIk8os6a3ayW
JEvtlEf1vj1edUqvDfPspJlqkTNbX5aFi/wWIbpH61csuNKvaJ1t2xsEY6WnQLLz47X1+Pk0+Djm
szNnpL3QmOCxOXX5yFsOEaJbfboGgb7gc/OWMPTFL+WsXjrGPiyUutbyTjNQ9l2q740HCoQd4RsI
Kaf28pvwZnCXIvzrg7vwVQ1E7cVFYVBbPOKPZpVKGjt4TQYNqzdRuvYBgln1T7m98pK/sA0+mFn+
/d02QNs1FMY4NVG4Gl2fN2Aq/L2yND97LHQ5cawZIlgl8dNIUKwIFHqZTdYH3V1H9aTeD06+VT1a
woMflkfZLI4SFCmne4jca4vkHLCKz0jDH4FjFVUUmfr/s42uT5ZIDehk0m6DHkAheMm9ZetO5Wz7
fb+LHsub6M7yhlX73G3lzbUo1IU1inXCafyM5ROcTWPlS+gjKBAHWi3eIJzuigm6deE1r3BZhGe3
xwczZ9MIsC1V+phvnMgvvfioiXd6sDHN29a0rhzNl06aD6aWEb9bMa2hoVGAi+bUZHNHFz1ib9xG
Xujmm/jZtP2NcCrcaVPtr3n/F1yaZSb/+ZbLlnlnucryWpxlZrJdoXHp6pxv/UbfRo6xVvHwhSuF
VBenDqI4hVREEgjznplDtcXqJcx1VDoO8V/0sVwNMd2vt8cFt5pRvTNzNqo0attuzDlfGoKtlDE0
T0scrd1KG4QjiSk8ool90I4D4GXjZ7n2OYfyJ9Rqvv4Zl44bA4VRNijRS/W8UnqsAzWFxGM6cyJ4
mvaENgOonk0aXw1ZLiv+01Kl0gCv1+IFrp1dF32k5mpvKCaOqbleulizPyiT2NljDla6Xl0rwrlQ
CIRSK7hWnd5ZslXnztycCfGgoarrpJE9eDrxQ3Ndupo7rmaWUEjD/ypa+5vccCE6Vr+pC3iQ/sUh
+9aNDD5WpmH5zG1tiAHWKWrOTiQ8yOkvlJOvLKJL29/itiB6sjwMtbMzTqoBKAQ1p3gWD06T3kza
XQmTzoJPmwAj+HqpXEjv4KLKC4oXMBvH2tmZ1tLKVESlQmk7T4v4hefnW2k9nQ/+9062SWx6ya+v
bX5enkygSt/im1iveO565mkjq32q+g4MVXTyp1YB5IiISatRxyXNQuh8be/ztbjY443B3Uv+6vz2
7Ymri0pClDLJ4HEWQWGspR41k39hhSHxCXGeeVh/PGGKHoGB0TB8QrEzYutkm9FwuDaUz8cYQ3ln
RP5oxBBDLWP58+m6+C5BadSuapViTL0Xrny0a5bO1kUtoWeSV1hSdN82h+KnPoDTyP/7xzMDQotb
5pFu4h+dOWRQSLJcEUzfQTw2Qi5NfBGN4spQLs7/OxtnD5BJDdDjKbBRNSXSvMODnM//dQJxGQZP
TOqFSDafp8Hglo2EiBS+VicYthlamdtO6BaVkX9Ip+qqH3txC72zd3bPNGklK0GCi6A9TF5xgz7n
MXPkR+O09BxDgNu6wtU+0ksr4s3tk6lEXtLBH9eeDE5OUAp2kFm8Svl35ERdMg7e17vo0sDe6suI
+y9lbMuPeOcWoGwb1r4YCM5U1ZQixCuFOmNRfZ6H09eGLi0KmvNIehm6TBLqzBB1TKKG1CSUETG+
hwGyLjrlX6y79ybOJskQI0kafEygGLxpcyioRfjyv43ibPtkQW2qI+QvB0DVEYFApIpEVEv/NyPn
+4ebeG5GjOSMI4Eplpfiz//NxPnaApgxSKnlO+m0Sg0dgZb0yiA+36qUDP4z3+flIJYfA9dGvsYJ
B8meGggZhWZ35jo1M0dPrdX/NB717DIQglZBS4FPhnTtAnqzTgDm/uvo5jIiMvzaUlEqn184Xd2k
YqdFglNPyg/4H69tHv/SDeNfTc0/Zs6unEzIZHlEuMyZkaWziyR+VKZ4+/Xnuni0vBvK2WUTFlqW
oYnJUOriuy4FrgBboaqCKxvy4hrAE6B6mzz752KFsg0iX8eMGoN5U8biVlKKG+j2dAyHx7i8sggu
jYpScYoiqXTi9X92xIQBylyhptAlTRahyL5FCwNF1K8EOJfd99EFp/ronZWzU0br00gta6ygbj+4
dZKrz0Cjb6TabJwOfTlv6iaglQileV9P2qUT1FqKS0RI14Rvz/asMceJKliwfhhe6pFPJFvTz92V
Dt2LViiNFen4p47l/MWfKPI0oxZJ/tUc7sihHOPpyslwwQVe6rf+38R59yHkM1rSRUFwAJP8nX42
5O51tzgQxTB2gaNuhKslCRdyXx9Nnp0PVHAahHeDwI2etVeNvn4e34MDvQTUoiPZgZc4EgVWktPc
jeheeZMbrUtv9Ky/17s4LpSTffwxZzt8DCuVVys/xngoIzvYNOtsrR+G79YO/ZLV1YKy5c99WrDv
PvfZZp9UMoLogyLu50Q31U3jjHv98bWgtib9ca2WZ1n8Z7YQZXlrwQcfpJ/H+xIhj2NJiAJ3RhnI
RrL8EOTai5pYP+bUv3IeXwhp6Bgj4yRRLvc5xgASTu/niYH1xrb62z1T+uwV68hRmntYGFQOXf2U
F/b+B4tne3+2SogdFcNT8tvc2Ezkhvpb7Zu5VW91y65vrGN4YwIYOqih117Nml4437h1yHRQzGt8
rn9UE1TcSEwJDhEqaYawrjyqV533CyEqvuo/Vs6LHVGOFkE8YQVwn1s/ziRjn7NdGK+G0WmO9WZa
ia5ebpLWiUcS1deqhy6cPx/Mn+1UzezivK1NBlkg5ydDjE+ya2GjC5VfH8d4tgNb+iDjrmCM/Uqh
ZpnYpqd9y5yEV/jQ28hz+Xutc9vEDXfXQqqXJ5HgjWaQgyZJ+tHhzuemT2lJFxzL8NF2RDcCKAFa
9Feu3gudCAyRXkbC7kRPPuViIZ6BVio5ZMXd5C21Lup2WukrcX9tU1yIEX20dOauJlVIZEzmYy4R
DSGyYzc4tQ/lQ7hq7cMBfCVlZjYcJ9/rNks937VeCOniJ3031LOLcUoGaFs5QwWa9hA/BgiUUI9i
edI6/tk+U6Rrl+tr0ygtf/TjSYc0GAUwqAeQ02M2P85jJ/laPI9x6LYuk9jVdrVviOa223KVrZHn
NB9LbhFUedCdz+3hag/951HjVfH4hSYGrF38FHQE9BvJA8XCbv2aUK3xaOyDxDbu9YN+C31X+Sna
2cP1VOtbLPPDuBezdK6BB1eo3jqvZeqlYhwDUw9cGabvUUfg7d7qdXBlUht0qKYj6pwhXqyDrdsh
kpUV34gFQTwWk1j3UlkontpGk3/maSG+6oM4TWsKl2SeCZ0y/1YpZMLzKMdaRJEv8p9xt+MXgWL1
ldgjYyNMWXDqY/lHlGjqRoHeaaMC24MSoHDot2aW5T5H2nhbIm9/shAhfh0N4CL2147Yp/XGJyB/
TgBCpvDQPH9sqNWM9J3MDzVKAAU5xwdgEylo11+b+eQ9n5k5O6RGpR2ITFpcb2azyvONIjxG8jeE
5NyhHa/4ZJ9O3cWWtdQVk6uTP3nqQd9noQChxe2MzMnyQ4f8xdejufjR3lk4uzp9SdYFs54h0Ji0
PYZ/C/0XpNArp96lYWgSNF4i1URy3zyGd9GMbLCiSR6mwK3aQ5BRsNFnVyxcGgYZxUVrU+VrnW/7
xoyssdATkB6Cf8qK4mhZo1NZ/svXX+uTH8V8kC+l2Vcyl26HM59N8QtDB6nOQOqYS/BQpV45t3Y5
X5OMuPjF0PnUcKQoqDlPXdQEnkq/YFpqNfoWUhwkj+mVbpeLY3lnYvkJ7yZlkFAnrlQemeA1nBiy
e1CMaxUucDb/+vqrXdox6HlQ4UyRxdJG9tESLGM4U8UYuroMIzBEAkre6tFTiOTziELV18YurQRO
Qrr9luZI7vOPxupFSVclfuYOIIy7gEeFpfqrqp6vySpeGtV/EHbU+y9VNR8N9QOhUMGSyREG4tpX
X3JNtPPYG/XJhb/49aAuzdV7W8u/v5srtSgNeALcalIMC26Wb+pStCUj28lB6n1t6tLK000+3SK0
JlMw9NGUbAIyGCTgbYPa24Wk222w+drCxRl6Z+HMLxCzKEjrqAjdUcmOicECrOtjnV+r5784P/+Y
0c4SVAUSx4RS2tCVFYB/wa7O/jRNuu6k32bW//56SJ8eIJwL3Doa73Ik7Kni+/jR+hjNRJ7uoasm
5ZPQtXaF0FnVupNOOYCVrDnD119bvLQi3ls8+4gchHkeVX7oooMfoAw/Ai4K98kQPCHwU11ZE2+b
5ty7MChQoxWJ/NincodBCgK8OZW1HitydZSiAbZulqrmc4Yc314MUxqGjDEe15CgRLBF5JWo8oJf
bucy4Gcd5fptP4Db1WQIiVozdY7Szz+S0SrdcpClb1arTetID7pjlKnJthOSdBc08vgnAxH3N0XG
tr6yDC8tdEM26LsjWUXN79mLZg7ggFkKENus1xr0bARj2EpTBK70X8wU/dkUDEFtUM/bIxNZBEEu
gzagwHUXdMrD3ICTbNstkuhXzj7kiBbv49NM/WPtvLW0ByaidxErkaxpubKU2Jwhx2rDTioLaz2I
87Avmb1V2tcV7n9PZ1QT6+YpzUbxpbTixs0Cw1qHkp7sWyuaN3qeGDfEzvpV2pXgsaY5Xcn9ZP6Y
F2VyIZ6NY1kp2Y+CpL+tBo1oy5M47oNWRstGDyP/Tora+gXIZZfT9E+zoF3qfu6Okw+RTUzb9lBH
kfRiNh2anEoFqWCK0hhNUAiEM6QVfTUoWrlOlQz205gjz9QsvCHpwRCn/Km2Ssh2uTV0z6ov1N1T
4ifwuCtZrrfTGCReBvEAHfW8ivedYQ7WI5LnBuTrrqV2pgXMFlB3u0XUvfxlaT5E9cwMyw2JS+0Z
1LQqHOauK7M7yUjn6Bd8ztp8XRDMtCdA3fBtNY47kBqNcqzMiZplNOePIg70cRTR3gzbVvzeDChy
wjBIDhFxGE8My3An52XxIneqv4n6uveCSPPvmTcf7IifjofQKjgaI6VyB0BcoI6H5iQwJ9tAmLW9
gqDPRsniZqWUenEQ52J25DiLvCruVCpHlCpepXOZuebQ3XfiIG6jAP1HC43EO/AL4BnEZKZlUZIr
Z9ZLw5nSXshtFX5N0L8OVhU7JVnOpjAsJ65zf69LjXyYa3VYp34Srjpgld5SNrmwOc12O8tp7tVt
1u9TTYqcODPTR2PsRLcXh8nGhy0cWM3hKZZG0fAEHB5QE8YYHoZQsejsMGsqOxX+2lTEeml3fZ5s
FQv9xqkPxBOwisZTE7l6EPwhv12A967YK52t+FqKHCJEAMit3XJZZcN6GHUo8XneO7FuNJvE12uv
mC3/IKeywRlpmc5k+lkMrC2Qv02l2CCuk7UYIKOXS3F8Z6V97/ijkLgghBBaAx27KyujomMqjXNK
uqRp2pdSE95kEGVE1LWtRgedUxp3aiVlW0A9oZeVIWg0WfR/+TqCKbZYa8h65FO7s6JQcoNyqrzJ
0tC1A8Ls5pMor/xBNDdwabND3eXSWu2hcpgwM1xBs2DShLq1ywVdX01DVyAq2xCnEOoC5KKgKsdA
1hYggSXZjZkjUhdHhjcFXQZtRzI8ui3LVTnniaf0Ygz2SzaeNS37oYEitJET7NepJpPTgq37qNHb
5Mh+Tf1T0ifPctu1tRtCFOjsCPGZ9VwXmScgOnqvakX4NzL6HLWDJqBEo4SwWg4kYKupstu47Q9T
0XX7uA2kh9gcxg3YXUAX7TEdquk74xPdAPzQSWp0+abIs+DB77T0Z17I45MqV82znPXzKsuL6C5U
J2E7ymYe2ZlsjdskiVBmoQwGnfGmRRCwToNTMyqGW0ZhyOcqxWmjF6OxT/2SG6eZY/FWNmp9X824
g6Pk185cdjXAiyZJTgPUvBelEMsHOelC4ktRD1bOlxK3Dma6MDrfOmSzVLmd7BueaVXGSh8m+bbU
at+BM7GUMwPj4bUG+RAsEZgiScju0Zipf/aNUGU2YXfao9MqjJ/6uSifIKJKBzOSw3I1dUbpAs3W
f8i6JpzMfBq9qDbCe7/JItqi5CLZVn7crZGnEXaDmml/lcYSv0PVGqCYzVBp9SCVexcomE8bmlXU
NsdZ62gjFG+zMpRdKtXWkyzBgZXMJnd9sZHWrVQ0+7qcrDsqtXInatXpPswS9VRlnb+jDnX6JVQw
Ns08808WZ93dbGbiKUaUbYUUdfMAGVZdgdXUVmrT1Ru5apXvcFKr2yB8NTqzO3aqnG4iFA0R6o2h
NtVSSpFkJMvuGGjlJuAJb085cDGQeMGmV9sosLswHJ4nI01XgRWrdhdFlis1aX9SWpTLE4pWwdKb
vfjYBJQcOWHfR2tDK+nNoABkYYn+jamNuh0NyvYbw6xudamCrJNr2sYSk+pbQknRYxbL6s7oonnX
dMO0AarUOrDOjNAuzTI/4YDUN2ZbivctiCd4BIQ1NgBN4o1R06WJXs1NE6fqftJjeWZ+UN0tCjOi
cl2SendWlfGWStfJq5Sq/R6kWfIT9ye8b2FzRHa0qHYAEhS6v6XQSnfRbJQ2tDO0Aac8o93aFMxv
QVRNJy2djeQwp1bmDVS2OFnYqYc09pN8aeAQtkHFpWo3glk5GVhsHqSdr3gxTup9PY7CoedKdsxm
Fu9MMRSe+XMdhB8xTOy8Cmc3goHAQokyPXSMcra8IgpkG84cNEjwr+kCHrPUjWkBxpng8R3nVFHv
EcZXc8cURvNUNQLVQ2KU9odknJob3Y+G29SSR4iOU/ba+EV9W6uNDF+F959tlUX8JKXleCqrlhpH
pRU5uYN5vB/oHHkUlLD7O45qSS9HUIEz4appnbqX84cGbTmvNXL1YZLn+rvYRb9rqhg9X6DylXri
bgPzNflbS4P1J6xqowY0ppf3QWEWq0RK29IOZk15DIwiflYEI3loklDymiquEDERW1ApZENcMR71
rSSVCWDkHLZkmLbhHbTqfh9lVf3Yg/Nr7Iw/F7uR3qbHJpP9V02b2I3Ux+H2cCM6CIdWIayXnht4
DP39yMzsU/iqnhLJwvdJERAGHxGJscmQTF4tWoCnkH7uuK5EEVwDbm4wNclpyv3GJQU8vfR8uPU4
DP1sz3OY2nHYwMer2OE25K5wS89ogP6h0YdH/NjqLhJK0S3SRjxoXQHkVOtydVcr1rEJ+0PYqCc5
XEHeMB6keA7vqrbIj0oIUjQDM7SZJSpQ1XRr5pL4xJPTia3ACZUuvqmILq7kQK88xEH70DaC1lop
2cogJFiPDhrZJOhKKG21IgPdtYgb2lUqFN+KbGG1LZRa5iJ3Bx0wnOgv7EW5UF5UBWjR8ma/bSLY
eej8VzcSaJ4NWBzgyyP/2go4RsCLLShjWQhvMzO1et3OAYSq0YRiTgc1DaIhlwEpElqNQy1dAaC0
TmIAiY//zPRUeUEtR6bK6Rvi6iz8uFyRhVsaitTZVjP8Sagn+Wmyugxud1O/SGE6cNkUxm8lKzvP
r2XlJsNLfSSZrJ2yMu3cWI+bjQQJaicqXU92zbdit4+M9DafouieRgkUTZM490wxtm4SeUgTu9Dn
acWjKEqcoIcHbzcj8OrCrNP7oE/HR7WZABrOoCoTeTK+NUoRuypaLrdDR/me/TYGs+NDNhMPaUTs
m/S+ga7yRPIyuOnFrr6jk7dQ7WpOsm1aQFIzu9K6fRvyG+muaRqQjHP2Wyvr4Ai0a17VZiq44oJ1
4oEC3OoNXG0m7Wj/h9CoG+Az0ZpZQpyw/0ITmp0Yp5wMATCze5B+DOQNwJjIIP747HAz5W7knwFv
CqYSnjKxhenWGhPSX5CkvYzkykaFnrUR/bo6tllnbHHmdG7cgrh0H9a//8PhI5ES7psJyrg9VUoe
eTVaWN9gLlbA0CdwthKU8sSIRbutEaCpBCEGpz0G3tC0qitKgb/x2TaDkNee0kr5UfVDfDEzEO87
QTL30TjwFULBXEUSJEuxz4xNq/blSyG1ygPwy86BSK3+yhOfzoikzzciIjerSmva+8yQjENX1OOG
10/yB62J7EGOw9LThrx50iHYrs1wbHfJIGi6k8+BtEmLLrk3F5Io7hngL6hMzHfZACTs2BlJCvDC
CcJizrzEhxY1xD7ftqgkYT8rYvusGTivYg8JsSkVuOkVYFfIM+m6l+lFttVhHn8VLQxp/HmIU4XG
clK1hYBJlNEtRii3sML772XG86uzfFNdjvCFpd2NQb7Vm6Fel21WrsHhFKuKU8nNurwkxpkAV65j
faULf+riN6slw88sOK5HRQn4pyg4RUpaTrzO1LniuQvBzB4DJb1ro7B/9jsWPlzl7CZVNAuM8Vju
Bshwf8Bl5tTd1nLxGtSWeR9yNxqOkqbjuh4t/aRXsbQfpS6vXFmEfOgMRpicZn2sjrmiKQ9IVEhu
mHDZ49mG2ascUVLgKGEbnXS5L2dblgWB2FyhBFtkeA3Z1nWBZ2gK7dVt5FJ+1CPR2qmFpN5oqT7f
joij/FANDSU3fbDCypYKIYTWNggmiMM6QAlLokE0EiPTRbuFZGUjLq6QZSWHri3U30MfBq2Hq5JW
HtEN7TdaRRbCRaEF4jEdfzWVYRVeMkbB7wAoIyDcBuV9J2iSznJUxZdfRLMQqo3Y1NZInG+YXpW8
Uvn5RjbhESLW+WjymkAGMsD7pK1ueRJoZKJv83AGk2f2LKIpSZObuGrbF1YaCLpMHyiFMYwefG4G
nVRdHghryPPQJ1urbvZiGiCnqxYLGticcgB+al/4t6LKE9hRja7RN0IsF9syFjPASU05kyKV8fVB
QxIBbwwjC7ZSVUmt3alWwitcKk260PshAuFUFVJgI68xnXpV9J+LDOyZFo5wzXPRL5tVPFaTQSt+
hRSzqkX8BuizAHWBJh+KgEPSBbqb410qEsxTDmL1ydRyvmBnDcVqUCdWP4NhzZlzAhiU49PPnKZr
4N8VRc2JlQw1DtOgKaBzhTy9L6XSIqKhRBzvpaX1CPqreP7OMKULpNAIweIaTJgbCNB2G8owm5Uq
y2Wzb5J+pMBfKIc/epnVr3QEwBs1IUSufFWbzFUTm8Z0Q11Ck9tznEMoDopcqYDnDrF5a04LBxYM
5zdzriCzcnJOmRfEZtK53MKmsOkHaBeIG4MT3eklCvYHuVJ87u1Que1Rrt76aqgOMLl8UXfjyaco
PkQmYnDatvYXBS5weJqRBNaqFjNqsPFow5YVYdaF65dv6AzRHJY/IIWxU2X8V544wAlaaQHa657Q
zMOdguBaT9+5Ff3Nh0Cu7IZk0aOF2FO0UA2NO3iGU4G3EyUdLOC5/0Yk1/e3QZvw/SYExgObJWUy
zQLSbZynhrJBuou1GNNDtG7VzjQ3oKCn4DgkXRuuSBSNv4I30iMhzWDXzJA0NoWVAksUeemjuTRN
w7DJMkXAVy2T4DcSaH56wItjsmXiCXY3RPLTEC7cVrXQgFrHEmsnCeMFDPn2Swt29rZIxQhaeymy
JISxSO+1cu5MqHnzvOu5k4GBi0opr+eOd5ZbqUi2uUrcS7uKV/DzUqgJSJngyLwuIl+jY0hOWPcR
GTA+2aCq25Cg0H4C967ahjhmq3zmZSPHMKsRkm7Ce2HU0kNOYkFZBUKqvJjj2NeuyvF+I6m13mz9
XKGpoiksI/byZb2imONbHouMq2ABLPd5DbpymE1WxizrqAL1cH0hJldveM2y53ro1OGPlkB0s4sx
afaCLMgvnDnLcSCy8gJ14roH1A6/spcgR1MnVH/vQw4YoVLZM3VewZOkbDTR3axCe8iOUWl+CgKI
ZqrR9q9z18PBNAqRfaIEI2TiStcR6fZ9wUWUBRdlzvkfwFQPfxaZj9lLghZ2Nj/9RyYb/r2ld9ME
JqwSu6X1NzukYo/yPYWLgBojMQaLrSD1VulSsdN8xXqBORweJZOt6czZ3D7qkxB7k9503ztFyb/x
9AnWLRHf2PGRc1NB29domkLjM+2Bh/xDIi9FUFaSCtxaxE32Rjik275DuaKr2/GhCY14pXfmhA+l
WgAhayRpXXoJ+5uo0JRT6U88D8ypK3s7nZNqZyh+8KcessAVIyXet7Oh/+5VIxrcyGi7+yqPtFOl
qhOH8RC+UmE3/DHkunJRi5c2zch5FxdFENpUbObfKpO7V5B8pXajTJpvzG4AWhsn5rYxep6YCPTb
9cI4lrhEDkRaDBaRaB6LEQTxmw890+TlEIhDJWIkI/pGZX1jgZLNwU3IRX2txYG1LaeyO4WxVd3o
InFwKLut4FW+X2yDeNCfoceYHmWHJJ8TnucD7+tDNqXzd9w1Nk7hj7dJktaOmmpkvZRWqNDY6tkI
YoeGQWVWW6rAKtSaiKhndd3YbVuYW0Nus33vj9pm7qZi3cZTualmSfDKug7XVt/nx7HuioPum90u
MNpim7dAaHnYoOy91NrLk9weWjNNdrpa52utyYQVpaeyS1zXfF2OboJhprhLMkuGD2wF+2ah3nd8
66c+kNNdqFb+Vh403cZpV9wxTGdPZ724wTCG62o04NYSTnJa+OUPEu3Nmyi2IkeuxX4bz2hCtmr6
lwzZz9xS6m3Z5xWbhMc/ikChF2ay5ppFnjs56OS7sRHgvU+Z7szCnCOtU1KFY/o6P8ekebMqg+cR
mchVoybJYxYO/h7MT7dPSrK+mplAg2Pf0HoyNj3NJyB9RAjaTqNIbewRnY4cYnCy06fDcFe2wlNh
Ffm6tuR221lx5WmUKz/Hy6MryToeZvh2q4nYGp1OrRc3rBIj6JsfNfqhVFuaVuwFIWGaWOS/Iy43
/JkNNNrsN/x500K8TvOxfdGnoBJtEbzlOlGUAqkHw1gbYTNsuVeUk1jqsztljb612vl3JEjpbhJT
1ZPZ2rd6wxNGF0kLyXlhbka9aJkKIV2nALlwJnypaZyyKE07jXRxW1eZ+CeyihjIQNkMvwZRyL1q
SuPbVuwCp6Dq5XsvCAmcw0LKb1oJ1FWnK7/SGOdDClJzl0RhdGikXnke6jrb11ZOCWmrNt+CXs5c
oLv6/dBp/q9JEEYvNjLkN1IieRuNoBdBxJF+kjAID6msK/uuGPLfk7ZUq5IdOAqalq96BXbFSNDk
Ro7lfD/7vn8Mk6r5OVbmeFRGvbtlYsyNFjTxHSimP1RNdjtDa+uFYT5t8jaZURzxQyc1NX6QKk77
1JJoeIvy+jaC2cyMzQP6kHUrIJDUw00uoM18aypNf1arUPSMIefNWxPwsrNKi0In9C1zF/UEdPUA
JhdxrBdiLdqm6xV1Nc6qtp5qTT+ZlTzZ7GDJieIpXfVVYDkQgFK3DQmFw+DNj7MxG3taHkon8vEq
aq41AMKjvJM6BSyIJNHJPXbhJmutft2rceKZQd8e/o+5c2lOG1sC8F9xZY9GT4SqJqkaLONX7Hjs
ZGoyG0rBjCTQCyFh4N9M3fXs7j/wH7vfkcCRBDHJVRZoh8F91H369Ol3oxctruS1grPWX3LcEUVU
z6bzmU3vKfraqOvVtc6E9DNynVejjqbIozTTVn93kuVygCEYyFj7aoIak+GtRst074JhagzceOJe
wqGTv5JJJ7qmX2x6OlmFwazvqUFgrxY9n4HbHSpalal/3jP0xcjX55+VNS52UsOHp4ssjC9X6878
njzY6CKE0HE/l/OFxbToJ/3PMFQ5pUG2cq86uZcOJmTHnFnDVL8ICYPdx9n0YC5+ERpuBuwo+qK/
EQ0yVAbD1kPHvibnNAZxPXudPele3yc8M5I579emqU7f48KVL9dDHVUojzvnnWRlfpiEujnIk7mB
jqVkXP2uad7MDcP7mExUez3RlzaBPPdUgYc/+35ADDpaJbNLfx3NacEhR+F7dW65o4i2aWNfToc3
QYz5YU8JSHzKGVh+KAK6L+Df435lBAX58URc6yiuVHVKRnDi2QuRXTL9MvWdKQ3ofjzM2tMZzSh6
kFJ61gjBR57cSZ8yjgLXr23gJZ4iCzXzz+k6PBB634tOZaXGjjFCcB7oa/IX1ll08xRjRviDIEkP
xXIFmB3G+LpMkUlayflw85SAhBV6ttYPLtW/k4F2nX5wz4b26jMOhY90VrVX1+sbzKIvhyavHMCw
6EJZWZqKvTTz57lnz5kgnqST02UmbLLs8vUt2xeBr2xZkZBfWUalwNnyVmxZuhAaBC7U6f3rK+ym
g5KYUV2ikbC1iJZddzZniYl+trzLL3BbXQ2vggfK0MmNdMfyQ7ev/7mmWwqNtfzBob6E+093ZRMF
CSooZk8zClU1eEUkoWqiZRGxzvTSJy/zIyNSr6MP1Ky9nzgmNQbxw/K8Q5exJR4Ze3m+/DR9yL/8
8Ly1BkHE1ldeaKrqS131xVkkvCgz3d61QtKWRgfovi/5pkr3RsLSJIifFrKge3A5uVsStJud+syp
WGW2ccvYCltL+96SYoDVRYcRqofIfoixxNtVkLQCN3vKLajeJQjNnFG8GYcQ3Jd/U0WwIW5MOc0n
qHMCQR2ffDTACJrfTM+ZQjPq2Rk5xtn9fHZBXOFg19C9p5MSPgtBJ7Kcm/LH6mb4SBAMszPmf7yf
367Gy+v0gnT8Hv1G9Av1i/9wKK96L7pf12wKo7inTYxhhHOdCM3ZbBEOrB5KXLbUPstu+MfrzLN3
LWoUyRilIxr1r/XdM6111jPwDNqhotKcIunL8h9er9c38uT09ZX2UlKM0FMMixTbZq5ggl9zMSWm
wFRklEetnywvc+VA3eBuWREnzhItEjCYRIVtQwTJXk6+Yw7pgksOgjkQw4JnNvn3BoPND7d53c37
b6zXEDnGxEq6csZ6omtSNBj+EQ0wTrpXsOg5GTr6WXdAYGVyOiEX/3J5nt307g/l++6jaxXlhpAx
MDkUdEDP9kgrFepcQLDKIxnn9e3bd8yrywhGqhxzExNkkq/A1Bp+CsJxcqjLzz5GrMJviJEQZ8lQ
zmGPWIv7Fg0udcwwN5/ZXaIzP4wKhZEm7Xw0MsSYs1FHZUpqiaeG5K6r3oOZUrGxzAevr7BnT6or
WA0lzF+Hc99asII/lGknKSZGRBhLbstlGll1icd8JDllGVdd9ydgkc68Pvb+jyfv1bARaXCVrV+q
gT8xMFnsYGan+aNJHs7/Qa4uTfPpZEB3TqOx91qSyoFmJmzIbJwGEe7N21Ws/Lj8oZPA10Uaks4K
XcN48sBiPkn7nUlsd7q3q7nXcpUGbw2f/OH6yQhcCqcSt695yoMf04p2aR6q9t7LYl/RafaGU2nY
OTET0MEiP5Xp0kTc9pQSnQNbs+dYQjXT6DJlhVqCZhI+vXQ7T6RKsPf0mEgnwwf5ybwj59s6PSTH
9ggYmpVRb6srDD4hc73OZVo6DZZBQqmHibfypmMqWGC+8vfrnLZ3EdJqaXJDC+Kd/q95N1hOn2ZE
j1WydTJ9+bs76x66gw6t0Tgu4TzPfcOgjkS+8h5Fa/P5J+t2bkeOdzF/EBPylAOq/W4xcVczqVVm
7oRMbi1ntU66daIpC0VUrvgMwg7tv7oOqaSX/uUitPWBdUVHnU+HFKN9fAH96HtsGHtKpCnfdTM6
X7m2F8jXUy25GNLKOu8M8fOV0ueX2mjK+btf+TyKkxWRSy9rfHz3IRlHD1k6Hmc3TvKr+NeXn76r
f+Q/N5BtJ3NqH86izM9Wv+fjdHU/nudB9vq35Tu441gAuov9KPsY74D4rh8VuH0T0Mm4eK+Pq2T8
9s2IeE4m3s/14+jN5qvLx7dvxHyUX3YAFci8BiBwwDl/BHJHkSWteETT7yCO3O0XhibhD+GhR2Hx
lEtVyPgt7HfeZw+FXv9N7d2dx9CPbB/vpj/KqsjTYx5p/T3oN0BU0LckRJiMd2eDpIBYpYJmSDhN
YGlG7RVPueIRUQGZ2J4IFn0Ee7JOC+TiQchWidA1pR5tFVCKaCYlHiQJZD8iImgmo3VakkGWKAqm
QqTyNJjBUCQqFagvUakJEw+a1XHRgeo+UY7Q7kyoiAQudxNB/cLzVXbQi++psOlyxx0X/iolv61l
gikpNGbsWbRlKR+2uYq/pktM8dCYh7Y5L5iTx0UGhQLMtlygSQydEUIPMVs8jfuhy3lhwIgqPATb
74+LCvQrLHem1CleLuzd6/Hb94OiSvTCR4PSIGiNCXoSY2pEw3A6vRTPsTEBnXg0VYysaicNNIkw
v5AEG5knhF6TEExqoy/G0SkIYhQwZ7QtBVRDorxUp9un/rLVVQrolsTMAENhTPTL98d1EjjJYpBY
O0ZQuhKXLCYFMaTtgW+SAd+J6BVakuHoVCWiGXJrblAMqUt/UhrqY/xU8Te6El0vVNF18WjxV3+C
diAx6lYchJIJCiWoSgZdR3tAfegxv6h4UCaP6zTQfalXvlSLi6EnyT3sAuZFbOjQFIu6xKRHMVJm
ww7HRwaZoUFthQK6IpIPF8PGMmjeDobOaSH330IuFM/Rqcyi7Li9ymxKhC8IRokoRvHUZYOOtoAD
S5Snl2Q4OpVRWFCtyaBYML0YaMAor+1u12SDJtFPg1DMVrU+OjLQGaW1IdlR0BfQvnC7lVRoHgq4
AUcmhfwEGbbccmQikkYxre0oFd0ZZYAbYuM7aajQOiaGGOMq8m6K5+i4QRyK1gq0IdGEmZlaLzdF
w5DSVaknBl6SDHW83KCWpn6LC9MAS4OtflGPuHuqsgFPG953ZgHieCie47sp0Glaa9GacDMxSd3a
9S2pqBMM8dsoFEdoTVFEabYmQE9ifqCQe9+wJ7vcEWQdYURszIyj4wMhFdoeB848ujgHfus9aLAD
3hUCnkwCVTbul6OjAokv7fUFvOsWOOK1rAsDHY8znhUDHftYhYEYNNJae9Ykg7zTbjGwTyAKxKpM
1DG5VcpP6GhcPkdnUouho63JQAxKDCrgMDTw10yJPwtP7PEhTllja1kI4tRBoAFVnIi1/e9hS7OO
8K8VT0nq7wq8fMePXsKUp54fPBZRTH88r4RCD/5gG8bbBVAPUtZ+J2KaJeSvMc53NRdsEVqqfLkN
NRXLbP59g9/uyrW1tkht/3jhj1MnHVHXX4RXN29564TEQn8bpeNqfLGIrH19i7dvau9YOfuvAg0c
N3bmVbhl3LI14NBZx1EDcuH3bwu573i+U33h0pHeFuxg/Ajtg5N9odzyMmm7AqWCz/+mfhafPDhR
FldR2ATG2q5AIeHzP/XNLF2rbQHfOKkTec//qb007WuFv649bChynsbzeXzyCG3yYAtTpBDgkxBu
oJ+4yBZYCb1wubaFfuekz//U4JZ2+k+A6zz/+6XB7UUMsTXocRo54Zd8VN/S0vfYFvi9z1aOT66c
aOyn9QVKy/1nLHAOS7IILHMbp1lNNJISLCzCn7tKkzFLc6vtGkIUOCenZOukflTf6NLz13oBTu3J
nZMH9X0o9cPWwMep6yc12m9UrraQP8YjKONHNWlGx1ah1bSF/VvoJPXzuknQaAv4hi2cn5xzj/j1
9y69l23B3/lO/vzvFv8iwar0ALUFfB/zxmGN+zZWZHvI0ePzf6P6hW3Rf7ww1dtCR+46UX0nX4Kq
bWGfjptC/SVi/TrofZrfSzbSrj7YyOr71g/QSAXgUcBrvfsfAAAA//8=</cx:binary>
              </cx:geoCache>
            </cx:geography>
          </cx:layoutPr>
          <cx:valueColors>
            <cx:minColor>
              <a:schemeClr val="accent6"/>
            </cx:minColor>
            <cx:midColor>
              <a:schemeClr val="bg1"/>
            </cx:midColor>
            <cx:maxColor>
              <a:srgbClr val="FF0000"/>
            </cx:maxColor>
          </cx:valueColors>
          <cx:valueColorPositions count="3">
            <cx:minPosition>
              <cx:number val="40"/>
            </cx:minPosition>
            <cx:midPosition>
              <cx:number val="50"/>
            </cx:midPosition>
            <cx:maxPosition>
              <cx:number val="60"/>
            </cx:maxPosition>
          </cx:valueColorPositions>
        </cx:series>
        <cx:series layoutId="regionMap" hidden="1" uniqueId="{860F4A35-BB1F-4559-A346-B8D326F56499}" formatIdx="0">
          <cx:tx>
            <cx:txData>
              <cx:f>_xlchart.v5.4</cx:f>
              <cx:v>Bolsonaro</cx:v>
            </cx:txData>
          </cx:tx>
          <cx:dataId val="1"/>
          <cx:layoutPr>
            <cx:geography cultureLanguage="en-US" cultureRegion="BR" attribution="Powered by Bing">
              <cx:geoCache provider="{E9337A44-BEBE-4D9F-B70C-5C5E7DAFC167}">
                <cx:binary>1H3ZbtxImu6rCL4eqhhkMEg2ugaoIHPRLksqV9k3hCzL3PedbzM413133qBebD5Kls0M0UnbpWm0
EwUYpUzmH/++R/7zrvvHXXR/Wxx0cZSU/7jrfn3lVVX2j19+Ke+8+/i2PIz9uyIt04/V4V0a/5J+
/Ojf3f/yobht/cT9RZEJ/eXOuy2q++7Vf/8T3+bep6fp3W3lp8nr+r7or+7LOqrKPe/NvnVw+yH2
E9svq8K/q8ivrzap/9f/lK8O7pPKr/qbPrv/9dXOZ14d/CJ+0zOoBxEOVtUf8KxE2CEzZVWXNSY/
vJRXB1GauE/vU/NQ0QzVkA3DfHgZT8DPb2N8wfKBHo5z++FDcV+WwOfh3y/P7Rwef754dXCX1kk1
kswF9X59xYvbwY9eHfhlaj2+Y6Xj0fnVA66/7FL7v/8p/AHYC3+ZMEQk1dJbz/hxeVvc/vWv97dP
RHkBjuiHRJWpYRrqI0NksssRlR4aTFdlU9MfP6A+AX/kyLccaZ4nX54UuHLJfy6unPnJbXmwuS9u
/RfVFfPQJAaj0PZHygucoeqhqWoMn/nEOoEz33qsee7sPi1w6Gzzc3Hoyk8PPtwfHN8m936RPgnw
C2iPohyasFWyTJRHe2Xuag94REyoj6l80i6BR99+sHkuic8LfLo6/vn4tCluE/DqQ3pwXcMOv5jr
UeVDWTU1xYRLmbocjRwqhJkq3nzkEVzSI9BHAzeS+JvP9HUuCV8hMur652LUqsz++lfhV2DSbVK9
qEbJh6rMdF1WyecIYMou+vC+osAw7vLpO440z6VnXyDwaPWT8egqhUOKXzBWUA4NhSrUNPVPtk7Q
JCYfMk2nCiHks8Pa0aTlA81z5jMmAkeuEJP9TOHb9X3h+tn9k9y+gP8hMmIEWQNLhOBA1Q/x5zGs
EyLobzjDPBM+Pygw4Xr1czHh7BZWa4PsqkRM8NJORpEPqUaoKX8K2cRoWqOHjDBCTKQ4Dy+wbaoi
33e4eUbNfYfAs7OfzJRd3hfJbfy+vntJT2McyoYGz69/8vsir5D5mIQyFR96tHf6Lq++7VDzPJo+
K/Dm8ifTpzGNS/76nyfavIBRU7RDipwUfIGveXjtRmxjkcCAmhEkP0/vT5XoG070Fa48oSKy5Cfz
M/zW81/Q70sEWY6uQE1UIb1RjUMNqY9q6k8hwZMYPMbOiweZ58OnxwQu8N9+LkezmzicpyjXPVHn
BZREOzTg4FEK/GScTFinaZysakhrZI3KCKXnPM13nm6eUbNfIrDt6vznYhusx4taMwJjZqoodz6V
AODyp4yixiE1dWYYyqeSJ3RMsGb7zzPPmk9oCMy4/Ml0yEKVfD/231mAVg91Qx1TS+1RK545fVg0
1J5logllgOWTzPPh6TmBEdZP5uUfmwKInNf3H1DofNHCDGJiWdcYm9QxpwqiQUHQMRirbI/eXojD
eH2fpOXBbz5K/ge/1VWapHFalwcWWhZPqjRncOf5tf/bRC4+V6ffCnfU3uT2eQvhN4QRaJcI/YGH
Y0waOJN2CUGgA8ugKwxlwylJTBNVe5Oq1Jgnydl959+lP0iBnYdFhM/+fGbNHz//HN3xo9+FrkS0
Q91E+UCmqO1M8aX6oYEYQ0PAPuvMPgnlwVPr6vvZ/vwbBMzt9TPEv7dVtNs6mvJZRhjF5LEG+Rm9
KfqMPWQiMiWfUhX2hOBjmPX88I8O5Nul/vk3iOhbz9B/c5/cD/V9NCPpb2Dd5lgviP7/bbPst7vi
JQMudGN0QzOQl3zyHELAxSCjBL0YpnzK/bVdJi0dZ94cPT4lMOO358z4Xln8t3LiBr3p0SaWTxSZ
E8zvdOSofCmGjM7KJPWY6gzCKlXW1Adn/sAw8gT8UWe+6UzzPJk8KjDm5ifrJ/8W32YvGV6NLRY0
LD9l5Q//CDVidFvQbUYuqcxb8uUTzfPk6TmBIb9dPjNb/9Ga8lt066a3L6kn5iFjChJ3/dPAhSww
BHmirqIMJoMpTwybph/fcKKvcOQJFZElpz8ZS+LbIUWD/8l8vIDtQlNYUUZyf+qTyMg1prYLjRQ0
/ZlCMHfx8BJyEQj74pG+wpTPT4pcOfvbXPlqeCPBE07R0yGCOyL2+VDfG7Z8IYSIzuevFPpDKLzW
z0PVseY6F698HSWYMYKmixCn6gQjGWN+iY7MrDJ9PtbLYXr2PAex0iiN348lQHGKyYKDmkP03xoO
XKXJh7/+f/KiJUrjUGdkLKB8Ja9nGJaR8QnD/GQHhXDgm840r1OTRwUpvPrJwoGzsf7t/fX/XrLL
ohyiHzbW8T9FzWLBhVLEaWj4o7X8qDJCdv9NZ5pnzORRgTEzOvMfFRYIRuvpbFOjsfORB6XeNVb7
xzAxRPHwEj2Pph4+limfwgXB8yyfZJ4VT8/tnPo/fNhynGy5PbBuq9vioZwzpf6OPH0v9RX9EP7B
wGDfk5vY9Y9IXTRKDAXpy6PSqLv+8tsPNs8M8fkdZH59dW3934UCqPAQKLtMDCEmUFCYlQ2iotD3
+BLss3jmrzPjx3AWeC3IqXWb3R+8uS8+3M+41Df/AS71Gkb74PK2jl7UdKuHmqqazBxLr+MLPJnG
cRTD3IphsKci5DhZ98iXxxT72w71FX5NEBLl8yfL6SbzGE/0eYEcAprEMGiC6VIUA6dc0dghKomK
+rkxKHDlG48zz5adhwW+nN38bbvxbw1DL/3b+q9/vSBLRtumEf3LQImQ1lEM0CFroIb2Za5hqi/L
B5pnytNzAj8uj/7N/BC4N9lu+ByM2PCmq4dlkm9+9wFn9EeERz9ZmllNeiTq0YdfX5kqlbG4MPHQ
49fsWClhWmTnqfvbssLWChyyjIkTw4DDBn/Rq3110N4/vPUw0GUamq7DSBoasr9XBwla/R4ew3C4
Nrp4A65eVVGEgf0s0/rxPXaoKzISFs1AUR8z/J8XeS7TqHfT5DPJPv3/QVLHl6mfVOWvr+A7s8dP
jadlFCkNDqWgf2YqCBx0xAvZ3e0VdoXwYfJfJDRVKSOKZ/dZcNQn1bpsNJ5J2wlZvgkKbI1ODcI0
jIGiX70LpZdCVa1j5tlFgCUikw0arwNT28S9BklE1vkYoH4jJF1WMAOkwsQZCizcFJ+eOV3oKbFv
q1FpR2nHK+cPv9jsB0KeUQ2zX6A8wjAiw4lpkJIplG4waJgPrm93a7JmzWkabjy7vaxWsu0rluFt
Wo9nlgl0+X7Ic4AVDe1+sAqdZiqg51aB0RmF6dk0jDd1tantcNDt/TBQiNgVCSCnGUh4iUrRlaAC
s8JyaGnJPN8mscxr5V5hS+Qbv2FH6EYIJsPqkMIUBqu2Sz6DRQnTJUDwVIspN+o6Wceb6ERKP7R2
anurJYxGquyDhzGJKbuKvNTCbmRX2QzcbVSeBC03mLwylGFB0p+D0mHJVRWjzEAMbZ9dULUTdqFL
A9+OglO3dLk8eFaevvaUdkESkNsKOAGQSYgK60Eg8aIkqHKuq34EnMx+NVRxzmsW1bwomMwHFvd2
kiBY/y7VIvrYpBoFX8cuBBPkwox8LSz0xLedVlYATTut5OAoHUpzARCZI6JKNRVZPdUYtvp2iUhI
V9GWOJ6tvO6tUTqct/7v2UlnuZdvo21ob52r6M/vR041GFPJ+B/TR8Wb2MGWSLkfEVgoEjonvaJc
1XlyQtL2ej+YOa5NwQhcKzM5qcMekt86zbHiVRYU8aI0/UtPr4+oqy2o8hwhmaLqRIUlpPIY702x
iin1Kr+GkHRSY+vsnoUSL1KHh567wLPnRkMngGBgXMnUNCw27ULqFEI7NRv9SLWWyQeJLMn7AgAC
hzhFxaTxYBYMOjw0ruXVhd3l7/bzhswxx4DUoQurq1RXBAHPaeuaeg+xY++k687Or/LX/rF5Pri8
s/wb2efVeXQs2eWJfLUAefzmXQOloyQM/4vyr476ibqLnNEUTeq2QE7l/kk2XDs1b+1u4LJr50fd
mWsPEt8P8rkjQQyBTgIWNOHHdG0k90TeYZ0bNTPgJ03FvKlcw66K9qI2+3hBLmbhqIpmUh17bohy
duEEGSn1pAMcUmtbnRZ2yIa16XQL6MwIOoKkz2CY4JD9uE68JpWgvnF6qrHydaLc5/K526GjtM8G
zsMBg2QGvw/y7aKTpJleOToUKlfko1BSjxzi3dVmRHmj5ksiP7YERLFQIIrQXZhCWdEF4sH/5qHf
AyvnXau23JJ5rMA5ypv8oroPNnQTX5Tb70IQYwqj0R19s4YOuE4FOxjESulFuRHYYXanM8b9vFw1
ur4qfMP+e5AE20Qa7HrHpeLbSuHbfRJZQbJmbroaDHMBJzFce4bUqPgTYadynbWBqvq2kSjHatpG
9tAxycqatrU0xXd5ILn1SaVI+qUp6e0pLVqFZ5WmrgzJcFZ6mhWva58MVmVk+no/GQQe6wgz4LwV
VUHLTtEVVVD9oHbcrnJK3w6LW8f0uBfQBULPQ0C6T8nYzWWiFLGibOWh9u1Ul63EyblRn/wADigc
UCQxuqKJQkPNCkN1sQzzRToehWe5fL0fgKB2j0SaABBkxfS9LshLP7DzylmryfCGxsFKyRy7UswF
DZ+lFrIV5FYI7s2H2GQiK0HURFFXA5dGOiadx7vAW7BVgkl8QEbVNFRa6Bhv6KMzmEAYgoE4tOt8
WyYdWceR/LokvbGSfAPVq+8wVo+ARvOOhAFwRLbElRyGOWt8O/Oa1+pw4jh3URadUZkuGHnBcT4A
GqMLVR2tFTMECavyyGl7B5Fhqqa11TF9K1eFxx2vs/KGXRgkuNqPmeiqHyESVZM1WSEaVQQz5UpO
myZR69sab+ww4u4bdhyvYsr1mJMryoees3W8TjoenAUL2JKRQRNv/Qy4II3M8GrTTwC8tdS7fpXY
7nEf8IrrG8Wuch5s9iM7Jy8Umqsz6C7SilFiJ/KCmlEnGQHkpY6uQ0k/rjtn02lLdmhOxaZQBIqq
us/kXAZSAcnXrSyjCKBbQzlg9TVb7UdoTsWmoAT6QVw82mcA5ZHkDz8uzuK8W0qUn9t82FWsAjHU
XkwZY7ACPlERQP0K4tv6tfFaXcerOufNtrFaW7WaTX4DA28tcWoWMR1+U4F6M6wg7XJKisftvRIK
l1dD/Mavs3rdqnq6YKHm5Q9YwUvD4mqKEArXWRcxVQKYCiLB/e2wZbb62r/RrGDlWPmC91RGD/RM
3CfgBHtFmdSViQxwymvP4XXBaW9FCqcRZ7f+qjnpa64eV29SpGtr+dTcRLlFLNcK7WhT8/2SM6cK
oCwmmxEoE5UJmOdVGJq64wV2U2RIYgpLT3s+pLK9H4wYeD1o+BSOgDLRKq2OGFRO6S1CV9lRvOq2
5EoreXsXMS6fFhaM3fv9UOc0EF4BcTIqZOPS1K70pIwODfOgFrXPeO0fO0jidbm0gg5XNezzC3Ni
OgGkCsFy6mdSnA3AroKFXjmuJh2xrK3X+6E8iKEoN2ASwcweej1AbBefUu8iecjhScM32VF+3lvF
ul51Cm8a3hyRLTsqVuFldQ65IYYlbWLbXy/lv4tnEOL1unH63GRuYEtFENVWnjcaYtqUNR5nel0S
rhlZYjuS+UFR3PiUemV9PjRqsy4i5m9gPjKLJAG5bQdDt2qflpcsSQyr1r18Q5sYBbKEOpGdp35O
uOOQxVLZnPJNiSgIhapVYcs6ELGw64/ZUf9uOPHsZNtZasRlj0v2kndTRu5/nW0YM9tlW0tDzY0S
QCTX7EyK1s26t/ySSzyxw3eS1Vh9dWx4vF8zn8d2cJxsyELcMiufnwWHjL3DqcOjktTWeYETZGrH
i/yuWorxRqLtQ1FQ76EOetZ7ACAfO5v4uNkWq+xc2S65g4eaxD44I3MnnltOiML6EnCadfsmXjlH
Fa9W+rHCg9VS3jZrGSc0G2k6ARWGBe2Cchh1OuLUMREZdxZx9QUDPOt7NMx5oHiAXQvMq+3CqeQ0
12OXjb6nOG3f6CfdScUZVz+2F3C1C3Z4FqkJMAEpOUmHPOkpAgVG15LRbPThRlWyBQc32oBnXFJQ
b0TJm6LXIoibH2tF1AVASS2VW5orVmf6az/INmlq8FRSjoo2ud5vG79Cxi8wBQl0fLmu8gQwy1W7
YlZkx+2R8rZeDyuoVLbuHWsB4MiX50giNEe4jF6UmAQOQ9EYqVmNAJ1NYpOTobQkq7PMTboOQu5f
LzViZpVY+QxwbKRNBTLxfSmLC2DYmtdFFnJWLCSdX6HhFwgC32jsxYEZAkL6Ubbcbbmptsp1bZdH
oydhqwUCznrnCT4Cx5owC9pKhoIV9rBmb3LLufRXsQXhv3C4wquNf+FeLCnAbBSrTaAK6hYHSODi
cqSi1djUSmzU+d179RxgCUqD8TrapDoP+wVxmVe8L6QVFC/vy8rMct23aTWEvOjbbV95q6p2MAq8
LxKZD7Qm+I0HmZotP+kcKc0DOzitTuNtbnl2xd0jg9P1GEFKKIjuh7gklkLuwfxIqaoKxRClVLli
nLXZ49jrtzYgH0PHCUZC1NM4YWT2EgAEdXtEPHdT5g6uJlyy97MubAJGCGy0vMmKugDh6Mbdqttq
q23oWl50YbPkwmQVo+hqoUks8EdV+1DLE2RRUVbe9lFw45uLLmVWsyYwBJbIbouKUosKWHCUe5Z+
Ex0NNiBqfxCXRzrXNsOqva4g+uslBz2PHQrhsozWPO5a25U+ylKSZ+GIHXWhUC5vpSUjNVca0VAU
ewIhaJJO0bKlOeyu5HH5GOWelR/y/F21zV27s5R1cVy8lreRpR3V8YKoz/q1CWiBd1Ld6o7rwnuG
USldKFpncM9RCqvNe/kkbhTzY1q77qmk18H771cyNINQsFZQ99cfrNpEq7NEZ62aA7LqXmYDtarB
XO2HMFsAmoIQhCarFSlS0ABFI23V/cmOVRtVcptkm3zj2GgpQxvotieW3vIlXzrSTXSlU9CChqdD
htnLGNhVbbClrnGs+NVHmgxX+1GcE06QztBl9IbQjBccqJF7fa2XGoiYXqRNYMXSUg9oFoKi4Not
hnqnRgVE8oDqjuNEgY1pEN6Ul85S9jJHKbTRPgMQjFQ7hKVUmAPS9TA69iRt1bKAa42xIOhLYIQc
ifWxPugOwCjsRA7PCW2Q3CULQOas1AQXceSjblmR6Ikc2FERm9wN5JRLkvZO8olVS9GCX1zASBNC
G613mOFQ8D6O7welsOPsSPV+IMuaIqTsGr9Y6cwQe9No53eG7VXDTSnnf/yACH/hvybY1840U8OL
QbMhda1Of+uWN/sBzOb3qJRgnBH/ocwtECqmihu2LpBoLdkqjkquVZxqsATGKY2sbjVW+Vw7vFHs
woovDJcb7/xqQTLInC/WqYqFUVRVjGe91EFCbK02SWBr1Wa0RTWGgUwrPXU8np7qm3izobw+Zdt+
q/KldH02Cp4CH0VpYmsTlbFYG3WsXJE1LmheNVu55b7Vr8lK3jq9vZ/isxEbtunHCSsNqJoCxctB
oWhKUuj0unxDTseI7a6x0qPyqOAFaB0thKKzRmoCTxDTpgukVFYAT0kuWVqutFhZgLCIkiCmTI4j
1vqwg5X9mIx55k0Y3PWX8ZFs5xeGui2jM81f0L9FsCPmE86xOE1RZgFmmsdRT3W9s/S83jTb8DQq
17JzLG2ilbuW1vsZuERPQV5SudPjrCaBrfqyNRQqjxhu4dkb1I/0Eh3kVEQE3ywlkVrTQAXLNjRe
KVZpDe8rlAmGY+24Y7zYLMVxi6QUPBl8ZUhVBoiFTdZGbqUY2Ui4cyRZ6gb1FhR57GSzhOeskZ5I
puDdUs8thlpWIDbO77X0gRnvnUWvM2taJjAE11YaJPdzzJMhzB/noJptu5Y230DA/SzDItyuLFZa
OlBsWASwo95Nhyr/JrCdI3djnmXnnsb7rbf5W0KCq8B2Ibp67ZlmD9+A6iKMiMPHDN6zfctjJ962
OouQCewHOS/5sIcMs6G4mk8QEhJKWuCO3igkmTVk2TpOox9Sri8gBJHQu0I2nRwgaOuvG8k5qwu2
kFEsYSFIRNE3md+qsPe1TnignMUoZe+n07xcf0ZCnKWRUqM3/DqE+hZrP414TzQutfECqUZqPzcS
X6AI/K8Ml5JSARQnZ0dh2Zyn9YAhC2alNFylHv19P1JL4AQ3Iidd5Qc6OCO3A/fIXdUfNera8E80
Jfub9BPciRJIxWPUa0gFlwPX1pUbI/MWmjhLCI1yMvEeYdb3rRmBfr0s8bb43U8k7na5xegb1euO
9lNvQejEZiqhCUtCFx6Smhkn9UeFRQtEW4Ig+Iwo0amujprTtKaNoSceaOnm7yExUnRCsTj3Ogyf
AUQUJhyBIzeyBZ4saY6g/n1Vo+1dZoGdhg43jbu2UTZtc78fjXkgGP7FmKKGCb7x/QkadVF22FyA
AVC9yM4idtLmxXlmKOUCR2Zrj5hF1LCVjllzJiaguuLlvd8iUtD6c622FMuzaGqhlWbRG22jqm9d
awyulyLaWUmYgBUMA0kMj2gqwJqFxgPD54YxLNgeccD4oUg3RU2wBllQuB4xoTx005yW8plsqbHF
0DDZ6ivvPKVWIW/r2JKOl5tCS+gJ1kF241aTWqgSYdWfpIxtJ07e/ICETCg4HmEiIVXnsZ7lCEx0
/X1SXLRpYHfm34QhSGFRqMjn21GZIlAuuzXTgDdBYe3HZNbITTARrILH2kHK2zH8CVtlI9GhvK6N
xLd0p0p8rmWua2uN3tr7oT5I9jPfNAErWAopZa3eYbgdAayzQZywcY/MzZhKLlVxZ3V5AkgwGDRR
cgyZjpmHRC0zJ3ZbtTwzgyWERp3Zh5AQNCQuydQqhk45ZwVa79JVKmGmWTtWV/02TBegjeIlAkOL
CV1rXJhAsfSzK36Bi1Hc3jB9O6lcJIl+qdkmTbSFOvvI+mdQ8KMMuDZex10nYpSS5fDowzivpPfM
ciV5nSjaNu/YtVwkC45jjksGRdSo67hpQDcFlTXNQDExGAtQ7Eryb6r8JEwWHOxsGm9o2JHSsJOF
S8CFANxBxFPKDYjm5pa/zTdjZ8mLeIoMNFihybPaL+Kz1GMYoNExmY2VBwGlPkmyoVfRV+p96bjW
NJ37SXTK8viCxMOPBJTGBNgoMBN7VMdOFkcDCqat2V0Q4h0lXY2Ut3AWBvhnBQ8b4hjAwmLxw87x
FE4bDZFc+OBTnd8hXOGULsjcrCBMAAhuQwoMkiQjgCF7K8PYxUlsKe39ftbMYjH+7As0CAKhCsZH
raugkHtUtpNBstzEvYzd8uN+EHN4jNtjyOhk8EXU0EbKdKeTYd/axrdqteVN7qP/8X4/lNF4iRpq
KhgUwAQqlhvFqVBNj6JCa1EWMxPVyqKL3ijxT7s26AeoUETW+8HNIjX+Wg4wQ3Injk+VZi61VIKv
c+LinUGT95FjdjyV9av9cB4CrGd4fQEkjk/peks6mozlPq7esd+NM2z5Vet2NdgtBp3Gcke6aU7k
jFNO77w3Zcr7wpbtcG3aS/NNCziPW6JTiXerVo5iH7Egoud3eq+eyQ1G7/y84/txno0FzQnOguTr
NSu9NscAdrnq7PZKf0R3k1vF+9Lu7SKx02vv9/1AZ5Gj5njPPq5FfDZq0kt+iHHvDsi5mtW3vYuG
S+TyvIoXODpnDOFIIKKGgYq3OBtRSSFN+hDqgIlR7vvhaiA3tYlaclsuxDOzZn4CSpyKiGlCSRKD
jq3VP0TUwwlWbzBMpa6yzdIIxixeuKEN18ACKdyttysdXuwz96HEkmbDynPUbUL910Yhv9XM9s1+
Xs0LyBdYYrKAMQXT8QtE1ONAdnOkhKs8tcL77I9ipazJGbmX4c9Siyz18+cpOgEsqIDhhzpL236U
THXNrGAdN6vGGqwHgr4tF7vVo6Q/0/4JPEETYHiG2C0QSjVr2YoHPoaHFa//VD9GK//6R2qMuKYS
o8yIcRDoCM4Ai9Kti5t8EcCz8Ai/a2RJ1ftEX6hEzyoabifF2pv80EfZlZPMcFUXJUHURuSED/pZ
ity47u8XJGQ86jPCTaCM0jqJAnLiaEFBQLge48PRuvuzQrVvi1pPzv3NuNqJOD6oTnsb4zuLk2Rz
TtWcABfoGARDJZspUKzHbZ/yvHUWuwizgjEBIcTyQxY5FaY/xpwSpVp7OFHzjW+VtrctNoq6XRoN
GpX3OTlVA0tY+viLFkIE1zlmqeQDyEkK52QoPKssGrvCagfuyrFqJ9lmgxRyzem3C3ycl5YvgIVo
jmZu3LRRPJow2SI+J7a6VSsuWcpRbWMM/K0i88iKF8qeM1CpRlVMgmj6OCsiqF3UZ1FlRhrUvAht
WrcrVZKtvE6XsJuxmehrod6BEgNWZqhoTiI5ScwccIIjdxvZLoyKZ5E/mMrpNcNU0jhx5Wd2/H6B
qiO7BHbiLgaCn8ok2MnEFae72tFELuYc6xE/tPFcd11a3hoDKRR7oNlVoHHveEmAcE/EHEjsu6pj
LQkM3QXpxKGitv5DzV85dreJZFfEyrbalbbqrLbhFco7dcWzTXmiSVy72Y/xHENxc+h4nyu4iRv4
dqEPcYe1Fh2pfRZcuV25dfSSI5Lc7IcyY3QoVkBQdoMBw4yDoCWJ4g163Bghav4N5ZnaH2uRYZkF
UbgaJXdG5C7tQs3iNYEoqEegeW5QJnpo6xgOb2uJD3WxzvJhYQlkTk7h15EyUuSMykNPemJNa7/1
kkhHpYAOnZXkicW8OzVoLan9gXEXkPAzpId58QmkyqGln8lhZBdxw339PM8MK5R7vp9RMwZ6B4og
Drjin8aqKsFABz03s3u/+7AfwALBxOVuk3gJ1oUAIKv+yORoFTY3URlZuO1ivR/QEiaCyIWmlxk0
A6BE+1gmtVVqjb0fwqxQm1inVlBdGacOdlXHcZqs0XMIdSB1q8z3LSXzuTcoJ3L1Z9G93Q9sFp0J
sJGuE/ZjpR/Z6AB03KCST2lv6tvGNMgCSrPcwawYrsrBIqwprqO3VeJ2bg+UCjdCFPB6aAeLSj2v
5XBB0OYiVYpo+DMogXpqM0RtUpuhrV40trxK1tK5e6atzDOkMVzZYuP+hCxVd+aIiMszcC0CTBiq
6YJMxFXQal6FrWrIQ7uqgZu8VVbBGqV0nsQ2zF6UYJViqS8+Z4umYMdjTXmX6LjQgICirqqv0ii8
khTK3WRpKX7Wk0zhCCStMAwnDZkUYjM9aHjsW8ZHZfg9XEkrRMa2nqG3x9l7802OxvJluDjGOefI
puAFES2baOhqE9Q1hsyzpHJsIlU+GjD9qiGodjrkpCXh9/d6cKXBF5YK3rNFjJDjGo3I7hr1eHBS
ztpsRbyFeGSeg7C+GLhBTCIWNbqexn0YoNFTppd0uHGcbhU1i1npnPbpuFHoExSxotEmvUH9AM6k
tYZ1cWmcDWs0+LB5tjZselFqK9diW8le8ixzdmwKVrD5QUIqL02BHNLU1wbZZvXHzmk2iutYquQu
6f0sNPTLCC7Hfliw21UGLTZcV+oBrYUKEjvCSPNxl9r12/jItQpLsg3LXxfN1sQapfXdNhQDDhTz
qPhZTZmIWVxTS3UcRg4mD2rfap2h5ghM8gUEZ0RlB8ioJRNlrxTNpYMGP+0b7apo3I9JQbZEGn9t
Zt90zxIYoaiAy3iVsu3DEC2L6rygGA6pVdyQkjb5/X5Ac2N1U4QMoSReB1VWZiUgYRvvNMh4XXJX
4+b7/J1nN4iMcR0D41XJzTd9wrt7/3opQp6bLtw5gSCgJNQlV0vAN+eddFHfZmuoXmDw5iTCHUub
1tYsLLY479ttFXBsxJ0+TBmt9pNhnt4oAZi4cQlDuoJx81gQxP3ghrAzf9AQTajAtFBC3w9kblNN
o2ODA8PG49VfgvAYdWzkYY9cQO6tseXlrcHTbOV/UK1i8wNdrx1gggi5pC+Kbhw2KuiKxXTroLaR
ugsRxRzdJhiZgvSYHmqjXoGEKu22rqfyjJ2b7dKox1wjeYqKOA1Z06bpMSU5TjGN+zml5a6UgGfv
UT0kG+1h08+96BIrXqxDzZizHcjKrrrXfeeETQci0g0mAewmvRgHqKRVfqdDJTEB/SdSG+1hh2bJ
bs+FUEjEUS5CxUkmmHbfhU0SpSn8BrCd34c1nOxRdmGe+xqKHXqEXSjsU2DXF53M/UI646Ug/jKu
acdQPFzVyPGJgfPx6zkK80hox9071T1pXXY0ONi6rbwfMNdTQKLKBTqJ1XGenFQrBA9bXRoW9G0m
HtSQuaE1Ajzg1wUNoFqsebGGoDru1bcsK0+xALDk8OYUYAJDbJDqQ18lYYw4t6wiLg3vA6/gnfrH
fp4sAREsZE0zNaoaIFJgUyHnet/Wx34cZRvSB0v7LHOl3inVxBqQg9vpGmogtR49+KhsYc5DK+L5
EUV0or7dj9oCj8bfUZuKW2Z2aDonQE1S7+W+405/tR/AEu2E6LygWV04mEKx6yKyqszZBlHIQ6xA
/T0wgtokmEmqcBUw8h0/wB4fyd4lRphsPKdYINgsPuMo+tgmR1NZsEip3zuN5yML0DCsYdee8brO
hswOY/luP0Zzpg9ta3Ps8wKe2K9R9FpmGgWgLMvtqG65O2AUaexvoH6dad56P7g5vDCjoWDDAE1M
FOJ3BSH2jDaOGngSJYQUVCVmhc6LxdbQnLgxFbsyJtamsG43Ij2xbgkLU9gA2FS3LO9Ugrtr9HQh
ZZmj2xSE4OQjJGlMGV2i1pncMRHhO4Hl1heya64M9Gf2k20JIcHGGSGWJYJQC+3cyXjR3RnD0oTa
PD4Ii3Bjho4LQQTG+E2gyY2EOSeKXnwQf1B8nY9lvlJ9l+k/sBKLFuEXYIK2JiXx0zQGOixzzrwu
uiVO+0YNpQVtnaMartDCij3q3Ioq4uQqEUkd4oS2EV4XXrFiwdJ4zpw462jz4Ne2oKNYet8VND8K
zcYPkLhqMa5u0N75FMPe3o/cv4Pr476AEaxBEWOvXlERt5rX4flgo0F89r+kfdly3Liy7RcxgjOJ
V3CqKlVJpcmS9cKwZTXBESTA+evvove53SW6jhi7z1tH2O4sgIlEInPlWumpw3BevXMftYLOz/In
0uavfe7aIACsooq+PJdBabxyOjuRcSOXR577DI9DIjvuZuG1MWgr0BL0wGp0sv9NfLiwuX49Eybx
6lwo83Coy8DNHNfPraI9OOAu2OiC/O7qrNoEFshvQFG6vAWQfH3+eElDpFZiVuXvbmf+QW4J5viX
qQDXofbD1xt61Vku7K2+ItBXQk8s7OdoHBX9WdQFuE+cDZ+/+s4C4w20dcHTBD3X1UEeNFV2FmN4
U2J8I79Jbtx70tHRT3YWBoy4R4Kc07j3bOChSnRiblqTllvx6jdj7npvL3/F6oS3bs7MVsVrD+/N
vbOzQudnfM4PLmaq8gB5/X70Jj//z17fA0LM/dyvTEx0taGx0ZG9mupc/pblu1zcBmxK9Wqe8Vuq
4+gzz3hhsGxTlyqH8nHrPXYlscb9Bmoq0JADS7duJc51B7RDD2OsOo3KDakA8w4Z/zf5G+yArhhq
8Hg9rKcaGzQxJ9WGHTNaFtUymgS5V+75OTtMm6Pr1+oHn8ytfJcPTqe3Fsz9hztBUnkaW4qurJV5
0vRB2RnEtAnrtzYPhpfa9OXWsNyV0/PpF6z8utHL2SoznNZOz0PLZhGR7TvR4qevD+mVO+OTmZXj
1uWoTZrMUDiXIIPQK1lRHTig/5uRlUcicciTedlNqe0Lu6TlYG8Eb3PZjtUB/LSO1bvL4CC6jg2Y
QIGsBcuG5i/nLvfEUq5DDUj5XZJ0HuRp9m2v+WEGKUrMtpcGoOz1Qfd+64ZFIPfurrzTfdOlEy2i
bCc8car+TU3v049d5WtM4nZjDapTpt0+Z5n6olaCb+3ItQ2xwUPpADNEgAb8HAUEqCL1YWnyAQL9
q1PSc5WIrULCNb4nW70wslqInSQ55o1hRNl1wdIPmVWagphApa2xtzAY7vWgtRdRo1KBFioSVJCU
ftR8I8u+6sQXP2OVnApd4HZo8TOQg8t71azah0Ivuw0vvnoiL6ys8gPSg/xyTorCr5gT2tLwc6Z6
MW7srw/LtXv6clPXj++SS81pXazGjNp9Gsw/izTMvTYwPJRH7gobHdQNX7nGiIAZDawNM1Xo161T
g8G1ilosV8bS17LCPHCqfWsf3PJnfjKiyS8Ca9iLPCqmqLROW8x81+6QS+urYOtwU2g9QxIk4uwh
rx9M/S971gNz6oOvt/aan1waWsXUAuAMx8pgaHKaoANfdZ+lu69NXKtvfdrKVUDNS6PSzNkB3exf
NkOLmGrHBVmmAJONCqwr/OLB3G2HlGvOebm0VYh1BqdAtx9fULA+jJshUJvGH+Z5Ywe3zKyiyqRU
cSU6+CZPRp/HAq3jkqrgdfx6F7fMrOIKSNYWp8BqrMKipip/FXI+prLaAEJs+cMqboy8a9xpxLca
WHmjTk3obtU19C0Tq6BhlInSdRxBY0lPG2Djnuefxkt9ZvAJ2x9Bv8PBpbXkE7rfn/SWWvjvOlT2
Ww2Ja8+bS8dc04/XIKtJzAx7mu3TnebSGDDL8YnlXg7zI+QsaDYf0vm92Xh3bOzAolRzmY7OSRy7
YvmWsQO4gZaoj1z/F3wnNhiXjYV8XF/uu882qh4CMZnELjtypyadN1X2RvC/1uW4NLFG3+pQyNDz
GibmRoZpeju5txrS3LSIaU8qKrpfSTuGKEF7Y91u3G9/Bsil7w9wOrRBUMVc13ekxl3exxyw/sSl
I0b+CUbbElcJ283G2XVTAIuiX3ylhlDbZTtYGkyl3/i30Ze3VYjb/VbDSgHRAxNH1L/Vpy2e2Ctv
lmWF/5hdRU0F8EekiDBbiH31pPkSzBf60zSF1gF9iM2u/5/x5bO55c8vnkilMTKlJDCnmB9F8Zrq
Z5JtMBn8Zsj+nJF+trEKlXULolCoMWJJncaaAJN7/eDJcqy1XW9LhRotGfH+U9UCb8Yp7QI7z1Sv
s/U6RJWP7dyi1HzbzTOvdpX+UamauqOyYBy6MJhl4/bcv4FUJAlABWFilK5uvaaW42smptnT88kH
XZmfJIPfjdqtGyckaplme5XpKDd4mbN9UrZOYClW6uVD59yNpl0fKgG0YtbnWZSUuRFUaSUOlqE3
EfzfphLgm4lybep3SqOp59Ryp405nCt4kOUpiSIWmu0ueO1Xod+2ucjVogVvY+fxvxYJly4yfxg7
UO7vnGdMgLyqR5eDM2+bnOlKiPxsexWqbBOsjTNrlrK9oRyVeBo8YjbsWaqKtTOU0hoxzG5aH5g4
GB/NptRoJazpZnKdNAka8IBEULRJIhNzM9F/eyF+/mWrAJclspjUBGxjqOvlNDPTO4zN3BCR/PfF
g0+G1o1z9OvSuB1/E6rFhyW+Ba7fgwwH4kciSvyt1O/KQbz82utpIjA9On1W42uXFYBNY+8ZxlPz
3089f17TKr8cZdl3mb5QqZqMltajnT3L6v7rD/QbA7g67p9WssotEzYSiCVgJaC+jdJdl6DPZAdL
CWbpNmFK8ybBUIMnX9WQlZBaAmwETKFbhajr++ku8m4LbvV3ULoIbKS088Fo+0Wt4teU3HGDecQN
vl7qnxf6sp3/2FgFNrsA48LkwEaVu9TBVI2Zbli4ctl+NrEKAsXgdmBAx4ihWxincUoeSiM7GDPx
66nYGYnd0FHT79V5MDwmUwbiAvLy9SKv5PGff8IqFiSu3Zb9QtSff0tvR98JJ5PGZxKYtPhR3Pa3
Zah8LzeMbu3s6pQ3TsOGegB15mwPXs6+Ge7rxqo2LKyZyIoaDJb6wjCZFpi16SpUR7LwNxNpdTf4
uj/tlKfk/7aqP0p3vQ6CNQF/0btyT1rozsgtQosNt7dWJ3wqmlHICR+r7H7mjNEerxLd3TjiVwAb
n1xiXWpmwJ4oTQ8rZmQf9B9lUFW0vSG/a6vjDyhLBShvFIdu9/VH+19Cy98Hbg1wVWbNaYBBX3Ky
llNXi0jnae/OO0kikQZLcEmj+LEsPZHvJ5yI5N5Eeui1p+FmC412pVLweQ+WL3ERYBiThYrzj99S
+sWT6WlU+0kA3hh8OyT3TuBElqfvimiLQ/dKXnoZdNblrIZj6zuMnPpCSGQ1KdXFoSoe9enX15t9
pfL7eYGr0CPVQh2GHobUA3mte2ox33i1wvSQexWAOn/F1PIGEEuktHmsvfhha/Buy5XXcceYeGcr
uEdmNj1q5vBaWXlQWvX+63VuBYJVqHFIa09djGXarXvgWec39WZVafmpf16Jf/vtupAl4ladioVA
v8BkK/NKYHw7P3tECR3Mtpj8nPYdOiHgNv2J+qBj0C26siuVtE/fct2unB3p9qPEgc2O/IeVogSc
IJ3R7uO7pdALhruNe2vDSf9AMYx5xZ3l2hpSFgEqjoG4R0PTfUzZbhRIFi/8amtX2QYkREdTzTHy
b1iaxxuF5mI3xd95+5pN9dbTd/GFr4wtvnRx5jnebazR4SvDQaLx33ilpEWH4mQRgsBvnjyXDseS
BdpfwqY2UPBbWeK15+Hl6V9zCBFpgrdK4tpyHvWDFQKX7cWh/mp4JWiet2LcxtFYCx+2Y5XlhGO5
lqy0gIGrLRizpA6/PoBbX3AVZ5I4dWNWYUk9mc4xm+nUGIHZtueq7V+HWWwk9lvmVmGlUguD4zkK
eRk0SEzxaLk/XZDd9X1JbXfe8M4th1kFl6pKCk6WYG1G4NWM8sgAD/M2Hc5WjrauyailWjbOwuMB
7TMb/ujspo/ijoUytClBwDnbOxZglOrrL7d1BzqrRrqSxqRXZiyvD8n77LPX8QnNJA+Q15hWBS2f
Fq/UfrHDVuZ9pd/yKaCt5b/sMZuybFHlGrz6mMS3ve7rwfCMiVikIflRA2cYp023cLPc2GFG03AL
v7lxONaAJk3pnL7DhIRP0Fafq/bWkM4G1Oh/eYb/fW84q3hjgpyFxyZWKXxQyPVgeQN5PZo7C+l1
57U/jGCbznvTl1aJTQc1uAWYunxUld/MPSUpNXweES/dq51X2dT6S7Ex5LPVQd+48J3Vc6pPG8K5
aiPcxKcaZCpO/6Zb2sbNtHH811UVQEQx4ThidbPkR1YSryZGMBAtsOODNWxF0K0lrYLNVGa2jdF6
ENIw1LmBtG+ae9ltgROvuiIBWAdK0xZUrVduknWEJUODNY3jo9pDVAGDNF+f9KvruLCw/PnFxVeK
DG3lJX9oeU+hpUln/akf/kuZUwChcagvrKwcYNQzrchKSCpN5DVp3MgAlgAN3Y21bO3W6r5Jk8yV
+SjQIJ+7WyKzg6VOG8zTWyZWn11R///jUgc2sOZ7p+MbqcjWB1ldLIqRq6nR4ZPz2XFpPTtPpG2g
TTn++PrDX3/q/fNN1oOrXV7VtbpInoDTFM86oONLIImGMSxQkURDdIxqr/LYqVCiry1fO6gGJikg
KrCoCvyGO124HJ/YwCH7iJfs0HeUFOi4QqpkjHg/2aeRWe865vaDr21e29VLm/pnN28wOKWgboTS
lTP7Ov9pTxXiwlb7/OrLyoBQsWkQ8CxB7vmzGTNrXEcmSzaeUicJkokqGiXvCSIrRtYXsAYb/EkD
tjAwwbt9rsBgvMXjei1DR7pqYXcx4IFp/c+/oY0TM8EkDBzIfEpkF9TTTlgV1cDu8C/2FGglzVr4
9931wIHUccTGAa3mxrpR0527qLO2W7zyVz/chZFV5Cjmhs3jBCM2OTv1PgelUPr963VcvYwNzKRb
GvR/QDKwfmlI0srRwVdjexQf+G+q3YQ+tFSizea3KGJupRjXV/WPxVVcj03eE2je4wU+1b4Tvzau
xAWycc62jCx/fnHOirpWGjubcM5QRaQkVuKQZLEeWGa/FbSuhUUwJIAfyLUxcL1+hfJk0q2OYD19
PkDt7aEtxg1nu2oBg9PArroOIByrxSSz28x2ifs2lhmNnZw6yl8bbrDEgPUbEJDRRXPWXqSAV26Q
1oMZ8wLvBxmonnyowhzMNbOHtN7Xb7YqXtfWc2ls+fOLjwOQ6tjL2gQZWyVvQA4UgAVs4zq8Fggu
Tay2DPeImEUME0Jvg4KdK1uLktqlzfDvdg6KkIBHWuofsNuyLaTVzP8jMzD70qsexxvHc6JmEc/a
Gtu+mseaaKBB8xVFeui+ft67JGV6kmm/zbnRgm9rZ7+AsAE+luEVQddCr6sA8GVjP6/Vei7Mrp9i
imXBzfUBONA6zijkwvqbdGqBdJ3jIb8vK63bd02uN3RombUFAr4apC6tr19kqP1CmAaLdh5HH0yY
i1yrES3aWvxohsKrovFfvKcvLa7uzK5OFKnl8J/eSVC7emhkh0utCo3mWOpbEeRasLo0tjp8BMiX
jnEYMwx8QW0KyPDeWtrz12d8y8rq1HGiqazhiCITGDHjFkROVT096Ha7sXXXT/ffHuqsjt4gKpI2
KlZjTW0woCuG2u5GJrq1lNXF6KIrVQ+VA3/gvWdpGXQ9ROAMu6837FqudvlZVslEnOWGVuvwuqwN
KjMy88euhIqzjZHwdoM9Ut+ytcqtOWJ83C+qLq0PqqZ99X1U/bT3m4iF+T17BITInxfNkmN12y7y
ud547s7ZG7yyuyvesANfL/0K7B5JwT9hxlmFmXrO7DZbFGAWEUIrFI8GNG1A/c9PCjC3SjQAuZFA
LLk8ZwEIuZ+3+gEbTrTuU8fcarNmEVKaUuCqVPmNxXLjPFwtH1+scd2czjBAVpElci+8dAs3o/Gy
tMoc6EOh2XMwNxAjy5b9ecX+fS7cVUhpEwHBTxvm1EO6M27aXbnv9nkoN/BYV28+TGlruMxV5CWr
YBJL5oy1SFGVF6Jw0HAvptM05spR79pkX6c96C++dpar3+rC4iqwAJprgJMF30qA+0UtdC+1/k0D
0LwwsYoppRqLmbkgPp3ju0zN6Ng+p0brf72Oq1HlwsgqqsTx4IiiwR2X4uSV1U/XyHZaufH03Po8
q6CS1pi7/U0vroAyiWs/GXlPwc+ezRt2thazCii6M6WOXfXAPoq+CNsuV/dJ1lXQ6wDGKN7YuS0P
WEULXo/aOC+Ka2Os+UCmP5MZHKf/4usgJoH00zDAg7ZyAbtK/0fzDDCeqCnnW7fP73qMuW/YubqW
CzsrL1DbFON3MY4pKB5CpyrPRHEev17K9XzmwsbKCaq4dHO+JPTanfxmQuKVPTqBFs0Y1UJfFzic
TUmVq6vCm1iFTqOJIdLVF2p0Y0yyUsEBuuPf5A9nlwYxgD/aRNV3LcgC4m9F8Kv1APMfk+uUsXK1
1uj/c4WI/exS40UJykCZfSVIF21ZvwGs8rmIWg/vwORfPTMvza9yRkg6oM3K8B27ZqJG4mBq0qQu
9vzrb7mxseuSfUbUOSe/L27RnfU081Iz//61ievucrGTq5AOgHGqjQ2WokdOEeqBtiOBdj+994HA
kFJ1qE5bb/Trd+OFyWXZF0+0tMBwdbucgt+qST+GU81o/HvCbfKBFStGb6v5cTUwXlhcne++bIEI
GiXwy9w9gtXumBTWG2mHNx5vTgdfDY4XtlZnvOVCm8mE1eXTfZ5DLb06dd1/P4KMFOrCyOqQq0md
9WAZwZGbKyCWf4BEvcm+pTmYMfnofe0iWwtaRXt3EKo+LKmqmB7dKgGbeu6n+rzRufkjSV00O5fK
JaiKLNT5Vk4x504iuAPag0bYbcAqNeItq6htJdkidDjSjrQbOfgfx2tlcrUwEOwMpuMUmKasa2pV
yU5x9ODrvQOpxh+p2crKKjq2epOqect6P1dt0FM4ZGclyhgaRmoFQrO0QzJ08ty2XK/8VpUAoWOy
KxqmUdwLvZOe47goJCfWTPOYx17Li3FvJyY7pJU77MoOuq590vC91an8TAA131fQGQ6HSsYHe2Rx
2M9Jf5Oodfxt1vT4Gf+e+Z1mDzv0kCFYmFTaDWcAVuhmWwfc6qu7WWu0sDaZfee6yXASpHdDc9Tc
QIF4K8iwO6qV5gz6l5j91aD5ftONcWNQN2kx+iwzs6StLgxoYsbmW93YPUZXYsNrxro8Gk0MoWUl
SV4KhWE5atnl704xxMgms7F5n1gjjxqEHE5QohF7VhjlnYOxpoJC36r0da3r3mY77b5ZTNNDJk37
XGaDRLpTuW7pQeSTv1QVxOK9rEiyZ45h14duYvIhd53WoZWhAOLVoLzQeMPMcUt0TaN9z3sBoooh
LqyfDsQQIKttzGnUWAmhJFfMs26remjVsdirvS4YzTFUXHjqVDUNtSDrA5K7sQliK5kxCgIuXMbU
xpsZX8rUmh0AFw/2JtHNUZ4bdQiBmfpRaV3tMWOYbehN0CPTtq+qY6sq5qnoFYeO5jQyakIt00NH
THhdA9i31Wu6B1UI6O800vTUvsNWK0CIdB6RHbgIWGt9B99kdwPy/XqfFlW2H4qav9nm3EcMU+oz
HWQxD15nzoav5up3JYtRV2GSRaliTVEqyvmx0kn34bDefO4a0b/0UzH7DdBrYQrvSj3FnsVdYwo3
iNt8CM1ksu8kxisGijFf82ejiPyl5fV0h9U0H+D8rz2LVXKi7th2h6RO82d8oCKyZrx9+8yxvVF1
7TtQM7GTUVdJoKmOchRTLO9KRevOuGPtY624ZZA0XR8qtfpWlEm1a9tZeyiUYTxAVcDddQYpdnWe
TTttlqCKN3IS9W4PLQODjF5Xs2IZTy3ljsVcOwveytNQKNoN4lH8PE2ZgOKYPUIEqpfZXRbncdT1
8Ug1u29DsB45AcSnksCcOwNtVnWkGYr3kdP2IKtFIzHS8h5PO1u2+2x0wQoDU1ARQqMCUH1nN1r6
eIJ2axYVZjGHulUDL1koAKNnZhWHZgkcRUVMPTJqBhbnTit3Uz1wmlqFjOKhtRBxc+HXsnBO+B92
u3zudW+OLXYUhBu+LAy4JRSaIB0ENUCvaicDlLOgCctJXXm6xojnis4NbFJpOzW3rF0ukvRogQvm
3Kv9+N2dm+7BThTj0NUph4P0qBekoj6CnWQ491JxIAzRWN6YMSsaoWT02MSY7ADpKDlWkTON0VQy
f5TjIdX1O6HZodu33+K2xUcE2TbgmzKWNxiNDroYQjpWem/o72Ps7ivzV6+hNKV3e61h3/J4uJVt
fCRFHBZsQk3aJTuQrexaA4SVdRtk8/gyKIBqgCVJn/KDWhd00cxpzTmo3L1h9WE2CjyuxqB1hr0e
Gwcp5e1YtlEvaoMasRMChLwDqCUoMKIAMbOjbhjfUqJHOcbEutlm1FD5Tkr+UxTQ8zCs5iO2RnC9
6Oqd4jphmzvEb0s9puMMFvG0f45t69xO8kZFUkgx8xBCXv48tIDE9s79SOobc7Z99Aw0SKbl74QN
GM/g5Lus5nvOjYOWqmOYCz1sBb/J3OEhyeq96G3wDyR3eVe/qKLYQd7dpWQqT+Dbe+T5CPGt+EVX
0QOzK4YAX4CoAHqGYFlrKDP7o6o+TA2KHB0p6QToujF2aqh2+p2iku96y27twTT92uzPs55j4tno
9mkrPhSm+kTau2quAKkHvU1kKwPldQUGLHW0SE5LEU/pKU3y7Alw3JzqDkhcRghyeI1l3RNHalQ4
xpupz7gTVP1b2XJIftp2S912QudzmqD6MSom1WbthbkdhxfJhia4kswMRJBqFo7CvVUKC2GtvtML
8t5b4w+nbk5tjfXXoDBCmMlRiHYx4+Ln7QeagzekJHejFt9BkPN1Jortc0DdKUuMB9GSnevMguIF
fhqYOEuw+3iNFDxqx9r2bM2K1KmnXQbt7tgMdDW/S4hxqK3Yj2MZEORvHSvBYTrYS8OvNqmdIs9K
q+GdARTlzTKPlCl7ypLse2ePh3nhJ7St/OhMbpQVpA2Sbj6KeXw2hDzVen1fTBP3UxX/u0IRuBoV
17PL4qaYjJtGFn5vQRGic1kwKskdJk2jPIk/xgbKvoaJnp0soTQK/YWA9FCLFa3jg3ky9biSh0OZ
AsOsl8LrbRWSg70eVFw5oYvwWg7lWzGnnonbVPDmntcc/E+ghlVyA5wIYLYo2umVCL6rMkDVCxVN
XUD0azY+8xHfuUiajJb2/JHUNgf5DQn6Wv3oVbCcuC2HGpfpxeACSbrpaPWlfsIr6VFLi1eMGw0+
t+OejiR9kGUuKDQ9QmKku0LkO2fA5Q4GU6uWB2Uy4F+kIT4cp6Sa6fxwqvQ4KYbqteBkpLPK3lWG
1pED8V9l/DnPqhHxUemCvMtvSW0uyXbWUWuS2hShrJ/h9dkp6CvYrVHfqZLw9wJk/L8Sm5Q34JPT
fYXpLwITzB48RNAKf8MDDduxlW7Q98phrvPZk+gqvRXmJIIclyUQvFOYWvlhxlyzgINkifvQIknY
dXMt/EQZZCg6Gwo0iugodyUAAFpy0xBAy7mb3Gr4S7nGI7yC7jAqVR6qafRszqKM5EGd6XBjDhfT
RWSY047nJdTLc1ujdVrcDq0ekro/iQFRtBIPk9kHNdNuC7U8OxWmG/i4cOyoUngELWuvk4bEXzCA
2Nf6xlczFiEm5ZRIgmOunzWuB6xIs1uWEGTaMj1Iqwg7kBGTZid5eogrHuRpgsOTcU/nCxVlD7bd
KS0OM0mOZu6aFILeQFUX6YtaSg+ZQk1TxQzZjNS0EK+ys0PQCYTELlQo8VjvSSW9tJ58ZzZeqlTu
yDzDc9TvmjqFxcCeDUWCXjPLgmwpvfdzCF0Bzx2mtzYD9VrSKPeTbYeltJ8I15+5k3DqpKBQ1oEN
5nEwmb+p+kNTMW8r5KC0iJtfWsx+Jpb+zYIQMRWaQFO61qg7VIw6o3uOO+dFM+bbNrOA207N0Gjl
Yz5oDyVSI0WBpxrJs8On76V+a/dQO1Dk2S3IcQaxNLoE9T5z6yO6wjmdLPIm8/5+MBk6ZqafQOY8
RyQcM33nLg3DOruZlGGiYionmqrJ46gW39U0tWgT68i2ehPQtfh7MlXnWZv3ClRoYn24L4lxZskI
8Z9hBNpBf8sy99Yq+BuRLmiNjKoHxXJ6tkT8EXOo1JmT/uZq2eg1jPipUM6VK3CviXTvqj1Fhv8D
fxhVU0Or8buFWb8mxnXgWuXRMubnmYm9UgN50PLxFgPbe5Qe7hQMqg493Fc71U7hqwrzMx0Z4IQo
0cVKkGcwQaai9vJOO+CBGiQ6JC+5ea4aHpLS2hEz/gtUPBGbxeC7OoyDvvmjVNOfDcGpdkj3DCWE
lySeJmqX+t3Miw9LlzNotgQU41yf8M53BbbTKhfksszw1TGZKGa9oJWiKbTQoOoxdGDnG5gvFfAu
mSZqupZ50DM9C3NThW7SdKNnprsTCrmd8jJiSnWTgfMB2/wIcGZk9BCM1qUPodjAssG42riETnN/
M7viQ5VWjLDKQjPljxZXz0Uiyh0p0l+1UjEPqsk8wIDo4+A0h9kqHibpfCijvAehupfEJGiU+mYo
E2B2FdpMP8fWDUbHfuSD8ga5PAhVV1Fc1TscnL1guL7lMhAGpHLe+SIFz5PAtddx56FUE9/A5VUg
9eodLcZjwQ4Vxdq3gx0YTReYTvNWguOUOnb+MFlGMBbaDbL6wIrJbWXXu3Fmfq1XyODT06ibmOWe
EcKrrBU0Noaw7wB1UaYXF9ODPgS9dJQy4Cyx7ZVcBM084MmZ0Xy0IasVY4Qx2xUZZBvIM8G91Rbq
vYjJw1S2uj+rAo2PMX8hIC3Fv+5eWhuHQc4HniQFzZrGy6f5EUr3uTeI9r7mqJnMQMTygY149diY
EzMG39EMhA3MHWEWvOBPePw9NIZD1biiMhGvuYHbfkC9cyJUYQnKIgI8Y+qTGBvMfqXIhP+yW+J3
eeInRNzy1NibVRokrrw1RgfyMEuJuaN1+YEDEPSGQWd7pExvjpmC929qUDXNIjcFHS/r7nmfnxWO
P2en0ZoPrMwfrbIIeDVTRVEpI/WJO4LW4slGm1IdxqchfcvUt0Z7LIwp4kr9rW3dkKPF3qUu5eSb
Vb+p8qfMcmye5aUDJkR08zntQD3lQC29o432qkOoHVAgtypv0zI+dApQLg0IZ4qGavyWD7cKfyLM
hddMvzUdk75CdeMd8S4yjHlf4ZmhKs9Kn+xYNhysFjgxvLGOSHYQBQCSFarfyw8Tw8ROntKK12gb
nyGsToVa3JocbBT2kak/ukYP1E7z2tF+6MV8K7U4yBs4qEw9Vc9xPPDmb16LIg6MRD80ZY7yzUeC
J9FgyyCpH5hqHfGwunOTb9p8Rv+Nkiq5SxMeuNU3ziZESxFYSG3R+glHCywiJtgvFN1TIHqWANlb
8O+GzE+20uBbg9dauzdxL+fQJE5LPDWSPURxkSAoNyXpw6R7n3GH5jNmrooZpw4yaSouOxKjeVFF
BvYWsnjeSJKQgSPFhRZitjzqhXrIjHuzDRWjRJm39w0NCpZ7LXvu0u8F9ChcwoOsYeGUn7UGod8O
td7yleRXibKzNeOxau55fasVJzM/EBf/QGDc2qhKShruE0PxRvdtmSyVakwnEH4MkKerk+fEvFN0
96FqX9oysgwD/YLQbV8xx0slw6NRmO5+QjJOO3NsaOm8u9n9WPRQfS52A7oWeCzeikINrYQFdtoc
sv5WTYdDYwyBUTo3wnSOsk1wqvrJ73j75EyYRIN3AaYqwFAwfu+t+ra0h2/S/WkYAxV2GqRZbNCJ
dYcKod+YyiAvn0kz7WM7vbcq83FK0PnPqhdNR8pDmoClMzr0gipxjjGBDpIuysG0IUo3cVpZnccq
3BxFvtPxosjd09DsZ6UNeDmF8zDtLTCV00nvgxGwWakFTvLkDh+TUQWl+Vhbr7Nq+kZ+5vY56Q6z
OwNTrgQytk9KGtlmeiNVjLTVCKN8wPfAieExdYBLhB5CaLj1gf8/yr5suXIbW/ZXOvzOPgAHgLhx
3A8c9qhxayipXhhSScURJAGCBMmvv7mrfc+1ZEfV6XA4wrIGboLgwlq5cmUqu/UazKKQ8MADfXTx
ELJC5knpY75hehgnfGpp98UItmHz2gKFGjGskpUXHjZzrbxbxwJJAOih+nfmVnHlVZsAOXjZaDgI
rxiis0eoBt8P/XiwSm7UNFx06JmCoBQFAlyx8A1ZP42YP9+oXrxMDBAc99RNSfuXhnQnrebnlRbn
u+gj13GaWCzVqQyDF8SDHaALGdPM3PraAJj1kO6XEHgYOiSldfm9WDoEcRe2BGUz3XcUP0wyNSXw
3rx0M7YLw+YC/428qXEui9aBLtBlqNrdYA0yYByesrvRxIHLixuNjIPQfqXm1FKO51F+9xqboC0b
a8AIdJyvsiXfqC5IMzy8Spc4bBDuS8xlsSk1bRV3TXUoy/5CK6h7Z/2UtAxSQf1z3d5keXk/ttPr
nEHgICx2AsgKhIlTnLQYn/vuzZgdJ09TBkmtrEoBJroJVA6OY4ZkF/vS+sid9d7v5WUj3AuzBAD6
7KZtsLl7JiKi5jGWTRkZ9jxQdizWEgk2GFQNS7zsbChexYXzDkjr5IgmbXDY02VOM4sKw3ppPnnQ
LcK1/eqi73Cs4gXx1D2t3yrEEZSVG4rfWDIQesfgZPR8cBw3KsJvyqURIMRLYW/YxCG9kEAtLeot
Rh6dWy6R//ojHr4bjklW9anuis0IVnLV4sgIPOjUmfluyvmhdcP7mesDEvG7wHusKcyn6vwAkDKZ
SZH64m4Ni8TFrBFrdx4e7NpPKezmY6ezl9DGf2x4t2laby+6ByguFJCWVje+Nx7BNsFMokhk5r/k
zL2HbzOmQ5GPYhjMqfg53NVHXopLpBk7z+2fAnKWcS4SGDpdu/k9hBZiIYq9nLxIaAGSTDoXQDcE
pkt4hlA6phnYTWEJOnCtNgWK/Lb95vbB1gmx5HBDQ0yJDb/TpEsHeuEad9923RttUy/b1QQGCdkr
JOw4ltHshKV7Gnpps7oJSrpocPQus3PUSoUnmyXcGRMZXAyyBT1NWKSN7a7DG8CqL/44YuvADwRh
x1+/OpmXZFZetL25qFmRtgZZGAOQEOw1npkqOxwicBXzHkW5hVxpnOOoxP9sYHWz5kG06jYe3Lcc
OQZByPJQ/KP8PmRu+0QhbZRly5Mr+DYPH+QMUfKSfHMKc1BuseEADr3skSiE0nU9Kgen1jzvyTJs
WSk3HV51IPqRrbxxR+cQsd1FBVy27Mnk7VWlnItaTTNKaPMGHsZ+zgadagHO8zC6J7UM3yE+kSUL
qa/gyoikCoUyHH/fKuI/en5/4sze5RnuduH2urfVPaRiTh4khcNevDo9PWEyFxoh88NYwMrQbAS/
ysl4N7IT2hFJ3l67/KnBcaKH54AaFOxwEKfNPs9xwnkCdTkUV/2jQC4gQkgsOpdkXjAF52+hZLLJ
ZbNb9PcxE4liTtTxMg4yoAdlzCCjzJtv3bSm0nYpx5d+YCOLcyF0AGO9Fpm7yYPncbI7Fl4xFNVw
292UiKIO/26wniDGhp2KGM5fVih0YlVM2mwrc+8ARA34/m6e2JbR8SCYs+2UBrh2HUzFC8jCUe1U
ILxi5/TVDtxaTAaPcsfYsly5+QAE6Qy6989ivsFG3vfrmgTC2dR2Z42TzOtzif5eRUa0WL6ICjBW
ILco9vdMiR3Ln7jIDkszHs8qt9WoMF+FXl3It1X9OsFrhFcuEHu+k6jCHQj/RGsw38livV9hGjMx
vILVoXDbG79bEQrvz3YyjN2U6GLo6R1cFTHjSAP+CNvEOF82uTK7qkJgITA20dAasuMurGhEvFsX
qXTtupHfXg7zHc8h5lm9ZBi45AK2OdNjoUA7m+5K1O0dFrYsD14FyKK+xZaOSrTXz4mHXBGv1Bfp
mlijiWq8ZBxRvfDEL3YNNPyAMrYdUACM0Xn3PhCfrJyPwDAi4+IP6PcWrA22fm+7eetocM1W+WIC
GweSJ5XvJCAQpY2EYW/tGeQPej+TYDd5N21zI/m9bbptO33JMKWmxhxiMldt8BB0gDe6Ip6yLXfE
V8v7ZGxouubg5usAZQVqWmBNMjiG06Mr1dUyAeYKm0TKLJ0Bwka826G3uXWGJR2QPJe+3ZalOTjT
FGdVNUZgpUInKTxldrhUEkcJxJS2WVNsIJu9D0Jy15hg51btrmbOKWPdVroY/SoG9Mxke7JSogdg
CxK5ABE0GRDvKJpDAZDDlaYOkTRue/8IsDKl7XgIxOwCFRgZfBT9YeNliIyet9EFoGezBjpulLzP
AkTq3PjfQVkq9rXyk1aaB6+CL7AMl4twXgxmhmtnO/AgLS3qw7B+c8Vyp0d7UXAST4QC0FSHgMpj
hzaVQpPDkW9jKaFn3mx6urXBeNc3+ADN17zTCMRwm17uw2ZIFzpdqbp6lHI+IWomeLOADemnXFbH
NbenQo6HrqMoaN9XpXfu2Nwzk+GZVXYbAPqf1mozMJKoAu03KAIh+ymPRoZbYaYKa5Ejm9c1eiYh
fULX+drOzRYl4LWi4gIA7cZDvUO0E/UZjJx9JJUzw1xdB2lxOH1vYOkTT3N+hE783Vw2xTZfhkto
dMPIl72yoUN/wftu3SymeHt75GvGfF+qATAWA4Qo95UL1KseL8acXZLVTyCqdFFazO93ctvPEziT
zuM8D2dgt4kKXt0EGd+6S39gQ76Brk60Tt0h85dUhl2aAYqjBA/GgxSViYNS37v1FOcTxY+HyFxs
3LQmRXGbaP4sB71fCoio0jDhhYaAU5YOcHuNSN/fACZJm5Ah5r53TnPIZfBou3qjcOuOmqN8VtfL
wqOiCp+q6dGW04ZX626cp+35lLet3KrZph2FrIys76FpvlEBhPjbKl2FuCMUL94yXTMUuMVUbpq6
izNYhxDI0OTIZsZ87QEOuztvwIs0sA3x6zcjwAPAe+cuNziPN2FpL0aBDhEdrupliMr8KDVPejHE
RCE5cDFo7pbbolgPISlvZr/ZIhdM4eoWNQDBxFJuBkfEusovMj5ufAooaEVrzjvkBo2lItuWXXvF
BBI4t0tXNzut7XwF5iFyEjwwv0eSVy+7YM7Szn/vFZR3jdoJzGSMgJh8La9IX7x6tUHx1R9br7tV
pUglg+io8uO89lP4ED5lHp7HSPe2Lg96zhI/l5BrGO6hKAhA1E0Ihp5beUtLb0cJEmVZ8vtxweLk
zcEZoeV2vnOeoWVYppy3CW9FbMwj5KBgiZ72mBBwaQ+md5FAJelKNCqmekXKIDa6s1tbgZpFNPY8
dGXNetusjy2HSQ1ika9g4j1KtNHd+0y6EfPyWOnvVJXx3HC0HvvNsPCNh4OaT8VBNmbrDvlp1MHG
m+QxrMiT8Oyhl+0119aJS8K3HfBkbuA1Iu0Ro6sXMht3IMih0QpEPKNbZ8Qz8JetmP2dO8PuROff
1OhDHhu9n7xtDh0HnqAb4BD6YEsUBKyPPF6nlTsdO0DIigTJNPcnKP9f0FVv0JWPXVlfCm7Talke
aK1ANMg27exd9QwUIPT2dwiURzCSXvy+vmhz9IoCZ2tkEc/r1wL9KeoHSN2/BJpuTAlD8Br7U7Au
NT5Seh5uVsoujGy+cLrsvKk6QInoUAv5mBcM2iate0kgTtpbtl3HPgYwm5KpvZwqccs8gxRiWO6y
ApXFiHKprcoNq9rbKvS8fcORlALiAU167Q66gJyYA7y2a4NDhQLKrrONFp9dZR3wPcEuy6qFzBi2
DHo0CZ3oriLlUyuWr9rClACSabElGP4mYep15yzxR3psvDhYvcelIuhBLje1rV4hZn/vjt4Yk14/
0bWaYemuwBYX5kuVZUgE5ryPnUbwY9OUYQIQm8b1uX5k6nGVHvoADr06MzXRswP0o8ps3y7ugc3h
AXz9J2y3G8CaB1aYW+ZACskJrqGlh8xeOU9tPX7vg/w5z5pLNpoh8isQszUPIguds0i34cvs2i+l
VO94UjrqViwpa0+8Lw6VhCLI3Pg99OBcZ+fk9Lntp4feoKgfBAMVoF0e6qm7yhsNQgE2KiCB5qX0
fTzDkvRb0nTrtizsZev5+gr+Ggi4/fxllc4ut/VjIPOTqg1aRvkAe2/neV5LBmn2CtI9dnzH9GUf
LRPaiJYAH2zZo1NX+2KZvwMwFZFH5UmX6FjoOkgAWyksTNsDQ6RtJAndrT5oHT5BH005SALoFNoI
T4hFs3Rl4om1TWhv8k2/dpedB1DJL9Zb4CpPow//JduGedJikDByJvJqYNi3yRr2Bc94z3qyb1cP
RAMu8rgs0S2g43DwMf+y4yg1576k8dRnV6Ry9kuwrFvT1/sybBM985ucChmvqnKjuhZv6GQBPOcZ
xlR0tVfGCXczGmcRD3r4DSwAbQKc8qg8nbtFhfMlrWAeRiwm1EKwaVOQsL7XHvpRPq/HaAURIlLc
oPam6H4PvL1b3bBCsUrtlSjaJ4S1L9aDkEVXsgccUHTnVeurIFpG2dqFKXy8vjW6ukUv8trV5RJZ
acnOd4ujyXpAkFmbR3W13vIc9yQALapampT2SEyxpvMu6+ftPOA98VFLK4+gI8i8JZqMqXZq9k9C
Ds91zhp0SkuerpVGZzkEG6Hw0VLKvdBLFMmv0eyU6Hf3EN1ATw8GZjegpSJdxR6Pmklf57KtY0xD
OLBSyb4UHiBCAAQcbInqac7JvVrClz4XdbxO8LCu6zq/4Jn1gU0iccwG75QFHlrXTp5MU93HLgFF
J/fZC1nLB8qrOoaidhnnhYR1gMfRD8HagA0Qwn6ybp781i9jEIPyeGhR37YZd2N3zd97Mwyxdsb9
1CqN77VvzsCvKEbro95F57ytqAAe6Y2RdR0Pjylo0CtGsTqv0wvpw5N0Ye/XM7zlg9IZmgzQi3ND
0EMU3jQReqgDh5OXUVxGwtRtQgfJabYSPIN9FxQ+ShVUvHwgXuRKSGytpMF5mE3B3rfYDCv6bPuQ
gltblpTcepO77I3hfEscjs1UORzsjxwqPDPW+jlszqla1Zk9gWQrEMaB2feaDBbm0rTZwm++jynX
65I4nRi+1gO+xv7EJEgwOPuQK7upKUxJmVs4j2OR9emAGYC9GP1qG7jFY1i75CYIOhfoLY4/dH7L
OnVHVAJr25RH6+QA7uC3XG4lkpot4p9+NK0dj3RV7cXCi/DOzNzbUNXnj5jCCuOV5hhIHXB/la6b
2K8QhyvbTLeVbrPrsKjauJRukKgStJ58QGa0BGf78SYLEF9a1BzOQtH4Dad9VQmY4kLse1eYorzT
maSbDCUraEIBuiBlt6bUG1E4aYHai3j5HqK67DCBBfjQjyjjllnJgyazwNvP0CYiXF0OwYx3qw8B
fA3S2aA4bbdj2NQHBGX3YizWbpOF/gCFdI9uy1EvW6tdfzvkwYIQE4T7eQjaS6V1sYWJLqxRi0zu
mhltL5vNwQ5L5x2LZphvdT+qGN0EtbfQaY7YQkm6eMZBqi6AvYVjD0eTLpuvDR9lMoPj9lRxTS9H
9JTxqi+IeoUTpmgssEeGgLpXnXHSBRQWrJZp9ZVdJ321UjFeVPDm3nZkbbY1UtMNlnbBNl+668qn
r8RhPd7LziLTxO4I2QKG0ew12y4k4aVeFL9AKBcXSHl6dCDQbNEcYc2dhxD7xM6PYWHZUflCISo4
pt9mTK/7yV+oD4aag1YD1hutWK0S6jj2feqd4pv2/eVqgV/5bcXNeLI+R0qDZWFvSPeq47QWeRJ6
Wf4u11odiiFUBpmHwblfdYF3GxpH3mqHW1R2Vg8RH0No/nV+INAscnw0g89eeeFa7hw3GI5Z3cBo
lJgGnYwZqMjd5DboXtlBm1Mm5epHIzR2K+wHJ9+iE9V+UbVjEIWDKgVmY+7dsOZQXy5AmVsb0d34
AKM2gMvgvNmo+lCXpELvBKnDl9bN54tyLuWFxbjOdiXIfnHNokFkMiBTIpeqvxJaFPiMYPWmQ1EV
t0SeHwHEyB8wjF+g3s4yYMHjghfez2f7HnaQnk3w5nD0tfGiPdd+jdZPDTPShzFo0V/OMOEGb4RW
zesu12AbgmSY2ft6nasX2+M5hjTD6ZOPGRBeWHUhmwOndX7NPcd97ud6OBo2UHQSWIf40U/qLvRW
/IKdF/QLiMtWGlsIOWYguuIOwCMV4ZXfWuc41Khq0g5Nq1MoMGIHTAsN9sT1NRv2AZfVlZjnCWUt
Fe1Ojc4MnNoGbh+XIwz3oknWmE5fwYl7DMksNzgsC5wAUlSvkCHhGI5za+BfOLkCkjpNFq7gHFBA
n0MtbJ5U7UIfwBfK0XPu6wy6p9Tr3e1qFoYujijB+8uXDh+tLgLwobKCsVNO6+Y0ILmHXnkfhnBQ
JBU8HWpQeLu9T8vpxbQ9+d6SEjmISysQaSQ1PLjpED37uDOc4Fgj4OAkwzwO4gDnPTDN2kl4KLvO
NLJwzVd+zDNru42lfo3KrslR5WM5ilPv1uaRTAafJFQ9lmrIcnwUEIPzN4t3DAdd4NbvMIvAO+CR
cLgEb2N80QDGUYBj1BoVOLwGedQPq5KPClQVtWGuC/LACIMHMJghOw38SDvBmEpnzNukJw5GC0M8
uCggbt/g/JctvMGqpoFYsSz9RPqo4vcj52a9BGUu5FB7c4Rt9ivuGa0Qd21uA246P64DECVv0fXq
gltV1IMb134T3qwwL92UpBvvtfR0tpN1O+NlUxUawmNB9jp0oGbD9PQ2ic7QCPRbgGGB31QA6gwl
8EEz3lXYmUDE0FSub6oagMnqGx5rr5v3GD6VG0J68Z2YfOjBVHOcyJ8tQoAnFnWsvFpd8kJgjqKB
eSSKxcK7mwQaHwpcIkynGCq2vJzIrsDBearrqpU7o8bmQlhem9SvZtlF1AJDqKGznKBWBkesKQqg
JiEdSdz4dLz14fq+4XaVNulHSbYiG3gMIWH1pVoFKlZdVMcK8s4bg8b0UWQT+nFWzkngAx4VdW23
YGxBjKnKx8iDBdijAW0hKpelOfpDse6HpbK3nl+Ge+t0HiAptzjRxsl2ed7ZNKs1jlg51I8UHOHt
LHG8lLz14AaPNgO0nvN9jS7okc4CEKbrAVTg6Mt5DTiUXTaK73M7mQMBrLxFbe/EoFbM6LnYFYRY
U+zArQFWozx1i8g5RWaxeivUXG/rBvLbrAPCMLSNk3LDzGs9+D5MceUU3GauQzdrDa2TYnRntIrD
Ps0NhItcinJhyntxXNaxPmS2gjwAiNd3ckZomYifx74G7FgAX9tUBVz9qsx+dRsFFlLnksRbgnlb
ToyiSz1IEPrR+nM8OLdXACJCC1puY/zgWHHrXpvazd9WrpoqsuOkHwhetesefNIw7mSOADm446Hn
pLvPtEEZm/WlxglRkOcWMXLvriUfwPpCY9dCkeSVy755hrIcOi4Z7hYtl3nTTQ1E/2cWiGcmB4+l
nZu13yYqliTrSL1VoYEnR9ATCN0G6H+Woa7eVS6K60x1w1Xu8+DarQleC8h3SKhlFUirJ1mB32JY
MbbnV0ANABAX/bDWYQ/eW81MjeZIDvhpKD3z4ktSfYHG+IDlyzGeDw5Oicx40oqlpMVFgASYY+0U
HHVhlb26hoHXqpEWo3wZ9gxg4N1gWggwNcH0BiOK+d5RhIBh7092o1vMAeQrOhICEwq7vHPDy3xy
RR65Hl8vw3VR6KSHS/1Eq2k4YWqb63jlOfKbjuGAW7Tl1+Aqdk8TNJK2fq4s3GWW4bYUloDKYOs7
RMf8qkGy/shkgb7NEFRfvVlUt+VYqFOARuKF6OxkIu0Q/6bohPO1aycXtIuicmD/PDOKiSXTAqOn
QMFes9IH1XpGNgE9Fe6+wal92sztAGQRrJZNK0JzNehW3dGhMEcQBdfDVHroQnjZUh3tVJexktW/
B13+69v8f/L37ubfg8DDv/4bX38DsV6XeWE+ffmvy/Kb7obuu/nv86/9z499/KV/Xffv7R1Ivu/m
8qX//JMffhF//4/rJy/m5cMXaJqVZrkd3/Vyeh/Gxvy4CD7p+Sf/t9/8x/uPv3K/9O+///atG1tz
/ms5cL7f/vjW/u333zwMOv+Pi/j5z//xvasXiV+L9MtaNp9//v1lML//hlGVf8IGF+pZMATD2Cf0
kn77h33/8S3u/RNlEZK9QHDK/j3R2HbaFL//FvwTAiYUKkRnxRQqiI95uaEbz9+CsPs/eYB5Do4O
H0jGLoa+/9+df3hG//+Z/aMd5U1Xtmb4/bePM2uQehGcIybi4Dy76Qbi03SSNqEpuVpxiIaF+hLO
VMM+Yg4OqHt8HOjDf6jk5MEh3uX4x+WUMMj1YDn+PJWHbmPXInspkGJVBWA1dziTNTiOP5RUdfKn
5/DHzf755s4f/k/z6meXYyhUebjBEM65cID7eLHW8VpqQc2J1r6FPWOW80cxm+KS1Wa50b6DOQkE
9JvQ1+I/m2b7cWVOqOsTuGrCWPXTberGgTrFugJ0Gyb2Zsc83wvalDigc0gj//wuP2uRny92dtPE
/oL/Bq72afar14sONeTdQfYT5/RitCX1oJ8Nx6LLHpzqElzS9SEXDUZ92PAoalM1oKlM1k9QIWCa
4eef59PAmw/1HYgwQVaKYWNR6n2aGuwx5ASGpQP2p8Povhrn8EKU3a90sv7mKl7o+lCuwqAObvzT
sGVQj06dd+iu+U6PhrThw+VUtvnp5/fyWdcVN+MTPEO8IXhNBeGfbmZYPNQHEkK5CubPFyHLOfLp
LhugUsqCkwsObKSacEq9gcCcZ0ZXiodje4XCFDV/WHa/WNvPsm8BFpbBdYLDJBMu4eyzRw6F8Hzd
LQQHktBOH9GM6HQpzhRaMD3JJQb4eFqh53VTzMSi86VKU6X1uUdRYHTgjSHuOAfku/7jUDbqqBfX
u0YEKH+1KT+Nc2Ld8IIHeM3PA6QEvjcfX73cgjgBbuWEAxvsiWaUMFqbfJYCJLS/mH78GMLYj0t5
8ONACEU8w8p8vFTNZBgohtO85E6WYNzijL2qHpNbxmzbsep/IU/xN7f2Y4CUIiqd9cY+jWXnwRDU
ss4t5ryW9asAQr6vhDMkJJt++bjPn/1DBAsw1hIgLYUPdMj+EkdCZzQa5JEJaHgwbFyhlxS4ONsW
Psk3UhQyZWjy36gODcMqHFkC5XwDyocdM2AuYJEINrSbX7wT5NOHwlqHzId+AbTjOOYNPsWbMhzJ
KhQW3PHc225enjHmRpOeFxeds2L3gTsgVxAvaLkzhfsL4ZzPMR0XFzwIfQaJPvhgfxYHqRVmiiSC
GmizHnCvrL6fC/nNkQUmv1qdmBqxfEVl9ot7Pj/UPz+IH5cNhSc8HxsbfbqPm0xh/q3Rk99EICsI
8PUM6WOQqmE71/cBRoxUf2lbl6U9I8DbXAI3Nfh5gAQ/T7uff5RPgQ97jiIYQRnQ97yQsc8mwGp1
bD2f6YxTK/trRTx7O9YLqLU/vwz99JR/XEdQJAiUwWeJfn7KKwavUHuH6K0uU4+5t3A66IA027D3
x80IzvTLMg3APVakrT7DQswruf35Z/g0rY2PIBDwztEXZ5vP3E+LXqMXsfTKTHGrKsdEUwWxmGhC
SfY8gHv1FjDTMpSMAs3dn1/4vIP/9LT/feEAgR8zsewsX/jxafcCFX3VjLgw9PJisDudRKK8SBfj
NseFap0UUpJbJ/eGE4ZZnF/c96c9jnt2z8cnAgxHeEME/Xj5fPXMFHA0iwQSSy9Z+maWsDvKjH+t
TIk6E7j72t0EXC2oUoAXBr/SYv0U484LwBjsrZGxenAt+3EM/Uk8AYOXISYswGT1DWjwlefqneQT
BzPK/w+d9M6X4hD3RVOVhVD7Oae6f84I1UwGzghI26arNOYsGegsAdxGMUR8btP8/MF+Oiv+uBgy
M46jE0nvp+OcozpyS9jtRDYc6HNeAcpkiLt3mDgqXjMyNb/YSH93PURuJNnndB3v/cebq3IKyQFw
m+PAium6JBhBlSOI36XHi5j4evhFfvA3bwxHMYG4jFQebPJPOwc9lQ41OCZmw3oQl1qXh6qy7bcS
s1igFi3+11oEOv/FTX5OQH+sKg4CnwWBi9D0+aqqBF0To+BYVS0ZjOZUEyFPzQ8GqMXQwr4Fo02g
48Vo0s2b0J8xPI2B0l/Exb/ZshwFEf71fSqQFH9c6rye5dp0BmTGXs07aNRi5AEz5GB9s/IXZ9Bf
QjBeiLNQIiISEo+/nEFjV5sJzxxb1i7BptVZBuZrNj39fK/+5YZ+pHoCPrzUDXBXn/dqOakpZ4GM
1g5DEN041+CHzDVoM2Pzi7X7y7bBpaAlDNVuz2fnXOPj2hlLK00dmMXUq0bnCpSfogaEptCbSpXV
3wI1Znc/v7u/ni/IYCmHGAf3z2Xx57SNwoK7X0YJbYRQ6Gcg4X7iOhNNMPWu00y36DyC6LMvHGwc
scwPVY3Zgp9/hvNtfQjz+AgutqsLV8YA2qfux9susiBsZoeDKNcEoVOm1J2dLGZBK7q3hvUe8une
ydpkCbpp3i3okxSJLHrwQH/+Of5mP+H18XzqnqtwxMKPn6NumYvpqBlDdCZHS7gsrQtjFUdvf36Z
v7ndEErkBJEPMDp3P12mqoMaYCzUKFClg4NUNvD9YmgeeKO0cTuMJB1moEJEM0DAgdOcfn75v55q
9MPlPwV6zCczjB6e7bsZGTFDNaFvW00Hj2dnxqCbdJ38YgB//2Jx//6yPiztxFlEPvxUiaiwbJzG
9thnGZqCkQhmKCgp30ygW6th/joXI8agbZj1Xyzs4/9jBWSKJIYEXhAQBse7z4kjLwKSdZ43R5Df
rcpXuvhj/95YGsIaqJALe//5IqP8/ZEB/mlbAzT6eMnzofSnw1tobfrC1irtDb8uB+6qETRgSEBg
AGweEdI2OCOmAUZNcw5zitgZoGcMxze0mCcbTTpHcR3bxu2gPDFW3gTrFqg9RFnLVQfXgdqG8mkZ
cwxKxxkj3OdQw+4K2C1Na72A/da3YM6b2GKyab5xcQgED6QJaHP2JwKXE/ICpkehijmXfOhE4oXN
WhXxuHodJkmCYaRgrEJNvwPFZNJtqyj0Pv3WK7aj1ZkLIVwfSizI0dBm6pkdMoWpybCeIj+3EDgo
0DtMnbKv9lA04celd2FIqZlTHVq1egcVGHbRklzEvgvr3hE9y9PSTtOIIODTATOlK0nBcVlPbgvm
eKZVeYEEq00aa8WV1kJt1tbFhDFdMGilMIu50gBsrUZ5p9CS4aIpxzF1PQxY5vgQcdV32V5NRG4K
BvfAbAXPFUat+uD37gIyDXf2A9IHOHPo9sIx+bwx1NORW4ngGMA1FuiYY9k7Gro1uhn1eg1hKXnI
R0gLjLBKSCkGIp4Hj1SXgtDweZ5tfbnyGUavXDgPK5fUxh2qYJsgz+pPzuSU97Pi9GvVGgzXjmuV
OoCIMD87gPLc6JEka0jspQTSkYZDIO/sxMpXp+n6HZtL+PHqPtyUYBPH6EI1cRWg9wBJRvJQwkMt
YdRp1hgM3BasRtl1Lxg2yg9Ljpb1cDxXFGjgAeg2GNCqpxfPNkDzBZq0W9EaD3xV7IBJHUBPjupu
DL96y4hynoPOkjSAGxKtnW67eqG+/L/snVeP3ECbXn8RAeZw22Tn7slJuiGk0UyRLOZiKPLX7+m1
/cE21ljveg0vYN1+QdL0sIv1huccoSLzODFlvK+qtntjfUEz3ejzS8cInsHpMNyNXLfwPw9W9W20
ZvHmZ9jg+TvUwLTKIBnOjk3HOlqoCRnDjSijdt04sqwuJYGW2Cs6b+tZ2v5Jc4eEbzr2u0imwfNS
9kFMGh4es3bfK52yeWB6GZMuRglbJjBl7DX4OLN1dQlXsSjOYJHgSxr1id0FcJG0rq5Gz3CZyyEP
mdMT9DU8ERIHAl4RF64QgKm8x2Goo62JnyJp6mw4zFw3TlFU7ObM266tYs6kwnVmESmotReP0tJg
iQb/s9JFCXnITLeEPQL0JNZMQ8jOrQ27Ht2u0jbxzgEAUrvnDLSe0oXMB4uuD5ZbfNTZ+F1Z8tXL
Slap809G/wcmOYdiLM910b62ZUdP3vjjYQImKUlpAHFAHXRWA31YdAWko7v1BroXwxvIzVNF5Hqd
t8pf+pPfOfYVBNTGQJZEQr4UfOOjNyOr+SWE8ti487UwnGcza0kRtljQdWRplneYixRpdc8Goo5b
VW05q3nALMUtgb/NXAlEuv1HM+avfm5/TFFob8iBydgYWKSyU3WU5XThFsQKoVx/cta9umPFYpUF
PGcJ/Fv4QTrHzioeh9tkyLbrx8gvvla2WfMwZ8jbpE2MYVWwigGOz82q7NBEK9vOnckjaaZPNevO
tuE7QLNzRS44/81Vt42zlr4rmpGCFfqR5izUiWKpjG2TGi5RAxc5yEScDkzRRo7efGmn6YEn+qoc
KM1Oz74O6mEvcXDO8HW1TsNKYGcdqyfHq56GzNqHfN6bzmRJwi6o1A2vcnfp7IvthKN+k89shW6q
BSkd2C72iJ3S5ieOMhJJoaW5HtcwN0zDPGjb+iMzjJmqC+vNYtW7UchsJ5i9P6Q+qS78HARfa5h6
m7Ys2j008aDdQLGAsOeweWMtjoaT1QXRJvfH9UFPIrr/7wgqQfiFouR/QVChOHyaRfiXoPKXoPKX
oPIvEFTyytrS5cv/ElTe/xJU/hJU/mMJKo1TPHlO8U3c/FGu4IzbjOBTe065IbhRxPCPDOL/PkGF
LautpTCd/J8TVOaSgBtttP8wgoo1MZVpge7P/yComKvzpDWLXHYtg/3StP+FoDKF/T8IKmx0s9bm
4Qf/v0NQ8WrvhZVR0vI1w6vPdgz/3xBUIHK+aPfDmH81FunE+d9FUIFskUq2Ycs3Zw1PQ/5vo6eY
bA95yz/TU1JD3rsUMf+gp6wzyOt/Iz3FDsUz+8r/dnpK3geX2W7vDQCL6QMqp02l0rucgOZ/o6cQ
riD0uPlX6CnDwtraCPHh30tP0ancs/lHnCf8z0pPSV07kf1uaX/01JD/Aj0lU5++/1hR1yrCZiP0
FNU1/xo9xagLwfKX/gc9ZfHfU3Z+/ys9ZRzu0lK9/aWn/KWn/I/0FKkVFIj/CZ3SEP/4i035T4lN
sa3XwCe6Yf3FpvznwqaMtfz4i0z5i0z5i0z5/xKZwn7QoWhrmfwzLiVzqvya9bNMplp8yq5jHUi8
F0P3xDrA2V/8rW1E29YWh0WLkzatX1MbPKyslhyqLHzxSorJyARtr/KM27AEFll63jeRYYDHTTh8
TgSnj20IYRDtBo60QoBPiQi8gDeNjLHdmIz29sQg7i2HO7VNV3rOWwHSm4Z033dPbOcMmyHKV2a4
GQDN0S25oHsHVxNzYWFkkzLV39hRenBk/zINrb2Z5ui1dWfwtHDXSeQjaq+6ver7j8ry790BWJvy
75sU0uWa2dRDDgwjw5e/6zBnWlDzF1gMm5oyZwtMKJMetk8sJpQUkznQqvkSkge0V8CH4FZhoaZH
IjkVMW2w0Fld39mLngkMM/Lq5+VXKcnlwfYmK6Lye0uuXYKN4NIFy64bnePaiAEARWAnE5lrovh2
e7SiLN+NzvSz9RnVz2jXznPf/AF7GcaqBYfTMG6KiSy9q6K7SwP9ZIIXeCR3c8rZdog8vAb03Vk3
8gwIm0VtAF/rGfrnJdraklT+mg4RbGHHY1riVP4S6zrNGrVp2Jt4Dsylfu2jVkag9efxzU2hMb9K
Pmm4QLYNcEULua2Kdohuo4riPGLaiF56TwcD25rDzUDSw/z2hHmcI9H+jry0XDZVCP7ByArvrQoq
17is49hWD5Cy1/x3rp0+/GwMIvk7d/AlUFYwQhftKefahTxWCzuwV9Ofzas2GU5kw2B+KCbciT2E
FKaUFVvmK9mJCWfzwx7d9JBP/bQVuZc++WOOpVylpb5kUVNdZe50CYRF8ifVrB6NzPKPwli9s4PY
5OBUBQQfwi8Xc23W2C6qfNsVIxF05n7FrlzbKgnn8Wmkqj3mgmIxqkvnweqbBuqMXJ2tYdlILPw2
iBeUFCAU5fw1Rx167rkHNBgQSmcL5exDyb2sPeikMmUoMZZLvi370pt3lR0OR8C89bYfqunMoJmF
tSosXwJI9GyTwECeJrLy1F7ZY2FpM9gaXgjLMQx0dpkzJ2I4HvY1RDz+tKUpIIyMUy2PCB0YlEzC
fHTbSW1daXfPRjrX9zy/hN4movJOSkoeR4igL+Iy3GngnOxn7Q9As+Ha4+dTB0kweNusEbKB1A9i
1ye5s4RpRe6WBOT7cntE55JS2pV+GtdWUTxE5Q0NpQ2ZSIw4MTqR6dR2QZczvCmAVAhrWc4t2Z47
YCEjyeQMlD4UPI4bt7OqI3nBbFu1WbZPbTP9DeSAKavZe+pV1MtwivLMSkQL72dhGwwSnYadQCqZ
qZEZHtZsqC79WFt7d5pIAZKEZaYU4VPJ/OhUGzCxWYWHwRUqKDQGiPdzY7jOlTSn2i0iIqMa1no7
FiAUFjFW51kCdIQq14KyqOXWmQAH1pEdvHle9dOTc7DxWTHdK280bvBl68Xzpj620x4ctJzkmz2w
BJ3g6mlGplkw8Ne+wcJVT+WT6zXZdx5MdWyVCuJB2TY7s50hSXUQeYZimC5LM8JGG4T1XFb1dJCg
alqIvbY7QyYb7a603peaIeCKAiLI5tdVWaTqQK7wccvsGhlCklIuLU9KhmVZ62R1Ymd6gmHTm5K9
Nsdq7FbQMiyz8uyUjjn8ikyDhdZX9F23xKNX1mXfbUx0eeV7V1em+6vKnFWrneuuw9AdydCvJdz9
oO7eV2NNm4e2MPrgZY16n/9jzqFXQojjFzG9B0HleN+uPXgaVr1E/KI34TqEy4nVsFA+SlJ+0amI
ZjcC4JZ69W4JQIpdxt4ob3D9nP0fazOsUW6ESSvZWmAk6XlB+cNqfc/5Eu7k+L8bQwT6z2oUNnRF
p4ngK2/8WZtskKTOpHIBZ0i6wy+aHWN/nRSiYmLungZwt1lIqa8PeeNW0cnyu7lhnTNqdPtuytYX
KXl21t2YPrsRahBgQ3PRtJuudhGYJL5o0oqYtwJTtOHgycYvI4D2Aec0M5X5h4ctgLN9Yxcs1aYN
8qH7MZZdPT767gTPwHALt39PgVBE0HSEnX4HPPrL/QJQYPlwPFc5p8Jv0iFmSV0QdXLxCR5EPfU+
38Y2R7Xmy9p8ayKUB2ffhcm4JVoUgm5YlNvvIMXzrXHMOWh+eKqz1VMZQB/iIqBdwWanWbPepP1A
HOrBttw71XW9k8ydG5TbXI1IQuouFOC8xGL8WFiw+aEILgF99MwuzYEarSpjDp65rgPD9YZiMY8h
ARfgy4Pb1IogbWuEXCGs0gScw49MArLuqgCvgczM79Ecx+mr15FR5KTLxdT/qFgzIBPkajKxjHbT
dchfDXOcCBLAfOXXAfvL/8BOU2radHm+dsdh0CbUwsIHFPTSOE32R4W27s66dvVT4Eajs19a5Kr3
kd/b1bZqIInDTHYco19iEBJWhQIpXyzmzLYSEzuYBjFplQifFPYPd1o5Vjta0Dyq5GpgiG6alkT4
hrBcIxLQK/Bp3FEEyzlthB08C07BimDHZH6xI7wMT6RW4HwNXeR0pxnZUfUN/wG48FqUXRN3vmdU
KXiZSbF1VaRlDtfSRtHTitFydm6g4BX2k00SMlxaq+PDGRuj+91WYZ3vGpMs1dnovN6Dh7P29nc3
NYFOSHeb3lskzDX9dHo5XcGL9PN0W9ZzgPywsZE2+2XNSZU7bqNrbhmubDJy2GVrfIVeFoZvvqm1
YBnAgI3+uxna1XyGdL+md5k5jdml5EuVHSwkl8YWrKsNNXktp+HXyn9rfAR1wfG5Kdcp7YEZmZUX
Wyxpd9+pQpfyzEIX3IfQH4W244XQRt6zbFRiOkryuTTHe1V6XP6yJijy97Elxv8hNJn5fZoOTnAJ
0yCcXrxm8dutt+SGwx5vVZrtTyufA+huxMtAF9yCuppfyZ/SypTY88d67maZZVEkbgrodk1N/enK
KLvt31ofteqjeafszD7oMpvdY9SH4ZkYuDrZTpn2ENw61qEKBdnqoUwb3UB0qMM7UITlHQel96Sb
zv6IcvQeBGCgzqA8yN4m3Q97X3BXLcPRa7azWqD5WaqDm1tmhlHE4di4rK1NeXjHstotBpyaZ7bC
2WhzF5lX94Ws2t+FCp2PvrkR3WHhBF+tFY67mq/io1e48skhafUzk2XLrRVtFJsSk+S+MoEXdSde
7ENruumdpQGyHRuR0ZpfxlA/t2ZkuCAcQ3DjS8QUIB5ZbmFFKJNsG9W5UJ/2MMuZLcxGA8SuUmc3
6h7nbLqou64b82hvyDJ89Id2Wl+Gsm+ewDvWX/PS5EMyTG7hEbImfp/Mi+WcKq2yezJnHa4iA7Fx
mn64YvzB9eutDVQXK+WweAeIZlO7JKKteb6IVe0tfwRwtbLv540w+f1IIRBzwrjyjHeIFGPsC3BS
UTBe+nqpdsJmwa6ZgoeSyBcITl2fUsk2lVlLk9vNKN5Sb+g/IXaLh9pQ6bZfGvgvlR979nQsK2Xs
uFQZmyBosrNcinXP27C+eKnT/6S4yLjwd6eUDbxYFa2ReIDHYj11K9CAxt2L1LLeuqFXh76djYeC
t4EZm4U5l3eBTK0r+0t8iKULOX7Jcq7zBq6BaToGrgXAAcTx78Wo5reuW6ruyTEh8c1eOlnHcOC7
FTvwcK6ssbDbU/FU+omnO5wChu2cBv/GRbN8MAkbVlxUguhHvec1XL62Gb7yofGTVbWg8Kd1xLpl
fU91a+yKCBSBHzZAqf3bfaGWale3NYZmPt6j9pWbdGF/yeAB+1UvAUZQJBkWyfAFYoBL5ou/TiG7
s7zUiJsW59ywTCgzUxcsXQ8ooHa8K8kxcru8TB/aDOjr7HRvdkfI3wya9dzbqXgaujW/3QanTW07
16G0z2ZUUqgQJ43byqlinfnupu2ix9XqLlxtkKykAedYpNe3cQwR6hRLF2eptWvGXiSBBjzBC5vv
qUsRZ2k+8dHOHtYVTp2cPDeOqv7ehXgGUuUWBbi5bjTQmR1bdT7bbkFHRDH0knYM7PM0eg9cR34Z
JbckgbWBh7NaY1ZL2U6WcIDsgAs9fBFr43krhZ9JCt4vuL45wPXCtgiToa7FqZvQiYkmBK0n67g3
ozidymoLs3oP4QT6GRibJKpN86Sb1d95bY8IZho17x5gq2RmIZ/xAoHCqMs7orYBWgyZxRWvIRYr
H8FKlHxGfIUN3Ij7BdbEEceu3PnaVIDFnDOShwzIlpXyEqzWLbyFKJnC/CMaQH50XF+3YQiXsMy6
zxluXlsH+mJI98VVgUpkod4IKjixQusVL7art3ju5VEHRZfwvhkSKdphn8vFO7OMbuwRq8yvgctG
M6Eod4tp5txOM/eOmlhvJzlJM0ghPS/luO1myG2OfWT7v9mPvXfoMsDxGor6WlTyQWQ588lhTHJB
hQAdld+zMTnb1bd+9oqgCPFzNF81HzAh6/XGPCmPQMkt1kUlZHjBxaSS5R4XDsj1fLoAfGP8BRAU
o0V/cVOFpUF6zpGnyojLikuSzIp3m21/zDG8sMX6kmnZJi78hqYyngMbF0kbfBQOTFEUIwf2071N
FGQPWLJe8QlSK87tU9q4Hxk3+JvtxY6F202PounYfXOq6aGIQAiWo416sLeSVFcatFT9zpHrbJuc
YzqXXr2NWGWEsQWU3hRYxcViM7PnP9uAmYfSk0uX/gnVUXXza5SL/Bot00+kYwYx2SwnyYbgM7XH
eytffrB5+9G23Y9+7OHShXdQ+O7pYuxqrsSbgRCOXxvGWy6s+yqoYffBJSQwHNIjGt+sPn3KetPZ
gSK9t6aF/ddc6e9mhlfreDnAZg39gj+Gu0oOsbo0qaBUcXR7m7YHhKIYaH911BVd2hujVlwDVw54
jEwei5A85jg43m4ZCnMLPaqm26DyJ8DCCii7U54LIZYHGg7Tk8mi8lsdqfUVStX0VLiFs5siyJUt
aYF94+vioic7C5CPNIikMAN44baei255NFvFl9KfLfhKkV93EBODVwu/EVnpBcIUVaIPNihda4sG
UVtxRHemgjnm7IVjmhBtZbq1LHe4k7oz3gbTX4C9mirhg/wUpodAIeipJom+HidKLzRp83oazG6J
5Q2F2tDi2TaUA4nvjTDbPB5af8mzmFgLSL0hbDfU3/YhisRZp80HGWoZ5+yVvlc9CPm5XLojRXG7
HU2/P8uK8l7KDMBxU2KjrB5cp7+TnnYTbwAxCmJ9eQjIZ25Tw5p3dHYOwGtBY1vDMU8FHh36BkUI
rDKjotgvdWBiBK2GA3vcNrVQ9Quc/3o3joJzrYV80qxTbK4hODYA0yeTbPFVST4WPlWLVGsmEw4a
71X0kb2pC3I5tp3dZ3K8A+vMWrdR8L2bgKqYInt0V13vI+GWcdp1/IH+BXMa9bZJN0x3Mxv1JIRZ
StcOGN1cf5Wjgia+6uc1cka6e0GPA8jtj1YJhqkdzG1wI0U3FgjFvmkL3nM4PyaTvtNMAeZFyyad
W5C4pHXS4ShNzMqRDH+qYfps1YIdg2vzHrMNPqVMfA15ds274tiWiAfLHtJyLS8ulcRaASj1OhIp
AUf9xsSoesOGU/aYWmyH+XZ64oTy1lkSLYPh68gnCC0nzuhkzOzPQrXv5QQNvFTrw2jxv2i9kVKg
a37AtHF3svG+LA3EbwnczzrjEVrHDmKN5oD2xu4IGG0nJwj9k42IJ51fRJpFW4oeaD+wyyBzZtm7
N0B1hnlICLWty7fWs56tsIJoJiOUb8tyCSb5Lmd1AJvIOvVofs6m3IYNbJbI78SbD3nqtspRJChf
aU8M5WHQ5TmwKuMEIhbG6E31M7tlfwkLgPO6LR95xZ4HMQOuk8OlDI1T7XDXrRfCdlGPt8DGv1vm
NLPC8CdPdDwF5dVeFphu4b1ZpCCT5oex1AfbRRayZNYvp1wgn8/gOFVJ45RQVZYELTHfogDR42YQ
3bIZS2nVgMri61TEcCR48mvsULk1+SiDHFp3fhZsZAnaEjxW8KoDYXUoPFIXKFxFMj4inzz23bWT
IZi6DJCSrPHqZXZwqQJrrzM87n3rGJTy/EtgYL7Rn8TqFSoA9TcyHavpEfAlbOQr722rqCie1jMt
JpCr1nKvs+kbjhzv8RthmFwBVsqZEipFCJtyc43t2XokBu5svdJKOlrD2Gz0r16UY0JA3Y0h9X+l
URvcw1IgFJROv5Z6+Ckr1q1tlvdjMVCQ9p39WE7Ooyj7PRbiemPO0TPQOzoaXvg1TwF2n2Ao4xyH
SzyOoDSHYeDakqsPTUGZK4ALmeskAsD+EWim5tWItRMHiLEZlY2/ruy2U9B6uzmqThLU4ik0WKmG
orluTWI756G1cFiU7ndDv3bjhvZr27gOPx36gaz+ru1ibxXetUVHQsCCpmYqssO4ZCeq0ftWi3sl
uAgpuuvgon6GWfrUUzRu1y7/U3NXp71ZH/t1+gHoLN2sXVRxxMHDs3rxaGj/T2jUd2oKLqC1vzUG
XkAOxq+5C4+cg7hWPHdXFjSZMxltNZjyeFz6GG7xXnT9bxGyEj8Rjm9Wp38KVne/hNGnk+Xgqnst
oWi4751XPDilvOpoEmeVDz/yXAvQFtZHQbuMQQnlvN+sP0hTwBNNw0PK6vzjtMx6N1YjtplQnYYq
v8zUEo/EfRxoTfmBnq8X274+gyNbSE7gHxH0ACMkYATjdiuQpn4EW8zRxOdSO39McN/SLI19RhPT
ioFfuudSm3+KQP0Qaw1ita1eVpE9NM7yYdYkLUyzx0hgDI84w6lExnyPL/kY6OI8rPWZfKiKiQKY
D6KKjjUsGMQIOaariTtHO0f0jCcPMiO9r+3UITySbXEq5uHoNpadlEC4YjLRTyiEb8bT8CuV8zOF
+56j8T61DE3UQX+Tsr0F723noDw6cfw8/oz9hXfV1pHTF6/hu5pZ0DYquRvOIrpzoL6XroF+1xqT
sqkfg6EeuP3AQm1v5qD0Z8AFgd43T2BhNJyg89GaMOkZXXEAs+PfXNOHVfTmJvWqMO6M1E6qdfjK
ulwklu5+Dsa89Tv3jSzYU97b90Y6vnHPuQad/xsOB1XxLJttb6D6oVVmXOo5BQ3cZfshrRBWtGG+
Z1pEXAVHCJCyept3A/5ktUZct4qrNLENCxsJ0/xpaedD1JTOKdTIs8+/BXtRARoayBWSQDvuqc05
OGljTQ3AcppB4OVvFMiFbiIwwpcicx+n1Hq0U5BjrQviuLR4fIMFYXpTQKnnYnZTSVa1lx+h3g/7
UHH6wIz74rb8lrnBgZkcnjBRHq0qfI2M5mz07iEYcKj09tFL00RWIVffzNv3KKMBUIa8GprELgdy
Dqv/g+HCR4SZpZRA8rvsuOS02RtYKahn1h3tEKj9Q/Qc+gXO4zoVxJ+4b5jzIW9srB6RAYHXzuLG
wfIyYpIZgKADarslSha6iMUnlgQfQE4BQr3qN7AozCMq1r0c5xmmriyuYWl8uf5IXGdULzR2uo1W
UOIM/6xQ+k0dFM8QF5mjsOLMF74CW88xt73/O83aR3tok2jQn6XTnY1w4Ctn3ym7eppo7wK827f2
+pFHYkuDbKvrlYgN6PN6RFtdcqoVNlhQO83iYM5PszsmUeWaewrqR0i9JKuCfdcU2z5KY0aqW0Pa
mxVh3gzYOIdx3/lBEi4crU5+Kpcv9MoKBxihM169L02oPyx81ngavOfBG/fKJNGadzeDyqiWazN0
d3A0AoiSPHZdhedVfxOqJ9yIvCMWxfoKJ/Z9Ce1nr8W44uEkIHNu7OemxjWo13jMjUMD8Weg7xcj
1cJrEDAbq65KkOcKM7JBg/szrIPf3uB9LLZPH8TlYSF9uCW7frAdN9s0tIdpHZsQGfPq2Fe0w4e+
39mt/71YFV9pdaoYghWuiSY52HT99BqW9aGY3TNt9SujXx5SFH1RnVSDv4dDITdK+Ce8F+gBLANz
mAhjz6gfrNGtt6kYZxRb8320pOfBqo9F6l2cW6QTnxBOJr//6eHHgpd1qgWN/lLf0aRTLJKpXcET
awwj/r6searr/q11pofUGgQI7lt4CYJyNxccHk6xr0aNLq3h2hK+evhWWvsuWKdDGSJvakr0nXg8
c6M7+k5+6c3pmOakNLuQ0Xrw6OAKyBGVjFo8cHGu+CjDx6wd9wboVBGy+xhFEQxBTXrXqL03Q98C
ZBj9uFdHIA/1nQZZuOh0Rxu35Cy7IZsdXsEc/PdSkLU0wZu3VfGJyxmwKi4erGqRQlF64zqqEoqL
dRZy+tNK86e/iIvjVm+GOT15q162UxgYiSWa4xrMz443ovjmgHCrD0N2EFfhEDuaO/qAK9CxqKgt
xzlU8Et6YOETmrLFd/EZ4Yo1w/TB6YhBrm1+kJV/N6XzrzWaX+joUhFX59auTox4TlAb43kJwX86
3sZeXXejekDfy3Q3gEJAFBHcmYG5JdPPsSl+Grb7rafh2ce6vHEm/52epRc7Zv695hyRfWgx9baX
MhG42TZ1N20b5Zx7xXZ37wUnZ/C6beW4x07buzaQu2X1mFDKmLDaITNxtLrTD+Glx3zITxmHTNXR
NvQCGth0LcIFuHCvoYU7J1unMc/HLjfWb6tSCZX+xeJG0Us7mXPnXtjUD7M/7aZ8OhXm8s1c0SMj
XVzz0GL0g1hN/J5vEq6qwRU4DMe0mp8W+9kvy3eAU1yrwwSjwOGm7YRf/uCp1YvVnP5sgYQ7zXwW
eb6zYaNwjqqX0OI6qJg55MV4ctdym4FqhEFHUyoVoLqYhUBchfEVtylRyHQeVTKl1ZH21+8ildu+
97M4aopnFx17awAaD9L1IZqstzkDDlav7UFo449V1JoyrH6KzPQSmqWdDJ149SQVYLWUuyFrE/8m
fncn/xou66/F9x4iSZOEBgU+LL59LeqmjZ5X5GAWGo+0dk+BNR0lhbM31nu7HjYORiZIzhV9PloT
KFbpl8OtnbuEq+HTuhQQpZl55zOHuXfNVvtXK6zfosHLFw07oYfbE7zPfbyEQ7/SnjbdvWQ0pUKI
ozral8xxi6q5L30fu18eXIKgDLclA5yhmD6ztnoimnpX4BcnRNAdtZ0mRQMkVau3xq6Oazb2fEEz
E+tWByJj0Ac9dr/7xr1JlZ1DP/rmpjAJrdrqzhzrS0jC2hmeJgW4Sqz2MfOXc1R4j0aV/5zZquki
JqVFeO+JD11BeErbc0UYw7n9oL67E3N7VpV7aDokGIHxDNfgZLT6YE3iSho62/iEgNvJfbIDM8mw
tDChNI5chyGOz9EQu4q9HKsyYY3eZD3r28BI1KrScyhaZztX5XcuwxcfgE1SI79NgqlYdtD2G+jG
ALaaho6Y137lGXQ/NmqY+NTc33xGL3Rv+1gXdA/tdHkm70zwG+9qXktk0S4ThS6VX2Eb3q0RU5M1
eHQHzphSWo9zGp2Dtf0ag+KHU8uTaaEUaJi+OiHa9e7dBO++dNNDN+IV4QdC5jnn9o9iVAwwpoIx
yFRtg5DQMfl4ZoY3+TZ6RcoBFFuFsT4blnpQVpMgEmSdYEy/zRm/lu7g76DRIxAdhd4rX/xtlb23
wtyXdnjIXZ6mkGoqn/d0JGNynqjySqQtxUDDjEK2Kn7bDpIu8NPKCRNh+DPjidQDXWrWiZjdIXHq
ObtTa+DtOk1/ljUDn9ElBZvlTjy0FuD3KUOKDPWce1gdNNdO5AO9fXs5d8vg7ENfKTSQdfGoWvT0
ZJg/J+G3iRprEVsdDcLSNOtfASRkkElwycreLhKTLZ+rafclPiy6TxAZPvoM84tVia3pVt+l0Zy4
6B04nLfB/Fu3888+9/dTvX71hRUHdDNEtWdmfOyZ/tRsDqBOYm9i4w+c3xaI+AlIe1XYp6WRSd0x
+qaTR8/8mg0lX04xxkrbBxbCji2oIym5ANUl61Jpr/Ze2e4ia7hbctz1iAUypO3e1Gy9YOGBNR9q
E+kl3/e0aq+3OLzvBOgAiEeH4wN0d8rP6Tpk9F3dOslknUiSS7XUcWDNKjGK8shm0KZw2F4Sw6/W
TPfzBILCQ3NP2qay8TuV+Us9Uw4OWXHxCvUR1f6VLwdGdGeTjh828OaWTYTKEaiSchDfAPMpuIzP
CcKtmt0Y98qVD+uCw+DQumHsUxrgKj2EoETz0HmvhPsZWd21LrotvQ+u+X5TJHRx5Gc9N2PM8LnY
9VptpR3tislmZa3n92UlfuDvKGzjsq9OnZ1fNDMYJNKPtXjgX7WrNfOLZXa/jcI6sigVD8N4dXHA
pfhllJG+dYLBGu2eQMlkbh9L0MqypH9E8yfy07fC8HG/vTbzSzN/RujNYlwnB1U+SBpDjIVenFx/
SH+Kx/pL5cGL6Hy4esG9pYdXvxh2/8TReSy3ikRh+Im6Cpq8FaAsW5aDbG8op0vOmaefj9lNHluC
7nP+GCzjX9hRGUb9pjHE/tBXOrdP9EkoAJQs1bzADPQeIR28mSWVCmq+17psI0AXkoLA7rrhIa76
jzi8kLy+67lZSFf/McvuYgCAZiGzAnS22xilQfmEsrNQda1JngvFKaljHeFJDn1KYbP9yu/tlel8
GzQYJSId5v6rt2a/40Gu+/hkN9WDVVLHFrKh5fFzsYQXp5+O3aidHMU+l8t8MSgQ1iJGRaBuUMwu
nU+6pZzzsOTrHLUjE9+jEsb+ZNueUkF1RNMzSezUgyfHyuG+FMNjpM8kPRgXVDsqgRLWZdKBusVy
Chb7OwvNTUjsvEPZvaB7oJ2UlzZST4H6j6IGAqnNU89cXQECUvE1bGqiLDZtxRFoDZ+8BH+OIRhC
ky0D0mM2H3rzCqP5HMn8EtTtJTEKtyrmK1W18MxHB+DEJtx2XgnGQO5iOILZAYUbKw3OVuwaq71q
jfYqLfakFSi1R+ubyOCfiuINgH6zAA0oDrmhntM+/87siqo5Fqys35ZEr83/hzKqpOXYfhsrXytd
2gfZSU2i5zmeKZAGsjXH7N0ss7tMbdVFFnXJAnSknXh2YsKdYr6YedlWPTcY8TPblVdBstRumEgQ
OIYnshMoeTYfYrNk9yh36hp1nZanktQpo0o9u6Vdu4RHivg0i/jM13Pl8Tln0/wvMzMdlos611p5
K6LoZqnNvxAtxEYsLfEK0adk0Imz/nkEn5eWte9CtKSjtdAAyL0VyWremMG9XuE8o31R0e+kQ4+a
q93HKLSQachdZSjoFel1i8HjUcvc+lY8afV0hf71E119spzPQV98ilddpTNo7bA55+jBJcPbrzW6
tsB5I9KA+JseNUDAvZ3X0tOxGdvojWXmkFO2mze3oE+/iPd2reppVDTejeyogqC0JJoqDVUvQeNX
NJXmc+nlsK5mMG5p/DppNFz29rFPVNaXOniYanRaQ7u3tOI1TbTjTJPsHHOpOP1WoEoNFjxvBEJo
8MGN8VoH42NjiQqZQmdvhkDZQpDWqvilXtgFFqFtO/4jivs6JeNZqe8DIXIh3QdEUVyVNjuODfxA
sjwIZdkvQ/4wYBJzZu0AQ7CpdXNdOhDNQPCwNDiZ5qYhw28CEDy0wM5p9jMYZQUsXh96OIRea38Y
8465znxRV2t7rn7X1GHXyI4mUvGkyOVQR8UbrSFkmdDGhYpXFP6EwknW1pPVTHs6sRGCHWg3Njgp
Q86TQfrN8m/JcpJblm3TTX5VEDK6MMxmp3J646I4ckn8C8gakZXY2MprbDuoRlEKzuwQGNKc2nm1
ubhYnL3EmTvfTORbSjtgVFC4pHUHs0+3oqW9iKKQHD7bZvpQaY2enUsU05A12PQMgHfpsPDNV1LR
BBQ4PNH2hfnlYLTBJgwGX8/jL2YxGn+oV0JzqyOrrQDNaibBtBBeMaVEcqrbCOG0goCXdgCfaZDs
OcV57YTyhz5kl1EmsjEraEwCm04yc7ZRCHRej1e0befOANQxkNq0hGLQDOZz8Hk0eW0sCj1AM8W5
1J17h8S2j0rsIebvVIZnvV884OkDee3oTRIeAFkLfzGOKUn1c6P4kXMVo/6uxUiA7X5HTcoaWLu1
ZOPOeeOWobOF6/Bo0QYl/mMr4P4udmqr/Rv64NQAeQrxahMy4slqvOr5fNSRR5RAbQUi0Q260YfR
Gs6dWT01iU65X3pOSiJ9Su13pULiSV5HXb1ParEv1GgnS223tD1kfeIOZEWZU3vIRoe+9cJPEFgv
RnhU4/zYBl/BlD5wwUHzEfBCz5YQxpOjqgixC59f+05zww3Q8kOMSbMJLYA0aoMB/HU/Y/2vqTex
wtYNxtc552IyNFq5FxQYY4KpWvfLuTrJOvZaSOM2GHQGjiZEY0cADyLTFEFdSEvmTPliAaICE0qi
EWuc9jYRiLmBBIY85rELPqoC43b/uKqcGtqQZ8krbL6Q/oTiSpEuEmPfASiQ+a4wqHhgIu3B2rzA
vkhYgba7aPMlTr/qlpOoLlzN/qcRgaRzMNGR+iUnlqCxVemjSY546z6j0TnkgOiMv+Nj3mrvJbF5
RYakIQP/ipX5XCa2a5mnXMit0V57Km115ZcEpIeW6qthtv6VtMUSlr1Wf24qav+KpjuP+ree0LmW
Tn6ypJs5CDZa9K+vZpTSHWToP5a4jV03P3ESbefAOptEAoq28/KWWtMgumRM4zbyb/b+qNAYfUm5
ot36jMNsD8hL/BpnXpe2x4D9yraaHaV1gUJbJPtLXPNmGfI0t+9dk3uiodM8k/0LvB5Z4fH0MGTa
t9lwLy99SRGO+RGiu545CzgSML7aOiOsWfdfmdFcdbHW1teuQQJRqgbfZoFkzYhq5iKzdHsStxwD
0V/GR61EuRv2iT9SNjJ16SvtEF7frHB1utUFehc1JkSqje41/2tCKB/nvDqHfKCjRIndJ6uiBUyD
06yxbK9pb2HwXcUf3Ezu2tcBWwPpryN14nDpCdDlx5+pFInWD3W+T7H6GQG9U0vn/Bm1gnLWGiBn
TLmPQsaprvoqlPluS3mtjfojVu1Po38Dt1Z8OQe7IFG2uRHdQd0+I/txKtJ/Hc2TFKK2XOwYLUjt
+CCUbCvZhKr4mXywD2Uszo7a0qChfnWx89tS2Fipp4KDoMmCP6Fo+4LULcNq5E7piCgyieJxHTLc
vXJIudryv6BMz2HAOFaI+YGu7vhGK2/w2ayPJLV3r3Gs2YgJIQoRjs3gwzL27cwun7pK5B60xuwZ
sxqh0ZGKX6GFOxmVrR9k1aUeMlpY11Q7IWsKJK9CxPtbIMcoSBvzar2rWKBZ7hGNkyFGB80mpUKH
PaIOT7Ni1Kj8u9qdVA1LidBn1Lv2F7L4r2VO4XCc6tOSfHm5ukLasrzlNU0fgTV/jQZltLYDEygm
ugWLydKpiQlf+9rkz0RPnLisL8tk9rtaBwJtk46YMW06RT3NdoZA/gPEUG7FGujU1QRaAttdRxXe
2+qzzA0LCAqTiXIw4i3KAf4zOUwWMsjHYbZv9hBbwKi5xihW+4Gk/S7qaWFL5kLu7Gg5myCHnLT1
wNEx7IbW/EJ/3zJxdteSQhC2ehR0rRWCDRbfRD4SYkAdWKxn27yq9jmE00aG6lWmztNgAF4b5j6t
4LiSicrKzoRWt/tnu+j3lcL/AlC1iuXWtBtv6ooDkU5fNkCJBR6StMFVCKjTebX99NrZafqVuBIv
GQPlUlse/HcLQtR9I2WERBrcKJPAOrRR68UD/2m07HymYUDVYF8Z2FS65TudeGGaJZr8JWe3HdWB
Hmk7h+2bGqrUlasu7QNfzy/RVCa99eJQmNnTSBTUYM1P4GSF39BY4mkGjWOoPEBXKY01ZHa2SoAx
aM2XEY2jkU73uAVwSBAg0mKSIZOz+0MeLw5MbMVA6JjfzbCY1zwvwb2CptwOg0U9dZJ61I29xASF
OVp5spW1jCpqf4OEgz1ih3YXPXtRu/QvXqZLQrt0aHS3XirPil3+6su8XkPgYo6qU7s9VD+mJtDP
F9Fh7UqsGv0zsDFh6IY46k4CSxXXOlLh/E+NTRWdIF6FtmQyKAsgZR0tYdGYNLzj5TCd5SCjGQFB
1k2HKa5phIkuSNt/F2I/j6yl33yuPyqVpcSTWzv+4hWd3OcKbpXrWEJMLvhT40Y1FWeEYcfuTM2q
g1IXTJVuxwRTiDtGY+RSffepdsu9xY42LctXqhPzVQf9tibn1COP/qEs04uMOebYYuLNkMfZtu+X
FFVluCUukU5hQYxhpU7JVibtjHI/ql2dV2uTdOVXF8hnKrY2BS823+ISE2XOyxhpmnroNcDgEeE+
XCDit0IPqOo1lb8c3bo/t3heuCvfnKpde0khj4Kk3DosvH4nga5JlyUkDB8a8vq/uEBmU49WTUQb
Vi86jLwhR2CRZMa+zac/EIBx37QSO1YyPJHiu4fpZj1KDwJ1IrFqo9euGKeeCcB5dCF5LY4QX19U
dvsVf7BJRqQr1LftE50ePFQ+l8jK6WFTNYQig8LovXL6o1TPRhVp3lJQBhRbst+rbM4UbUZMmGIL
u7ONBoXbOaN0yQi7XTBXL+WUfdkOSbA5VeZZV7HOTwyYQ/igUTrqajUFtj0fXajm7HzpsDWD4HWZ
zceuMH+K3uGSKr0sK65DU33WHdrHks5A+skKL07YcaR8rpCUeQ6Pmje2tCxqUbBWf5WnOg8eEOGf
m0mekrUjVe8toOUP3aBPLJvNZ2LnXgcb4QXSn1sx9z9pHz3OfXcoEuuSJEA8OaL31b6lR+q1icFC
pMx2cdU/dqr+2ebhfRmHN7WWd3B95lBFO8GUbhVaGr3S+ZWobQ/R2E7eLIF544RK5cVGEU87lxYp
f1Bam8RYIx2NQ2NmvDI0UcxlWBPvQu7g1IZXxOzMNRyWgd4f2moOXfSCH2xhGl4j7H+mVn9RbMcJ
lnBOwoo9TGN+S5J1PFyQnyqSjL6k4eFIjOaxSO18S+eRG8tC8VIKpbk/0CbbyQMa5XBj5bnlyi5G
kG3oNM0U43uEjHqDi/JDhiTbUUN7MzpiwWnGwEZE0vk2bOrcnUut9ptoPPCc6vR1ds+1tBE+AKYa
uIb8dOABLIOZV7rD4dMgF5jDKwfRsU3kt92m5ynFENCi4kUtQ0tbUBfBNqoQPisS8Y6cTjEFHKpd
/VuoE8arw6BKQifadWJbDkE4X1r+/tDCe7TaIajMeS8GMq4tY2h5yEg+Xdm0JaHjt07A1UXRnWZy
LL3YaB9Hsztq4XRYeOMR4+wCZ6QS1xhOuWbm/qSWeHaS5oHVAmpW2LeklL+q1kaeSfsPwLVgDA1W
7AmuYN+Z3NHlwDlLxCuHU2GkLsBr7PeGdYsizhniFveJwzPZQvkEKH7QTDEbToMftc5HK4y7RZRN
EAcXPEx7K1aenDw+GgKWgcJ56FwirrGCqbc2iE8jYaWbYWZTrczMy7ryycolkE4NGoTNCJVU/Fmj
v1jYuEUYfisDOfWT5MQC3kaIKQ9M4TCxUx8/d5QMoiAs3oscVBSLmt/zq+erSHfu6Y1bO4vX9TAx
Z7GJ1kZnxUFkE4Vtt28d0jxx6jTnUBlYwSuUOYOFUMwYA+uKONzaN0F1Jvv9SUpd3aqF+eoktnKY
FAJGF+olN73E1VLGRFVSvat4Xa4nqL9Z7i1lqXZQrP+cXvoKs7mL3DbdJioYMD5PdI01IAjaGy5z
TpqxEZxk3a2pRrbn8C0BxqkS87OiSWmjI8NPC2ero1ag+i6/FFn6hpCKr6bZG0VE7oU49irrkYZO
IOLMRwe+zN2+s8TLYsvrYOlvDqJDA97fXpT3mfiqtIwJEZbWRZlnnxFkS0eivwy9N+c60Heyytet
FKIx5Tcqq9dWy49VgxuSJsbPrhoPRHsftNp6r8f5w6JMZWPqPay80F/zlDBSPZHqPq6ArLMyXPNi
ZzgRVRt8e5Sji6n2PGjyhc4disCb8gOy4WEAHN6E8Hz+MCjPacSAWJnG61K2zy1TgV60B2HFF2Ss
tOSFflLGLyISDzi2X6PIvASOYL/vTnqknWXzaM0gUGw5G9mg8q/KkyoIThmMHdbSZVOB2rqtHm+V
ttnqzXQxC7xzcT59heWzkzSvFR23MLnHPltu1NCx6agodIkwNwWIL3BcTu+gxZhFpecrz1TjjkhR
JQY08K7guhjzu90WI95B459RE0UbsoMpgK7wEsQoJyYrvu7yaIcnRI71qtJ+HbLwcU6DUwRP2CvI
DGc2ohCFSy9fbSP7TedoGyj5QweO0PVfNF1d9IQautS+Awk9dpmDbBXOpWv3ff8FA0xePn3h5tpy
vZyDrKSox+6+S5BcT0jxCFCHXja5o/tws+JztlK/o3zUgHePlfFc1t2xsfD3UAiyKXrUHGir8Yid
y1b5DhR0MrTSuLrWvVBtTpCy7Q+dBRXEQOq0/0Chm8E4oLDcBI6xlVbrlQv6symzToLDtMLMjIjr
IRyo3Rjjc+4Uu0jRXDroTI5bXWWmzN+Cqr9rwjxm6GuiQdz1mSgz23gcGVjAc23eVZvxIO/RLBVt
4uGij7xAp3hx7Gdj1xmss0W3izQQgSa5B8gc6Mc+Rk7ngZgAxFauCKrdMtrUL37WqnHDZrbHYvpJ
ByTfchPSyTw+WkT+OmJ60ZH46cWXApqmVqiIUei06rL4uanhckDGnIf7bOBJmUP++dGjX8ATSwgo
Urxb5dXhxg3D0NN1g3Hsp8ShyghcoWRf4vvQ6V8gNCDDU/fN1PCMm9QjCXmHWe/WWrZfWta1zqxf
3Bf7uZmP1SD+GFt9ys8ATuzbmEy7oe+2uenwhReeEUxuzjGMl3fxzUU/mOCHrJbMTWidwvSfTHFq
zzHiUmCMJR2PFp1S6zL4WrNHcZdvVXPYqXZyDHScW5a46iiHKe9ERzwg2lSeh0JbIWFOCGmzPCFb
T8AjNuFgjLsqGM+dzrBZzvalg9IfSuVpaVK8rXoKb7ycLU56yPOU+kueeH6I3UD3MKhWn3F+VS9L
O352tbnTxcKkKJZ3LCFAtXIvGnHGB/00ooQI8ZHBxs6RV9p8+ONwmq3OnZPmHk6ox5Sc5WP4pzEP
uOaEfqCu831UBRcVNRlOsVPplKfGUfAI5x27OPUbEBd9QtsQIcZpTmi8Ja29EVD4rGE8pkisI5G3
c9Umc8WEFQ0u5FhYDU9zgce0koIC0uI0WdRGybl7D8vmHmU9R87EhEP1y05kXItm3p8jmRxqJvOq
7AE5NZd+8HpjaUjdVYBGsppTH3D9LY+VdGNahjs6hD3k6Sz9LJLyxNb6Yqg61nwEaNw8OJpSN8Lk
7zoL6vly+NSL8jpaM2LuZtPb8gGdaruRRRH7Ud08VbHzOefO5A5J8BKb1jGoWAWc6FKt0eR43vcc
36+g0l5g0YNkzcd20G+MDSzvgmNVUGo8PpQquHb5SR8EX0W8G8V40hGNsat7JYTZWBGHbH4bGq6q
fOCuosqD6a5E15eSlGE/K/krURC8ZTbe/eZUNCz78JcKEq8oveO+IV0bRFtIu/DNkm0pV8r9sLQn
2+ye1yLmtaoKMHturkA7yQYhGxsbBb9UkaBN35kOt62TlzcQz3LToQGdqbQtohkhJl8RiAEWwcq4
B2LMcMG15061zk0dvTKsumqn0XU1f6jMukgvOdk0B+vOUIv5gPZwF6N03+RmhFXGGEuAWecpxGJi
puJeJfmN1OSRQVM+0XtP4oP5M6vxYWgg3KwgdGG6R0Yx5B/UjVO+ZDd+X/VrVCPEy6TuxlTEbm79
kW3O6cUpo3ObVml67AumBfkJOem3TQI6+EusvscFQwmqcp7qwi/pMfGHZs3Uti6BkYBfN+JxqWe6
yxGoeEE0lZ4i+7thaY9LjzwnsPSrUzks4qZgOkuCowHD3KPX9TrV3jpjzfm7sBWaz4qMnnMTuK1q
WsJFTPUczmtllpz0b3PiZkaU7JEIwoO9KEzCehMzK5Y3xdaQZKs/DTC9Zo8+3lToUXxLEw70psam
neoPVVLYOxHYt2wuQp9R9Bpl9k7p0V7BG/yGNf4z8vRfGkEPLrLg1G3ytV88VR7HIX4KDOMBFf4u
iWKmB4RgoGvtTk+ZafqOvS2uVLfoBoCRfH4tpfNXzSW7AKBTi9iojKBwQ4OfrPTpvttERoinuDlJ
mqFNYFu3TMFOLL1HdxG9YBT7ibJs2ySV31X6s8ytV4clg27Z6E3Tm7056I/WytiyYnI6U78r1JfZ
0r57xX6YxcRoGZwWbGWgIpjdR1waZkWtQgCs3Rlt4yayBgcdxmvcGy/wfLAHEXaB3PwzpwecFylG
AYwb1LMBMgfJuzkZT3WpXYI4OWC89AoTmSFEEVW46Pb5GRT1PsTqPuOgDruV1WgbFjc+HMmwHLQc
eIbwM1vfKqNJukGuufO8cC4hRSm8JVdfqgW/gRW0O6z5zPeBFxmsE73Jv9B8IAWZeLQ+VFqX7dbe
Q3zqOykBjIYwPEeLyoUYAmnDxtwLrsJYjY5jPR+zIAe+lzdLL3mAFJaehtllspdLVFbHyTQfW707
9zVSK4c6gRJKPOunv4Z3uVgShFWqwu2p3FuNqwDs4d1YaLmQnXhgl/QCRaCdzzp3woE9K7d8lC4A
R7kKmVwxDt7IpZYgFA6i4WLH2lkfnT1SCE+lD6uW1jXQBW+2ydGcQp8Duw8DmA36whj0OwYXYLFQ
9wGis6jst7Z2i1D8hwNBIVIyywaW9oYr9xGYLDljJytPTuv8GpO2x1R/xASI+TBI8UwgwTN/tHre
TYFZrI1oh7FOGAnSK7Eofyg/uOZF8D7oSCXxpCxuFzf3PmhvS/Bex/MlTaZ7mI03tUmKrSXJy7BF
fk3ayZchQrtUY26GBh8V5WQ2Uw6elpIkU9quXktf5kjVMRN4wVwsHu3W/qg4T81S+Dhl/Em3+O7G
2M/n4VkzcfJVRQOhpEdo99v8n2b2tzZUg10dTEwSqGHxYuVoptHlA3PVyI4Xk5nVvIVz/aPE3Abg
dGzpTmRukF5vDa04h3b7HUokZY5dum1o5awh/P5w387QfdS9mh2xjPss7ntFVfONQOJY5fknHjCG
xZp5kif0CfT7xifhEply7NfpQ4M4s7u9pTqnVYY7FnKrm8hVHMOXTvEp0McqXX8Y2/rsdPEXqNkh
LhsQEdguQ1cjTxPjbm6rh1DS9GragAbGDf2l6io4gKHghbIFe/ir0WIIWyuZYKtdr6l7HQFlAdcp
Gljf0plUYkXar346FBLjirrw0ob0mYQj8T7DwTTKezZHa0oIYvqZgpQUxh/QGIGKyvNmNdu6tvdK
tdVDeRrkjxogGOQ3MvaAQrYrGuOkmBJaaRQIGCK36fXnaUQs3uUPYTDuYfBeoPoQ11lYu2EAg+xp
mOanRTOekdruhJUerBCkHzF1z7PiZPN5HhnMjFj7w8+LYnh87AMWUk76bcKjqqz96euElxg93egz
ty7fOBYKQ5RMq5GvFAuXAR0tdjMIT0kSfiC6EIDETayNNmbzpf5yVJm7lESsscAtF1xV8MnBUkum
WxJdNg7MKayAtWlyjvO4aP8MzmVoCPkhVYIy2uDmdOEr+9u+W4zHJdIuArvSJssENzyjlsCs46rF
8N6siymSm7tZIAHCZ/URD8AsavZcOXyTZgmHYw0bVGTMKn8aW0ubhMYuDrE+TcINcvxImrDu5Uwv
ip3W323Z+WM8ehldldiOY6orRInxHf2OOkEpTmSGDdh9oxp9VvSdS3SGidjwWmMR4y5WLcUNLZWZ
r/ItLaG3CRpkXjr4aWR/RueE+6CBBUu5bJUqOY8hTqEqmc/ZnPmLHrCVcQM3KV/yKC9drx90cmJk
RB1PnPZAtHV66gRSwVlnNNSoTwEXs79qbEK9PpzQGFXIR3oi6aNV6l0UdDfF1dYejed8cG5qxTEc
RmiCnaYUV9pJHOaE5kwG1dnAAFiOzbHX8BQoNdKbX7BsVygg3Kn6yaKOMEvg44mc6kYnyQ+1fw2u
YhInjFC825P5nFcjo09r+POQbbH8op0rULAn5s5h6NxgPGeRGqxfLMCv5RK85Wr7MwdgYiAsR9n/
NBpAsJ5GuwWKPsAkKQd0FnFsUqshx39F8SEWnAm2/VywgRROussX46SNz7nFPaUiHx9iVmLLUc/8
A7egY4ZHt3I1lfGzz+w3jJ9Iisgg2RnxxHMYK+9Jqj4Ok3Wx2+FfRAcOp7RdHo3AeKns6mdScKRX
K/2l8emGAYkLUXTKR5yWprO3WTb6BONiAzdTdto2KuQbMRx/2GyPqfZg4PMvnBO5Qe8FuILsrN8g
Fg8FH3IzTUcz0e9TxandpIdA8gVYQERLjCtBuVo01vYiv8QjhCtj7GK3nhYOPIAAXHHjKcurCbOu
qNpO74DvxWmOHmt+OxXJY8IM5YxYMYI9CUjrkYcR0nI1tJjUofCjP2Rh8ThDPZaoUnNksUu2x6+D
p2zatvjtx2g4jEJ4YcuWhrB5UDmyltqXSvbirCoZDjmVzW3BGpcBKhctnCVUsKs1nduH+pMChF9k
iY9gawy/htW5Vb5KxhNiSnjPjVtNi0on5YYH5k2ZkuOyKglFvktNhPjaFJ77+MtIYIZ5reoF6/R0
6iuxt6acG8/elUZx0Rf9Yuu/uDH45pNNhrt11thgKL9qrLcE7sA00M2Fv/biuCRXvcyZ+QUVb4fZ
KqaPEoTj5n5orW3XYDO3OyA5+Q0L7SVTt0tBOZTwu1izzZ2RBlFo7u5lAH2auQFLYe3T2ACoSVlN
gl2q8bwXzFWK/DK5ZSjf4UeLsBxCZIAqvRFgcSmKajtTxNqWW8OytpNGVAY6b5TuxA7kfgvul+sw
mZZzQJKxmcDC7UG6ssfbW+dHAUGRNc2hhuYvAYE5l8GXxGGgcqsBYuvtc4JsXUXg1zmgJQR3jZDt
cHhIVtgNmI2q4rvQ0DeE2DEBjMJgixwPN2q4a0R/lMqHUSAQWLRNSXxSrCGObD+Edqb7lK+fEIDh
ZcYJM3AY4iBn/DyUc++tFlFi8kjU5nTmim/VdlebyDqc+aEv33KBaZq+Ni+Kzm2jI63VfuuZa49r
pcoB5OlL7iFy52fZn7PxuRj3CsY2Z9wv/SGZas8QpFgUAWgO146V7ZIh9cvwxwafSMkdMZab4MFW
BHsDeuDUPBJC8mDrxdZErOBE4aethOe50P7pGQuJQ2eVUAu3l70X9uG+y9QXIy9BkRuH0hwLyVM/
/OqcmyGCJGXIfFoYOde7eZvXAPeTxJrbtMmeJTTEHlgdCSw5a7Z9NfKZBSrFUVr+Ns382E4XQeCO
MQQnaQp/ioUriR6L4XCnudm13L36+My+kGjfNhXJI7gc2Fw16kxhqj+SbMeOTeQM8+xY48cE5M55
sSFzlxUHag0qOvsDcCT0h+0DjGM5qc4kWXb6uElDMhqF6tn4jcolZ6yw9kv31TkAn4ZzGMenuCPT
DVlTijudgQl8fam3Km+R3ebnFo+o/hBGpPrV7PhqZz3huPYoe+nq46C8SN5FNfZ0seXAAaX/SsJm
L9R7Ux5EVBJi9DQyXoTXqX0t0odOl75urbzFDwqmTQUdZKt+uJIGtu6rHQo34y2BncESaUzZXo7Q
9LkDn6R4ca9vJmtdOvNdVHbbNtT9JeV3RUaeI5BXSDsLITDIKOJ1+dEHwsRSrMpAwk00U5eo3PSC
8kLrrFhbtqR0KdChfy/NvWIhChegOmbIKeLTTQjEwrkm0FrVB5sLQkPEP2rbFf9U80/UdVl9ruav
Ah11hcdrCf/Zn0GF1TN+KNhOgYJtZIsqlyCRAUQIuQbhFKZvTZ+xcuqDR9gVc9rCToOc4aTbjc2O
OMewvlgmjzaxYAmpZYQbmiyJRrXN7Zc2ezEbb0CAbBLKg/+bPeFshH86xj+NSrJ28QaBBMZ5oGTY
p5DuaKCIETom+bQ4ltwUXe54c9uAOU5+4+SnRnM4J7DxYEoMNTw+kLEAmn4dcdczf1LVxxB3KKXv
BL+mQWNe+iAdbTfZws3BMGz469lYZb7U+i35WXcOvHMAz7j/a4BAzAHSvDuRflJkukfme2zjuNyY
6V+Z0LNdNn+9MMgfVNAATHWHiA8DeZ6rtxWzptojYhmLIoIalvFbD7N0X5JPSmXYtCW86Wg74asj
ESAZVnKFzydTgBgbcjRifCDlZO1plfNy4ALGPk+L2d3sLY1o0fzUBeOh1F70ClkeToSh2CzyOSOs
slESvzYTXP9kTfbmMWo1V2m6q8UkCQtxp6OX4FUD9C4+5MqjrZDo+NIZ13C4gEptJGuxWCTn0OcE
I9Xr4pKWH4OKFQJtIK6s3Ijv7czZXhHZZlYnY3gWifBtdJDkDnpdbB1NNI2klrE2eaPxruAkQIhC
jtEmZ0kDa9HLfW6+OyN6d9zIjVeAdBblRyfuLXoRNW59SyyIafAPWpUX1k+lsr5l3BfhcxW9Gcq7
Yp6a4GEYQ/DKh1ntjx22vQoWzEsI71PnI/OqacHfgQ7rPyla7ZXiICETAu+F6ldIgfTQDs5Wpry7
BSAvvlej0xF9vfTLTnduZUs5JMtoieFO4uAe9B+1njC/PvzH0XktR4psUfSLiMCbVxVQ3qmMpH4h
ZPHeJPD1s5inO3Gnp1tdBZnH7L22nsAGWk8ZAvb5Q+BoRYLkwQ9zY5PPiwacgWdhnCakjvHDsreZ
crPLd0Cmhml6AtajaW+S4GbyABrJdlZ85DqMIRB12Mo7iZjMLtCXsFfdLfrDReQrws0wwsPdWOIR
OyeThTpuFqfP3LH3GbsZia8h6NVYecaYebvXIFmUavgVs0NUH/XUa0mE5AkV+GcDYfn4jw6EEiJ+
ZnXLRjcDt0CyHjM7w1eS6dUpe2lF3CAUBI3Lyw7td8YIwtWQJcyMI4MY6zK6XJy1zmPWhqsMFFMZ
GNJJ3a5v0l0tMKxU5zIv6dtvbOp3mTlfciA2USmvxnheAfNhoFC9ROw/ldT5l6PItKiAgT8ywLdc
fTqyCAS7q4g97AoWHeZL3PgG6X2MCrTmWQOsardtS8EpXYR+COu7aM8jdshsXWSFb6vZdxzxoEpd
uR8lPFkA/9jsrjTEl0GmraHk/puE6cW9bfqpnK4LBPYWunlnQKyYKIcuT/9sbBKtIa4UdjtJRjGG
fZ1rnm2UsinYkwmm42F2aCqxG9oBeSqDOdXGWD4tiXo1fqlxxe+z7eQfsnddOTZBYlEEVdPPrMmv
QzE8Zzs+Ku28NiUGakPNqVtqXyER3SGgrzk3XnRJaZY1Ox4VaMEB54vVzjsRzMjTEhUf3W8oVZd+
8hTGFN3HyK7XJAVPhQNAzCKLlGmb1ZhJHkFFvTS53VSfNQJ/C6aRNMsAbDbBlHilBPNv3My5+CQE
EdkJoue28CRr2KUFa6Euf7PlaSUUgig3STtwvIqXpugvbUJmKm/rEe4fk7RcZvInuy1qTxam77mE
4F8z1r0MR1X/Har9TJVt5cd5VtcmQx17OkhK5Q31OQQaIyQ3nTE3sLseEhkpa3vKcDdVyBdU4LE7
KfBLmsJ00g4oWTeiOuOT50RRjlWHOGpGHhAb4oaU3B2i2as7RnGpfFFMsR66+gHn7GCgAlNalP7W
A4NktqRV0uKqKDAMTbpWjvTUe5ZaFGSBGm1SeGCFuOBM+dEl51JWIyViDpgkXpVjuNIsKF4TDyvs
Fiom6CKI2AKX4viVPSpcgAUJFK01gnj0Rt8yw/daapky/esZSkbtu0wFMeJxQivmRDtdei/Y3TTS
txiLrSr/mCCCM5GsJCYSTXUcqmdpgew0KPP1YCdi86CyKMZbu55Esx2ZuA82Zybzy1isHEv1Cxk4
A6jsgl8WzQmIjMmvdcRufbfJRyzXTbTNwuae6MFr3B37avbV8IcTCAk4nguBDHCmqyKlmFdDGaSD
oevbHH5OP1w7Lgn5VjTWlndftr9lisG8e2+bZ2nw3WXbtHlEmONj6s8kwMpTh/cA9W+GBheJhJca
AvF4/1csbAQRUULB86W6RfCUARlvMh0mqufQl5tVxbx1eMkq0601rFbiAwdnpO6aUOEqkrZ4lsaK
MSlib716m6LnHBIOFNKLRPSF+aXCn54C4ar5msFunvsONcKMrN7etXQwMba2WMPYmL5inOPrybwA
A+Uw8EmJMThrUnlXnNfRcKfk0anboZho1K8SEcKJIq2BnXpoqSypO+YRWt6c1t3Q3gI+anSgRfFl
W1cbmF+NhqEozyNrQSd7tvVHq85ua/Jkj+8i2bUoqqoRb3HDvl2bfpGRYywwOEGszXLn2kmzIT15
6bmoWgic5jpr3EkgbRbixYCZxkp2JTsgp7BjxVPrV2CHu4ltHw7SlJSPKJ1PcqxucrquQCr9BJU5
rT6tFCACu9yndrWuGnMdYNeXNfmIEPLOLQE+TmJPPKH7irei17w0DVZ9zbQlalYFfqxldYWpxKUP
Rc97tHrjGoPfVlD/2Ma4yXnBS06gGdLdLKleOuo77Gob0CsHBIZbOaDsqtInBqRbnLfY45TVOA9u
PTnwYBj8QsqKcpzTTfdCvKoXZ7gxeNsqlQmmia2V174cfmTKXS4X9EVtsAVR73aIf5IZc0GqbCAY
b4fcucrOPyOJz9EcnEMhbSoDpnhDiavBLeCGn/Sc3lOGLCu7Oe5CLYlBSwXYESe3Du1bYnE2xmBZ
gmSNZfyAO3Vr4rZeWcivznPANlgpULVQdplx8j6YFiMOi26hnjTeOgfzZWdn4Amz9LcGP1v0gA6H
+Jiq42NGWJVaxQpH/1nFbJn32VrvtU8pwfBTPBtjvmfZb1OEiLXE2yjIJFa0U4g9vNaSvRyFZyHa
bWc4f+HovEXsaJtK5jtZro8LPDUvTF/bnOPSkH/Yn/x2yuDapuL1k1iDddrB1IdXVCM9rJEBPIsS
eaGzTEdtirZ2BvZtzesm7T0UGK6t5/th6E9lVz+bqWHsdEh14MZIBhyQWYbpA5yXpAFqS7GzmStF
5XSLmKSRRb+2LPnaJ8CAKFxbeWDuq71iq1nDYGOE/V7ll8Fk7e/sOLDRO02KB7DcN4XwdMpmzpOv
NOZn5OAFHfcLzOCcRpgxMdfrGk86s4eEn8OmRMmGYtPb+jFVFlvhURHOgM1JpUYGdCd9RdiieK+s
jxlJe6d+UgFlJC9Y+c+E4DZLJDcas0fHYRIpyQeETg5BTCVyaL3EwOVMfstEfUMuxIDjtzNYGVsZ
jWRML2aYu35+AtT7v+GZRsyHSnqKAg+972/IRy96eWVwiWFvByBCbW0ZybrBaFXCUSkLBZT895Dd
R52Wyax9FUubCEwkiwQP6Gy0bPM4TuW5KTM3qU28hDhuy2Y3ty2wTB1QZehlY/cc8I8VcnASc+Up
zFK5kw6gh12rYb5WRReVkYadS7+MMp9G+kicn7h+JBJ408DYJRzpoSKodVtXn89TZWBk60AWQaTT
5c9K4z5L0aobCu4B3vYZzqfB+KBAnGFNjVtahV9byaZzkg03iCtm4Q/pcIhjdZd2WOvEFTHDVo8e
BvPOYqr5aGPqs9RDkHSOMwTlfQHY8D2WQQr047OMOrgNy/AnPEhx79Wpg45HvYZpvVEZzS8comCg
M5rAVWASVqWdsKkeem1nxCxiswjQlUNHTYWmx+2rplEK0PQD+DUUyqbC9k1uOmka11qb/gHH5yWr
vCwzYwYSMdbxXdojcTcDRCWhZ4SYZAClHfvMwCqfek6lwd8MfQQzbW9AvWBmS1b1mF+ZfL2mQYdf
wLqb2XIIsfPkT6wRsLXGzmCupzrmWpnlDzlYKDMGG0AgLVJHl5+g5Uv5EToJLXPeK1fZyHZy3/+m
cwvfaPhK8fVRTcMyikZkDWMOWTjVUvNl6KdvaIJXZ+xPgp9ylc8Z4g2Mn4tCnoJemhduBDCcPDf8
xmomPoQ0u6OIa8/FNAXnqC4ftk50t6J7pH1z1ef1LYOEtWrV7l+vAWCY0pYjogiQ6qXafYrCH4xv
TylKf6GBPBlD/I5zRO2tcHrWAkRMbCLvs2rq16RSvkQ/0hZoLIfKSfSeVgvcy2JuQZmnxhq42n4C
iR3wVVdNjyTaaCo69zJbOwb2g3g8m1HS4g2RfjQtvZhYh9ZzPLLcCl5zuhe35YNdCb2sMHiE8FZS
/aEKDt9JYF4F7KmsnYm0B2NRTWtFkLkzf2cioTXGH06PwYgDom7VvyrF1BZmGuqVQZwsbPXMLS0s
HbIprYZScdCnVzeZifUyFbqoENpWkCZ5VAzjI4yntZ0Gl77I/HAud10jbyKV07dQ7zYlpVJoa3W0
Ttj6LVdRANmYKVpx/bXRGN8XXIW6qP9KGSh5qD5DGK/46SP40vhGDVnaRU1xbyl6X3INbgSGPU2I
NzlJofek00OT40fe6KZb9CZXOWzCGHpDqvT7Jbe81zt0jNa6WELGUys8GzbqIscCbsvCtJTZCRq5
xFDcwvGRHgapvcSTOJjNsGNhswFpXa6TfH6LS+zhYO+xvlnuEEor9Ia+bQ+vImP0GFToj41PW9QX
DGWeljgXeWRoNCIIAacepOMHipRDVbZMYBDzMpLUImurV82TfIRj1jVXQ6EhxXSJCV22Duo4s3RU
/dHpvGbhSnHEMQ95CEbuOF9eS70DlyArm7oxN0Jn28CMgvusrviE+/xmh+F1iJGaNKq9L9vsK4oZ
HLcFHGBGANH8xy7kn15Pm1L0bqdVb4PRQdTTmKWlxq3U5ts0sioDuEEahZkepIATR5sfjqkp1F/B
mwMKUFMmhtLp2czz55BFR9GFnwtbSRPjoWH8SdjGNiznytf63g9URgE1295C9tq5X2mxcqrU8I+5
KzyucWvI+rZFOooXNHfFqFUvbUdJkVPoRL3EKFA+pYrNKaRugMtgXUB7VnG/KnDnGnubsKnNpXEH
0mrTRK0LQAVhYEeNyhYBCdNBkuABZOajtlk+qCmmpqWNqWji8sk6T2pK6xWvW+gC0YQPHOUja95t
MCk7Ejp8u8qgrUNOcuA5svxh6yOnr7Ma+EUFEmP4rmPtmYoNmgRvrPD8cfuprAwzO1uBfRgaal/U
iMwvjkjN13mOq99Wz6bR3YE/bcchvybQjgyqzLDP/V6RLln9GyMvGwxU4Hhz1gtfOAqKqz1lZ06m
jRr3+1EGucE6RiqtZ59Km6a8WfO7gVlE7u+yLPmEEfyzJXA96MmFeoFYfAo1iARDshds+kSCu5KW
ABH+ap6sa62lXmTm0PWqXWkie5hRCCV2tbOmCelvuXKcw4KxIizaxffjdhZmA+rAwonXqmRRGBIF
Uffc7zoyPvMQxl/qMqaT6p2GeQwRTut8FRPZRR28NZYPUaR51kSBxctYwDpMHHZmDj8PwxL9dQ7p
k9jslc6bzHq4YWbAEJrnefJjWd91QXAsbO1FL0CjcIv2ZrWWVewNwW/eO/6Y6X6tSWsSmzbEWXiF
hVtbVxka4VN3mIOnTO6W3qjklqTe50v706ryM5PQYfWTjQT3KFvEiuARBBgVzOkmDJhNpxMvdvVH
7bhtlIeaFxsyK15aE/FD5NVZemgAvcvpZ1o8q1ZZSZP+oY2HCSdmiPHJSBw3RfVPJtKqEJTQNYNI
tEVcLT7oOhw19xhieIFeNpYtV2X10rXYEhKgIaVGH8jYGBxjpQLrypr+VUVcJSvwz7Nx50wR7olx
pUg5XVuDkADBMwQnWzvY+YfNRJ3sHyaghQd6IcyuypytZdo6bcGVLcEhmWBOUlKjQUEsYWOMVLlF
q/qL1KYRHOB4KCbIK923OTwUZr29eVtGTb3dkLbRYwxzDsRrbDRZWs1OtG+o+0tsJCFxX0H/XSv7
VBhui3TPmL8t9jyhrPyoPar4ZGZkyHatDtgsd2BGzNydlPBLSaNXxRBeESeHeK6P+Qwtb+Sub4Jt
4eSeHeL0jv+QXCWiuppD8y2FhEgJh2ogYZWLT4XRFGkRe9vueXOJ0EqdrV1p6wHl3mjddHBDAAxI
6bCQpI9+gGLLIe4HGb1v8RZbKdyh6rOP3nKb7BzmKwqiXhVGRLRULdOCFGAMPlCi6vjzwOKgAjhI
urwLIwzfA8fqNP3jCHO5wQ/4oA8yK+p+PofauyN7kniDeMqqD36tHPpjaz3rZPwsTIvkygrDtfZU
JvOP03EHRhmCg3wUOUQlNlZqflXEn4leJaSVgZKJv3rRNjjt0cG4YE03mUqrXL7WstwUU+AhAfUy
407c0kq81lJI5tYxZxhu8nJ1FYBbCHKI6EjOHKXiGTTyl9LVGKnxwKCl5G/a4xOVlbcCioXoHQAf
fFhAczaj2vwJSf2GojElI6upiGEq4Q0cFkzVkpTkpnnX4plmHpNJZ8tmmIVIWaANqxk+thJuFM7r
XEZS1WabeV42PuO+AFc/aZBA2Ix3OLQTLT/KyM5sRFJD3WBBatwUaC5S8OHRw5mBpP+X6A6q8Hpn
swvhSe94BPPSefYYnAi24VF/pjO+YL7amCW3qOPFBfQkyobXkuk2rr2XIliH3C9ZnK0H6ASO/miz
V4zwQhypDW0Uy9K+Cjdxd0jQ+wKwmJ1NSpeDBjZD1zEdK0R3YeJ18obRZdttuagFnI6zCXvFeVfr
hzm/5wOiOrS7s/6ea78GqxF7ZxoXq1Q8piWcX3G26piF4vsS2gUi5CxB7QLw9anguTN9bKQsCUGR
AM5WuNktOAAZrx8SABQ1lHPtEtI1+g2nooaH0PjKp/eM6Un7C5dmTtbMAZRL2h+0gbgSj3dpwdC3
3zqMdoCYrO4mekJzesARIHjgNhsArqDYZvtAx85GrbnO2dbFZrQW4XMcKEGiowXAy4D4fbO1rzFB
4eAqzgmp36a1/qF0wICrQkjLnX4bqrPhWdm7XTw6LkySp7wYHBkbNAMbwLgOw72Wr3tpx/D8JTO9
MqloBtc6bMDBnkiTulN5rfQIyZyENoYV9z+puZrxXzleawPMJTA2IHGnun/R85c6g0H6UrU/Epb2
9s3M15Z8pCzM5287W3SUsJeghQxk0R1EweCyuhtIv/IrCoFEwsYinqJClOwVxk8c0xMdDJAuhL4h
3UvX8RsEFNuG57TIheo9VP3G2BI4k9muPvhq/UH3KkNyDGoIi2A94hkc6hPCglW+WlICQJu+ZQvF
FBQC4qwclRoQMQjvXoHBcfyzFG+8VPRUVn3KIOUot8L+XMTslnWcGva/7xlqUFl4aun39jlTn924
lpoHbJcZMw8inFkcYTBW+ae8xGRMXsyGX4W+jWUipEmAky1j2V9nsX3Mh3BrSpch90sFI0uoXxij
ctesAgDeL0QvZc6lH6E0k3iIwZOwrpjKal2Y/0adLMMQYlu5i5hSZPyijtmQxEIn6YyVo4UrYbCf
uCrjO+Kgrt320Y1QD14tTHnNVyHcASPlsO5rPG2wMACuD2ezfGDY57osUS5joghZ8UfbHCU2b0/H
yP69eivI6jE4Wb9pcrBPnSbUJQHqO20ToOzXmbrc2/TCk2LhqHG0M0PnpAKAtmSi+BmNjkHdJuD4
YZUtSSFigB55arOX8zeVny6Nrmn52wM9oNqQLkYFJR4ZS5T7kbpNxLZrr2K84M/b4emq9TWLlIFL
PBoQ8P9A+oytjQaqGGo/M+gDDrA7dHp1MTyOYq/xpTsU/2m7uGvxc8ZkEiClyoGuQNGT+awSPFSu
9g1WSAp3EHaU+TTaD2kg/cFFYRSdJRRgGXRzXhxcszWBcD10mo2QbDIoj+101Zh+KfQMTTo/R8kL
lmMN23OVH/FBIsNcG3hGnN4dPsP5h6CUOPpjdWJLgyfjrSBlEd95SF7QZWo3OVNeCOrLk4VawBXL
uVc9HbRtjUJdqP61auhGE+I2NCMhtb48snW44zEYpn+a9CZQ0pT6rzZvkXI0sV9YXtEvQE7Xpgpr
w6PSbyHEpKgBIz4OHpDUvijhXilvOWaoDmzT9J0Uh0Y9AMKjWTgCW6ys74lpu8ULHd0y4eNi5U+P
zLPtPMPMlzBgMiYVfynvP4lh/c2BfypvTBba/SFHDkWh5WgnRNStJRaUB1R+mA+USihmp+NkPWOx
oVYqTb8YwE3AFNkVxmfWfliVP4TnNPkwND8OaLhhzN0wkOE/bPLPiSdTX/OvytklVfIa4LK3t1HB
oiV3U32XRIcB952kb0bkCrPyDoGhc1jkgmQiAcfegnm3egzWzNRkdfKlRflKcqKKgQh91PwsoBd2
8reMGbDdT8bRcNiKnqfpR0RfHbkG3J2QC0pnPakrhGeRoDrHp0mEweJG/8c83MxWmIZLeiVKSc4/
42xjtSAvhab/NsT7ut+QEqgndEWMMZhWkSRocfzN2YWR1jAfet2NlpXyd9J1jFJX88dYoy/b8HKG
wyrXPEZW8FQRWZshi3Kkgb10zsNnXr1XEXNltjVDPp+wtdctrlpmhhzQTvgvUr9k515kwA2W22if
sid1Ho52nyFUWt4Ce5Ii2Jixn+WvzfwespSypOGgxpEbJtcleyguuW6Gr5bWLHTTbDslRzPc2Nka
FL8/9O9YaVFMf2SQ5+WfWPvMa/QcdGpt+NZVH/iTMZZAT88KJrvofrwx3Krtegzf5fZNUuOdrcor
nH88dg4L/1F7pMg4G52/xcAHUt6jHxbk7Wsyip094PWcXtrhkJdflECuYXzO6bvOYhVxUf6dRIHL
qAS457kBbaiCBa/hjEBaD4zzaKo+m0QTejhS0e4eQbhRxsXv9hEOH8YweOM8ul2GQyxidILM28B+
AFapm+8FBxeeTOCKnMrEKNWor9gNCoLXLAoI1QtB+pdoOS2aqKZAn2gAZz9B+ZrRrWTlRrxmpnpm
bVFK58LwJQX1lfYw4+nF0o9sLLR3S/5OeA4z3HiFBlAI9S0Q5kdke9hiX2zpy0ICBP5FTe5mvmnT
bZ9dnOShB2e8RCgzMvA/ysNsXbvbozR3WAkNHJcciuz3ZYRLXsjJG0Nfagy/cF77HtCN9qfw1TDQ
ARq6V9ubjNSxMG7AG9HbrufReanFqL90xh8fXpScdTKPdNMjToCK6oM/Nz70ZE0i/nGCU5BfA+ch
a9fO2CrKSZiXpnrLBUxfP8zf9fnYQMZXPVIhRnwSWA5Scr9mGvSqPEigGxoCBEgNlrmcN+rkVtaj
qD4Uis7QkV0buKXEvJHtsVrhKCKGhzsYjNZLZO2G7mTDG0y6P2n4HMMrMAvEVS44b1j9PawdbzA8
1D4pVkn8WYT8rvhjpuyqx57sHGLjTe9JROojP6ZUImoTXdpfyzIY+BePE/qrmm+x2UpU0mVrndKJ
YS4EvXIlLbFVw0OWrux/nOK8iFwDxtrLwuFawDqLZeOo2Tq4ZYxA60ShBPuVEe9l/3oLABR7uflL
EZ8Om+/I0NZmt7erN5MRiuwRkVdjLKMBoyDEn8cIRge3mYwgI6V1gR2nxJWDFaVBeJ2cg0TDwoc4
GEtlyHEecWvMzJpvXfSuvsEc0U02FaRdGCqkTWyQ96plJ9/9zvkNPEWX7Rqkccx7IlJaErj8FU7g
nylZi+5om18Gl1J7EdMXC/VVNL3r09YOvMyhDOWeYIUqTc84YpVDw7kSEuAOxko2tDFyBTeWuu3H
vYxCP9H2qBCc8a+AaICwviVqgjVaIMnHmFQNJtWIyFx6HbC0kwNxZFMz94/Zqivo7tFjhs1JQtA8
ydjCplWvPVGTxdFmyacYmU+XKSvaZcfTVPQGWFzFZlL8wHyEykdO/4qGokd/I9K/vPmasX8qFiga
UCIseZkj9xIg44FJ01GvLgoI5cikWuCxmJmbuJ36MwKJNHKQNck/wVylVtc1pxMcZQMob7JJ6rvd
Ywmr9krFrSmoYPStxfkk3nAQTMRizW+MBWCr7nj2WHkW2jViWldvzPqfCY3PYc4LUuhDUTCvLP8E
/CTddMkulnkxCoZF1bqpP9OEhKfTpPuzwM4+fOBPWKRl+Fg92MEhaVBtdyDygsn2uKoBfwVU8V0B
u/SnRKffJ4ee6WfjI9J4mXgMWqCBaXoqg7+Euk9JM9/Sfau6aOiiQGdzbJj8x4YnQs52KNrYANmh
v3UJ2NEHuatTj5xWe9rFh0pTi1wvqu+W8qdWl9aBBF+9LFHVZY2zZdUiI1ffAuYd2BDY8JHukl9N
8lwc/omFbsFvU50ECOIF0IU+ecanyRn6Qdy0Hpcuq8tYhi2JoaHisMziaZWBHCcNobE2hf1UF/j0
0eSjj5uHNn7n4CWtL/QEGLCu9gc8MzP06+zUzL9hTSXQsHRdxcW/DEFr1T3DiOubn4Km35kF9WPo
SlzhrhLd2oH5BoYXf3iteAIat0YA0huYIXehgYwhhk7nmu2f3pLztVXU9xY/seGgIGxPheWOJ2yJ
q0W9qcDhh54ZctUDDuuN/cjRGNAiMLII830MXmEWP8pMfrQrTYeEbCM6HLiXcPNF/JtEPLJ/ZfFd
IWEhn2ub6r/2/C/6NlBHqNI20/5h4/KNPCHEaC342prlsX5D7mlLr1KFt9fiRmGJ3N2S4d+AmEh3
UHdhlz5O05m0LMKUDTxJVkC+my8jdYatzLGiyH+sTjLpGEi7WiII8UYbMrClbuZTn+A4y4hEh+lr
RJu+rtZOQnYsFBITXwfdgaL8msSA8WswqLG7RrV7NrGmYWq2p7UZ4gd7agyhC0v3TI57/ijOUVBr
zvwvw5bVVD96tB+Ug+gDV6YqiTM3xpecR8ORVHKZv1Ca7lNwevMRwl4v9k51kcN9wDIjeBqvKOc6
8W5KzNseGVQ6Y/KLiKaLLe2njiLKRhpnEkDVpbf6h/A5GBbR8FPiI2TeAwPwGCJwBZWqPulHeqAJ
5sYOmIuu4B3mw8JGeRnlf4r5m1Q0wqxoVsbwtKqfxrhryRZ64MrsdxWvpQoW8GbMJzDxTsKE96iw
Egh0ypDlK9a4e2/W8JnEnwRtRNiCtcE3Sh/JGRgiXnmWyNb4FBl8gq0ccax7ir2qLF/kR2NcsUtu
GfQZWy7x2cRvAm0EIWDKYcrTMZVb+lX8f5Pj9u2rYU8v9fhv5n7i05M5qNMjoOgWdWzKMta80eIR
tZIyWFcHxmo7Ull9GI8o516ciICWK8JUJrpmvp/jUyC9ReWHNPhM0vT0FuWYpIp/Q8b64SbL6BzX
RBMAjLRQrja6H+gXWz8NigeVKc6u7fTKSmyI8ZN3vyniugHz5bT4mjggkyEmUmVDJW6op7Q9TN2v
UqWbhtsdtJc7Eyxafi4HYJpjpo8Z6NXPcrGmM8LU6mXoSWOb/7Oir0pJd2b1ZTNixdrG+olSorQu
Bc0LJjACFdmoc0EhxWh8yT7UPfO+TS6OSU9OOFEO5LYRy4jKuP+EvoCqbJvkv/8XbQ/Fvkd4BnXG
126OKbPlzHU4mkzU0yC4ei7uoaRXT566hpHptBDnBV9PFOGofYmWcIxv0sBRFR1J/NXyjVNeWuk8
cEwTqTJw0EwHlfBgEgRsg+N+p5rkxu1iY0cipviB3NNXv7MKVAZWHtANNI0wwlEioABOnxNbiehn
nn4sRAE9xWReH1QNQepIMhP7zp5FKq8sT+W6LS8WHWZi/ITMquUEu+BzSi9pexPFplWQQ24C7Vo4
qCAwjZfai5RAUuIWTNG5gnFA/1O6w4jSlEDFDmEDVrMGo+VvH+JvvRnhwE8PimBp8ZhqSFCu5FYm
mCE8wluJGb/jAnPm4ag82S6lvHz9bsHPomCh88GdaqLYZalQ5L7+u+wrNDv2F6DmMKMFAoVyT00M
kis93bNIEGDKOZ37d6M9QrOP5i1JdpX9zPodkGvUS0CqajrlfISirr3IF5xfPBf2hT1l3x1AUE1E
ZGn9aZD+LO0UP6UARw02pwZZDKvQBJBCxsq8arlrTvC5CErwcJ/RWNkt193Lgk+0NaCHL+W9ZVje
JfEqVdjlLB0eGacoDAg8gouS7exmwyIVdyYCleUXtOqzym+lvLj6cDd4nfRhjmQHrSObPgNg/MRD
M7sEghWIC7gnobtJIcLt39rwwnEfthFK3JF7xlNMcj4wf9+C1MaBBFP7U9du1bie2BNgCtQZXGNX
QjmFSlAmqKLkvUCV9DIdE/tOZAk1hEvqql4/UO8Q7NFm/0osUfCEWkD9qT9ndCBAyteag6pbo0M4
9bSspzD1u+EKIoRq5kiObMULVLyyp5NGA9g2bQg7acWPo23F6xNNh8j6l2ifkf7Wzt+j9OqIL7Xa
MMftUWOz1XR64OO6xZ6VM6L5p6i3qAsYMK1YAzDwQ3jrt/XeNAxcGJDqzjpbMiPeFTh5MfoYBAbb
+JYt9eaw/46rLQMMUlchxPB/fFNeyUswAJplrPzrNN7Js3brUUcqyoJxb14w2Lyoyj6HZ5P9lBhy
ZZ9SW0E7vrNuFsIfoU+b6FsejnV3KtkABvWvhvV3YEBKEy6zPdYQCa9D/SmCF8rWXP/h41r3vE6m
/Q1zIpmxAIsK5fiVSwTr/qzsRf9IelzxfAHo+iCNdB/tZ9pc4vw0pudi/tIRN2hsuirsKruI4Yq1
N+rr5GAW5TZO2AmhdBn2LRoVRh8aFsNLpb/aNqVZs1GNXdV6AQyRjm3usAmryxB9DdCC6xm4ZT94
0LPWNvj1QvwY6QbXxmATzi0fEvRY8MBI8mKCAQ+7iO8dAb5Z/qeP+1o+RBmflvNRT9suttHT4+k/
y9V7W1YeAA4U9LLNjbGNeedKsSHQHbLKJU3WI6KRTAFvQfgnP4KTnSSwgnQ++tYmQJl2LHudFMwz
xln/SZQS9eZVHnbDTHpivs+J8goq3rhDyoZC3uYzOThcR6N6FcqFfq5KLzEuLsboK5MOSj1paBFS
z0o1oqPESnLumLmxaUHFK6nCuZNnT+JIrDB2EFFIxRQBCcm7Z8kpgywzr/9U4SFMU+nAJw75vm09
mf/tcP8kRPvo0QoFdUfkVs7fjQ6B/PMKTXD6RtEks7cN/r/lPd6/XmPTp3BdcIu1y/S/Yk3WGtfc
cDvZ3kfjZw7vYYA8XFJL9qj8WpTdj2G8g+zwHdJddHmVGh6wVLCHP/LwZRj33LqaqFaRvVEvMRtr
3gBXavWFFcmwsNFW7KN7UknJ2pjN2CXzfZ2nDCrQWrQBDMroiJ9pkxIVbMb5Z9AcjOyWgZ5izNxw
/lEtfqBdwUoeQ6LBQmYTVUc91G6Ydg9Qprkuwj8T56UT4YYOGZ8dSaohVsWav1qGFVmwV4Y//cea
zorpm6rX5vgX+FR+Yd9OgCyzdJ2gOJ6uFH8awxb9bjaHNuVpX5sDa/yz2WwUTeCY9rpC3QIioeX8
j6Pz2m0cycLwExFgKKZbi6RytuRwQzg1c858+vk4wF4sdnumbYmsOuePXhBj6EPCXdTJxiYjspnr
VzRJRBZMkeZwI440AcYN118d4ablLJ9Wcf7VxvtlEAkz5vVBecnV3RB/xvk6Zg3k9KH9ZhJPyjT1
Rem248drGNt0sZVRwW3p4GxIAdCsw/hOQZCurWz9AD/k999WeiHARjeJfYrviXVWyifkHUJZYZwH
mfAu9GLsGHwFezu71P1NLei686CPylRzrf4CwK1Zez5iP7pZ+q1G9BpifJ3bnSlfJPnUc+sj/IG7
sUDr1ORnUDBToBRDOR6UxyEgUTsmdLU7G80pAWRXmnPUHScCvnqABgqo5OVMorgVEG25Y1/aaAvM
bFhMMwg+yK5TaCHTP1S9BHQjxAPeo07eFCJQE+MHohK9GOWEWwoPPewUEIfUVtGJuy8scjaebXfE
b0+OFSTMe0mQNslTL0Lnq71K2sU28aUBQRXiYvRXPb0GTAmqehfvlf6Yhy9KjlSaKdlhiluYvi7E
rI8tU/yKYO23blh8R4q/yXUCkMu3anyG+W2gLY+aQ4MFcttW98nnCXdLm2K6ATvyyxxibKDol2UY
klpCPYwCarj4ANq5O3cQmWgL0q0P+mpdE2UvTcfB5kB7NEJ4SzBlTShkytD/G1vALoqX5n+prB1b
HdwL+B81/CHWlt6awVVmwvpxWPqC1dkq0EAWXsN4WAlSIP8tsIo6beCFsTylfA6cHenFHG6x4kzy
JRLnUjkQFcYwF9PhC7mSacgZqYZoV7H2gSra15yqJ+DnL7O8DNCXkaZDGS6AdEoefaV8o5+TRNZt
Ex5yZuuQ2IK6iV6E/2rorjWvGjSQTfRuc+pM01XPf/Gn64M3I3WDHUVRr5ZnaP+qCBGWP7OCuqG1
z4zE+dxwbSzOnVOufJPPgO8y6EgiOva/szK92Ma8EyXN5Ivv98n/smlIQWhIfjDQTeSoJfB743+3
QLKjD/QpPP8EdVr+I7T3Ml8Qt0VIBkf8r1yOKN7yOv7Lik8+VHjhPPhsgeFIVrEWLUFJQGF2UP+m
AkaWmwjtqIauU4Zsfhhso74K2wXFgGsJ5GFn8oYJ0LQrCaLmxHGFF0r64slMxjUtJSY+42pjGzcJ
wLJW91W1lnnpGjyrhbrBw5dgfowpzEgWKPQw+38MIkRJAxKttGJTJWgaHZTYk8TtB/AcEJDQ9dVG
G1ifHmb5ozUGjQK/MvjGCBQxfPG2kWihiX9wDlW2t3KkDog0eFP3AFd2TKzrB7oR9jVycnNwv4Kq
iJ0NHYIvLVFRagOu0h1Ddbd8M/lFCAxW7HPXAU73dHBxE/Yu3IP6DJt2b9ufSvpYks1ShahfK15N
pzA8l+zbUmaDlVVELXduLZ+junPG8q9DMKA4mrmNyUCeUTKgKqTieCXNz9h4xuOFRBe79nJiZJpn
GzM+FtewBYRNdpEggLX8lKEncjo5jLY9tNgNY/1Qm7uyjKCV7nVCk67GwiLfTbjj+KmFr/ioLRmS
/dRIiWPK53JGP3VDGmDXOF4vvu51y56hXkgVZeI9yNHryNFkGewfoyvKaQ0naJEvVrAVIbtl5X2L
zKcKGjcRnEjTwDS4ZvwmBycby01V/dW0wvAJgBP4e7IF+KcMi4OHDMuO+RMQrliRgL+J4luIRy7r
3034GR+5i/G00CkiIcZKyQWbMOwkn1JwVauTqJ7WeE0mr7S2wynOjiwwxIMMkTdzPxX/crRURbLF
ywjKOWSOOl+zlrG8c2XcO0QpJzvorbTZqA90Z5qxmY11W9zE6GYKy747alAFDcAzMsui/8pQpAT5
nZJUHO3X3DhDUwFV9lAcu3wkDNcJxitpCuq4Fd3r0H2qhJSHX2py8tONBnIdVI9Bt0GL5xUXhauL
ZmuIy2i8yoRAyPZXkWBKuCUZw8To6hPwNX6XlaA5lHGt/jcx3JbWIy1PCa0P41YbfzN/sxhT9Mlw
lGgzjX82vrsMMSh/A14b/ZSPxJ1xNtOro+KTToJvlBf0L4wGAqM1469kI/oeblqK3J3GSZw/WrPN
w29UsJF5S5b1Zk1YgS9OI4M1H3Ac/6v7b/RVSb5dcM4gO46Ei4AahaZXjuzf+EvxivbpObde5eHq
89lmiPgFUnwXHSvsDgxPv6WOFv+LT2+tfmyh5mIw5Zrke0zwny2raYjtoae3ViIKJEwvESp/klVF
8W6RYpy5RPxZwxq1fRffzGCP7S8qvyXzR4fERjAI1S84rptoHdJBH61EvFHFfZoZHFv0A68iwu7r
dR8l1Q3qZURD3KIskZebraMVyRuCa0WGNiY57VdL8FehZAUARz/Cgtil9yY89h1HiO3I/h0MQ5gV
Baq3DHVOifXLy6INTsexufSt79j5aTI0bPv/0EKtm6FExdWsOmFvyGB3eqD+OblZi0S9+RSLV+pT
qxbYlva4BPjaF9zhv3X3LC2CoS1+flZZyJqXiQFcY4BJmKIyfppWlu+U1o6HvKZkELDsI0g+BkaO
KrpIJiwqZY8FgYEAjyG7c6l81Dc1gBR+Nvc0Ro9MdwQvKTsnl5/oPEk+dOOnJBUbrgCGeZlDpV2z
NJMwUvt/KiiSuWq1kzHzfG9qgzwKb/qO5o0aMuLPn+SpSPD2w/gtjEdItBK1BfR3vVjmWZIO1vhc
2lKmddS7ku5NZHLjFBH3udiDkU5i0/CLaD/R8NMTV7J0gKfDfhAfWbxVpnef7JFGHAOFmu8Li5CE
R2rAEoRyzHoWCCmr82LCzv41H1U+rmoUYBBYanfXUIeUPIIsXWnkzsZRGKdJ2yXme0axc7FBz41c
QXuA0fo5Kd4Ozg2GWIKbXkw05TPvpbWUrT5zWFKT23623Jnn1chJv4KzIv9EMjEWgAq8JfWrMAHh
vuaU+Af/n5YdZH0vECZgh+5REYYPPGHa+FS1fZ4yi/IIUN7AMl3XZHYfdV6MxPCs5ev81YpDs+Bx
zR4XZRreNGxgKoPLyISTQCxOwW2s7mWiM8B+WdlZKaixXWDWddLtkJhg/s3IR+6C3ah9KgN5hplj
fMuImslYaadzjHmxSN/D/Du2r3qxE+9Bu7LJqwRBJp9N4KQFDlAypOSIDFU+TwbLegxfiEwIjJvc
LqlZ6LRSLmg2Y1/dD32464mSizlraaZRECQuyvrFr9gGndPJm0nzJBLNimeB3nISVx1PQIziX83d
LN9LuLNIbRAr9VtVNwprXOqfE+S/uXRmb8xQaUtLUNlP1Tlw3lPOXICID6rhbBNBNtB3SnsqheDv
5C+Zn214TWeZKjACN9FxEbFE/1Q3ZJ419atg3s/yQel/K+lGHXGkHvhYUWB30xrHx0v9JS38R492
FuAPaLPjQbCwrOmRY1U/me8aAxNO8CeN7iB+AY9T39MJcNAUdi42nFD5KSv7xUBy0wFAiPdEXVUh
uMIj5YpAeu5hIFCOIicQ7DFpaGjKpym99UQspMHNai7YxAAi9f6VfOImeCamCcDJAtFtRpQNykBK
Ay64wHYC/s3IBJcz0JVwcvfal9nc844fPT32yZFosAHneOrvtOofjk5D/rYmR1Cli8NL7TxFooV7
9vkmf8fuTFRj3z97YmlH+3VkLJPUz0gt10Z6nTDatahyQ34UiiJWCdCWsiTwLXJFeEw7xs3jyMG6
iHNXVh+tv1myoUxXzO8TWGaDbrFjei0O+ejZOvaO7KySKWNuRL2j9YwTfG8m+1Cc4I3w8H1X9IjN
GjQxNS+zcmEDNMSx6I4DrdnZLikdyXADvL/yHq+hKD4bgMzEeoT63er+EepQmpexuCNP5DCosgNX
ch3zGrtTzfh86Sr+GZhW0n0ovCX71WmqTR4eKt7zJsucUL0JtOVkDC4XURlupvaet3f06oR0Hqpq
235xrXIOSdpn0V6DkK3mJVVIYHbQhmTmrR+vgPjWTHD9LVOPXFHDh6Gi2nsjgmpV3aGYoTSgMCPu
sIK+DE4bShOwm7cbRE+CQhb11hd35TNLbm3Xr9q3HKZT5lOlCeRDsbhbO2oP5cRV6OziOEZlH0V3
FEQFvy9QDvw4+l7rrrObLX0PDULtBDeriro8JfUot7U91jse7A/jINvrvDp3yOaj4O53W19xcnOf
tu2FyDInAjGKAvIQyRSmBKxDx61CDK+xalcCQGr2Fl3+9KzNAKn1DS+znDL2eEntciGVnRs9equ/
k5vqAM3kM+xafCICl9w5v/8j96GpaUaJ0A1SsKUdpfmqd4SLZTe5u47kbvp7Pf1OCDxJx79CvyQl
dzRQUu1ZCGgI5KXRtIYQ7S9J+OFP7y0Sdg6k9yj8qwUiU2tPsF1JXbE9OlVpryVGP+mDEcFarkos
viSmZgwuMsQOoyB++gKJDWZYGO+sfw2GbfoMIzSxQhBQdkV9xHIsIZlFHzaS+YraptbfJnI7epS9
tv035rsZFsPyfwf5XVUnNyAd3ug+WJSnkohNC3kJ6VAhWgwBCJVGnKvxTtLd/mGQSYqPO9zhEAK0
LVOHy70kwQ7FrwKab9G56w7zN3C93v8qKCpGyrdBWg+JssuNQ8V4OOqPIdlP0mbkC1InksEUGJBC
33LMzHpyTXJgcGXFu0dUvMZvF7ZvA3V/bctAa5ICdRfasYSuqq/SfCTOaMVSjbGEUzAPPYPoFvKU
6Pr2ZbfnM1jE0sKNiSpuyiOPXA5vCOxTmH8ZYxYoAslGjcEVMnw35nlMT4Kmri4uObppzyHgWP2a
TDJQgN9bFHPZUS1fTCavCTUs0oRqzQMu4pMubwN2f4opWcpJT6hewHwa41N5RPEPum5JdmN9JQfv
Wv1RxX+CMGSZUtp5IQDV9llWO5s81/JV5UbG3N/uxXjhSyZRQdinJelkgK+nbpyFvwKCy0CH699S
I6tzryIYIcjc3hgNek7EgpueKCwyD+W9r1O0hxoNLwpqKE578IVFcoHun/Ol5D1IR6QH/ROLilMn
98SYPaOnKWRsH6rxjZHNm3XcSMTCBitJ3AQ6aFG0L5NEIP+IlI0/m6sC9p+/Drw8ynxE1cW7iZiB
7qRLZZWrggzrnnJ0Wm86XV4L9Z7V77FUb/X2iTe7jj78XOfOQm1qXnvzo4twcIJJaf19Ao9NGaM7
X1nPyAWU+NQ1/2g2dBtEdSqDASrBMZg2WizQYoeXivbymo/fBjgkmjRsVhIhFSXCRMF4luifSbbt
iktdHwOsBxHJxFqcP1Ks/zbmu0rxJP+Son/UMjdiALfJ2Jmo6k5VA1xpkTcDtYjnSLw6NZergUA5
+u6dsFVfBLkqXU8NolfBu8m0xaIj7UlCwhLmzf6/iW618MsmDQ6qEMa2ObSUaqXNPaNeIuBUtHRv
DLwYzJYw4JcBuhHHA3lJVOigX7HgoefYgMeCGML4N1CHS6gn+8OGSqltP9NQ5bsWRQoVCEbccoax
4+BtWokBHQUwi0YXll0l60n8RobB2KGif0G3OHn1BFVizDhfQFwcnJU5LJ+YIlSLOPyxTgGhjmQo
GHhgbaYflSRSgtd5hI7YyNwYeVc+vlEas5nj2xjBq3JxJOh/MBggrsY6puorVcGWTx+aMLtXskHP
yMx2QrMRYKboW5tvxSfvoG6SF+iKON5mFKBMttcspvxHMP111hWDFe7Kq19zDsLckk0m8qstfUj+
V2YdyFlcjdOj96+p8iGqj5rQPLaD+ZTnpzD+VNVrSXtlwAtXc+tNIxQk5ArjCAkFE/lYIecPmGGl
Zly5b3imV7HyKqd30X7O8btiHxtotMl6yqh1oDxjqG698lcBEZ8vKji1yvkYcm9RGAl/COQyz9Yp
G6t1COoVNcfFf1/KqLjqvyS27tOikg2pZcyiH7tkZiSfMGerJi3hpVbOMuUz1nVIu5dhWG4wYj2I
50zac2iVezpH7fA9RiyvaugOJeqZQv4NzAZ9Fm9SMMMenxh9cKsMoFFF3Wdgvyh1jWCR5QsdnjKe
frvnnlELd5QkF16BiG6oaKMFwWRvqcSGQgcuDAW5+E9fQ5E1bcCJrR2KoYK4rf61hMyZPBXElHFR
E6iuRcRXVW7V1RsSvN0IoeLYM9REPtLMjV4fh1hQ2pbclfonptYxpY2ort+qNqAG6EZViN5uhnHn
5+U5EgleHetFhpyqNJbXfnJpogbO+SyWH335MJrOnWyDuyCHCzdsFKvLWkVoSwSAoe5KVeeLaAmE
bft/mRafGl35k1AzhcP/ApVVB3YpWa+acaa7gCgaLhjyQnStRXg64qPunBQ1AqipYWOj87j2whb3
HcRHTGiUGv3ijCBUk5kpRJ++FfpehTlAkuqLq2++W/1BxBy3w1o06b56V5ltZojkAtNra+qrIPk0
+//NWnR5S8T2HOnsrpAQ9o1GiDFNLUnsRUxugxS++Cw9M8EAdoMpcbhnCRfEJgNNMyz4wpkKJMHw
B615aJRlN7wK4xINNpwxwXik6A1rGw1Nn60y8VMUv7Oc4PyfyR/0apjlpvxGzXiS4vcQ9bn0YTHS
MZ/Vlteh8UX/GQUIiyBFt0rNY7YvW+KAtJ3c0pukHuXgS4avLlGpyCtAukup6edJz545VB2LiMh3
HdH3KXK8WaFINDnooVg6EVYymkAL245Z/Jjl5HXjPyJmEswRNQI14Bh4/SVkXjtJYt3LO8vQ9klu
YrgamNw1vuwlGYzQAGYyqyatcrwpxg8VbTPyHvLs8b807beG7oZmW6j6HaEtGtDhONxjdYlgfWk1
wDedUt9NAHEX4v1xeAko+Al/zOnCgKxKb7GFkQgIxEIVk/aPsiLpQX4USUzQGLMWOblLuxMIgJ8d
suHVVhOMeYzmCFFUp+BpavgSlOi9srhOqDsfcoSyFkmhXpx+I34OultfXkVFcB+/c7qykANgkXtp
TazwaLUFjDl4pKMpxOw7g/2OnCDONUeDEV0H/sOSCAxUHZnzW7J6j5ztlxhwiwyVELKCIyuxnJwU
qnCbKNtQN4g8fo4+4jMSOmGtoGN+Bc96hR+hMBtPxyJJQyd/00SAP8jfmNxtg+1z4NO6o36t+W+V
vxHyRZ72Wb0b/2XE9VmTtKqQiyy7LCyb0lzor0T9QfXVocjRoF/mGUkHvJqPpObE0hT3GwXDUA/w
N0agBu0pGX6FXhFEjHFgb6qUSCv8tD9FCS+9ZJalTKyDVwNqiWwkIs4hPhIzlKmbLwHmqVSeXdPq
14nCPEWPcEbGIGrKxp2I1vexBywpIr2+Qf6WIQ0M5GJrqo8I6f6YFs7yb8kAU4oWH1N8b0kIDNZV
e5y6nWSBJ22zRy69dcH34jHgPxWCLs2t/V1GXlZDLMz8KkUeUs4A7kfjEbji07HKmxmhnSTTvKbS
UVkoQCK1NEKuVKwcE3IkeviumDuPPmqVAv5jAo5O2HjzoDrNyULokmXaTLKHGsoLsdyneA+os/ua
WALavtu2dopLHaxJAYwN0y3vFN2cOkhldQmKbo3oMuXRCKjX24PiTmK99BMQHkcr1UCAzhnTUqh5
Od0dske5l51s09E10ktKg2JwYIGg5GERImMUDyj37MHbcTdSwmqhyQTDHB0d4L4lVPO1K9fkvejJ
mrQmbCMTBEy5mVRP1dBtPCVc7ne1OhfqqsTbk9Mo48cJmT13rtBuRhXxzd/TN/GHDPsayN4I0QIH
jO8FZYZNBXSjfRe4SMv2bHTbOr+3aALGv4ZZu664jJo3ytxe2BapHkj1pT3jpwdhH+uZ24LWjrY4
phD5DQe2bP4fLTppH7N8bhp4CnWtBvaBbRqETnBWzOFaiMip6nmNXh13gzZKKGSeKitQEr9Nce8V
9TVIYZGCbUnHVgI7S1JvJvvrUWdyOAcqlv2Bq2QE1cHr2t5kaGdBZzEfoMoHJujthBnPgIsfZf9v
Jt62IR8cxzsVOad+dFv9XiHyb62nJdeM35ckOLTR0WQOVCWbAfsQame7vegm9Iq8t/PnaKbOxCZt
lB+aQsKqTOM25lackFVBtGIaeEvoypgeM+1aa/9CaAlJeZZLlP2ws7E86tmX6DIwuBwB95HOZvqv
Y41NjD/R0IJVfmUlpW1kMjAunSz5mtLQhn07eiuSDU1GoDAIeTdTXO5A6RT/UqCHSLFTSeavzSEx
sUzWzb3uPI1YYRwgBJmjuCFVjPjG19j0uiZw8jC5F/S4KZcxOobzB6KByF4Q9Vav6SYTTmDSWmq/
d9M10E8VUzgZ8t6cb8hiwcyk6Tj0kKouCj0f33pGsfzbDMbR8eKBqeOlDuhWTVzJaD3Umz1JBBEo
uJ8zHOPdQmWmqEg+yLFW/ylE08SDhXtzrZTbKISdD4KdHF3C4SdB9a+WKiNFvLZ0GATpreUgV7C0
GsHi5UQKsORPw3x08VlOGXw9nGbbPjrN/s2q7yZ1EEaO6odY0OIMYEZqMgpP1tkWivs7EAuORGY6
Eo+/SHVSapL8N2M49jnSIQRBuk2gGEr1WNykd9s2HDv4iKnxrHhXhLRCp0U9myGwba4qCL8cliLc
ZObOJHW3UNR9IEFg6ywWvNvx1VJeEyIbSNHxWmmm6Ln10obQrloBQyZgEgGeCTCraPW6imsotl+L
RQiX/ouJaIHvOmnxoPKB17hKMDNwJ6G5dQnaMdCoGh+C+J5o3PrGrvLfxnEvKukP/vyeNzlUtIHP
nkuE2geZXtSAo4BytY1h+ZwvpH8VyOAlfmkVv7a8DZNfJfrooNBGc9p2wy6vB5bQ3qNsc92r8BLM
8hG+iwFgsKRxoshI5O6y5jOWIsxPtpNGl9K2SBvUTaTpIFSK0W8s1d4uT2/52YANUFuOVrkEHZsf
ssXiLfdUVmdvM9ywmnx1CGtKLDwZKhiRM28gxUh9FG+l/Wf1x3jsYAkxsSkhFI7tIu78ioDhfCU8
tBq6sgCAzyf5t+6PczuhLCGQH0S8w1gR6PSXEUzj29xU2tjsB+P/bZUuQHaxwDcck32wo1NLymvE
9fhomrFZV+hPDBWfOjdvD8/L2JWI5j0nMwl/wLi1qEVTFUEsAY6OkR9jNl5SUa/L+WmA8zIuB68z
shibdiBFJeeaERF5YwyOr6m44HjSUq3ZIYBxzMbYRDN5SCTbVa2JXnrBRh7RTEx3aLqBTp0o/m+1
d2r5ro+hS0Ehq/xz5PFXQQd7auIoQ2uNPxIYCOuIjnlCIXoMW5Plwz9McMBpjX8P/cwpR8ObihT7
iTl5gaF96jhaU5go6y4VYLLpesBqmnF4JCju/YBsTJw+7Qj+SLyxhuA/sni1zS3rGNM5tCvGFZ+P
GTPcymw5ipr6XUKTVmMN7/yd2X1zbwWIXwoMDGlOe5spPyP4L0LRcFWY7kwLPFpznx5bSZTXfNYo
lq7ecNZmU/tTGST7jwVpBgX2JDoGEUUmke9I7dckE7QhtEPA25lbi3o42KYcNIWesRlieuCRrarB
C1vwebiKmOu856EpajziwbYFQx/ar6y7UBx0plV8RSX2i4np20ZmpdfTKTeeS8iCbB9SdATD7GPa
7VZWitCtTch6simXEEg9Ajs8GbAbZvXDH7x2hbaV58++wNAJPlVnXksznV1MD4wG0Dr5kmTsRgiN
fAXIEidyUtt7K9vLxJcZlb3u0uhc9WBtmfRp1ZP60hNYa36F0KMBXswMACvWVhqRtVKMqD4vvART
ut1vjPzQo6gYs60Wd47FqyzPmwDd9lQcJaQjNuCdSoxzPvyUbO4TGhulx+lNODiXOb+7cDv1TPae
N9cYfGlhMEl7rlOir4t7S867v3y8I39FgjJdnxBwTB3y8VOJIJ0a85fYlnexnNEiE69yNdulM+gK
WlH0U0X34GPY0nVHxhWXCeoCTQnWUnag9AZ4jRzzspqxxCyJnJ0TpcqhqsNzPeH+wSbTkdJpGO1G
GUB/9ZyRt75QELlRFzuvmt4yc9yUGEQEosYC4lZtbwbXo62w7PZs91VYUjcm0VL/L5vS6aXu+nMU
0oZJhpwt26xwazKLHLvJHDaLtaQxJbGJ+vBFzFZ9Bz0WMknqDx9rod9wikZW7yiVdmD/f01C0HqL
ZIdjRzI1Q5RjI37Iu3KlsaZKWAoyum+mjuRaMt0MjUjY1nIkjcx2DFeELnXkW2uatJXYfDsOkKc2
rDvV/h5YUn2e5Vgo/2a4Me4O2FaxslTdgTPHfLOSsXAXGuuBlrzHevkMWTIViN02U8Eseq/FioPy
8qXv/0zy++aKwTmsSIsA1w+MszLEzojsO0WoQ4KztzizwfE8LRjgPpkflHWb7brCcPX41QTWl2hg
TKdfPSKZV/uZKnQfX7pFHE1H4rUWH21UzZKZPkZj/JikI8K+UUX7aKU0u5Eg2a9zuXzSKIKsfRhw
Morgp5iSfR/Yiz7Wycvy1TBf20InGachGLsISMIg46e92vXDtI6mViDf+rRr6rBGPIcBOd2tdS3b
4aoj9va5shvuYQ2tXfds0FhRhpKQdZ09BtPcR4G9ybQGWQCnWjadQ8n+naqI5DykySOSmDrEuXjv
bMyaBXMv4U4UA6s6ckl1sVLdi14C29Z3UWtuhtiHSUfZUBEdR8sD5l2U+S1OvYi1R/yS1boqYlbX
RdTA9UgOtdBjNtx3VXtPQKfU5Lszgdpj/Y9uWbYnhWAbyM4AU1/UbJKJLr02pI41Zn84Kzz3XUf4
Au6OIviaEfP6QTfB0NT4y4lGCsubmmO5kXQHxQh+/jz/ASsfK7ois9/atn7saJFwUdiiDI6ATIQq
gK+13QJwbcLCNjQoqnGgGZ1Eyci5M2u+642E2lfj5dGAKYohv6VL16fPuEbPXj88S47KqucMPkNj
ytBvoXYnUr6yD6XO5FI/bNxBMdtLuNc6hDGUARQC/Pkjxh6uBT71I+zBsN9RF0CHHW1zYbUXfdGA
6vlvqr5rQaRqcMkSxMADVmDO66UWo5iIqe6IB6EISAGpG02PnHvW/ZjNlxCNKrLcQdXuEvkYMwIq
MrqdHrY2w69mcC/7GZGefrSZYbPDhfzlwWj4zmoi/eRIfviYAjpVJlV9QNgrNjG1Y1JlHuYo3pFX
SKnY8nLT7U3s6zlrKP7wOSpjNPUCx15gE3HGVWIHvacsEltEOfDs2l+jdS84Riu7dufC+uiTMQPO
MtdMfhTBJZCsJHdSgWaQM41G1davYwhYAPA7m6iCeBhVjLJjeGtg1/kHeS6/aZ7aRi054DzXILIY
5ncWCUR1S8C5/C7YCxvVGVB76xXd2TnZOfeaHpIGq2GJEalqe3IvzZcy/551XK3Au41m43ajFa1s
PAPvgpmRrm/tYhyICvTQmFVejSdazurtpMesrJErQWyX6j6drn7Q7hvqlLNaPmrYM0SRrjL96KfZ
JqIinWS+T61vd5mlEYLRUY26S5YeOv1WyipUILpUABq1z/5JsIqJLHHzkIaeLc3C+4b3rNIReSFH
UnHEDMCOUSI2Q5Bv6x79vDatMySTdMa4CfOegaRRtaJ12ZCsVVefU2++pcaESOunAIFUCK41fXUV
tx9ZoR1jHfqZwyq12xt15Y4G693VKrTnfCLQ7SUCoKhkshCG4rSo4hMC9goAB+LqbiR+UILzauks
yS1sYqs4XKaUBmt71eo8YgXq4jKq3dI58rt0J4/Ms7V8G+PuojDz5LPJUNeua9vY0sb9ItLq0YYD
e8Ub3j2iV1PXZGopqspVRL+dGE7s1ic57blIzSSmQou6RZXprse2lpTBdjCmvZCtddnn62rZesis
Y5ynIYb+AIu3A46cduKYiPU8kd/ZtlClyF6MsFAeotcoeAaZctZtZMBgeu1Ew9I1RQtQMR9m082X
qcnBQ4XPdWtLxJ1xdk0caDGuv9xXnyo2W/iJqKP7E75MpQqWcj8vTwrP/z8vVHcZennR+7UoUVj4
1OfOxTkG2BK1a/GKldJXl12EERMaDUtFv+kQEQyCM3CST1UDHFhn/8Zk9kqWpVbx93YYra00Pw91
vqsIZ7D4uAMOiJKYo7x+R3HKNtDe+PBjNFIC0VzfzTdRHHrBCGJFcNcMVRIpZFbDrJjbpzbwj76Z
nM3OctKRvY1GxAqzK2xPnNTrsdK8mMbCVI09gWjVTmRPVcxdEBGjxhosAwgo3CSY4E1ZPRI2WzSv
gkHCfsQR9lHfQEJEj0PJ0lPzY/5C5lhqtBrw4TfItqAQV2NVnAecmgGBPLlPWwOsoS+gBhiKTdiN
rQF5UJYjWkH8+6zrsilTV1Ks82ZnoWdNMVmVZGbpuN0J+SDleO2TS2OY5LHkbyELalQnXPVARdxP
eZnsLVqpzDo4MkiiqPNPEWYX0eduGMFXScFGmcxN05ZuyVxO0D5y3ebW+tKjxn3bwgqMGKBnoJIp
4yz2Oxeif+jBQuSQnDnF9clPkfOBdxhW1tX4f6gEW5laugkFuMrg70q6jgyDpCZ+KENgJXsaLf0N
SD/5DBKFdwTfXYmO3MKMKn786pP+QD9+U0Ac8kB2bKIYcsKl7GLDZLSO/PnNNui2CgfuzswJsHrr
2ndNUFgImz/Ir1nuJDI6P/IJe1Gthpnh0Dcusy4BEVBLoxP+g4Jj0YqYEyBXThyXRhCxPXgdwKvf
Bx8tTZtJhq4xq3kVkDqTDeET/lEjrEBusBEzQvaUUQy/jojTvW7Yv5r4Tgqm6kC625pxHJRxPWgj
5nTFnRj9x1B6lWxKKdr22Pr/uuk3i5yWyzEOlvlI2Zu2RAbaZ6M/4tl2A/lvMP4k3b/J7BcLXt9U
/zRjWAXIJMZUBo/VdpXFnpPWLhF8jobTRAYnyPhVVe2qkks+ZjDHrJMJRwQ2XgkOl1Q3QvY6dHEN
6cPwfVh/REWoJtKket6wDL0aoY0hDOsuKHFjp2zyvpM0hFZYw/xuInfqMY12SnSccMKU4bgOJYDN
SuwUrd2WabjX4VXH+iGaUzfC/MjAgL4vcGRDo2J3MP7j6DyWJEW2IPpFmKHFtlLrSlFyg5VqNAEE
EMDXz2F282zmVVdnQsQV7schDeGxOuPA2xq6hnQjuMIKhLGNuZJSHEXDtrD7Y8Tu2M/wLCQYZ00f
M1FJPkq489B6GDqS0a7k/5TLVZM3X9M47DwmK35fb9wJTZrXcV3waY/kKgBCAIZ+HPv61fPzfepP
18hkhuYlOxsbuIDA3OvMK6fk0KOb1keiVl2QDG62gcO8GYa3yB8fFH1MSPVVFkCrtZBC2AIOROKU
6BdyHOj+PoA1o2N+j7BgdiHZGaIBszgwCIpQpbKcRZBsZgbQe3kb3XNHz5yT0quH5T8JNf1JpNY1
YsnXEVwimXTmU70pK/05Q+LQBSaRqD9J9MKWfONp2CUgO8q6Qf077x5gzfQuNDnr0PBfaxLrKDgx
1pyHlpWLzRmhEPmqAcpKbCApz86ySh689Odxit98J+OeMN1yMRivBlN5s35l2LT1BOBVBFEVO6oC
sZZW/woCfwhz3gLu/RurDfztdYzIL24/6ASpXqMnCn2MRchMLyqm1LZcFDElKCM8tbiMcmj3qXcQ
xk8d7RruRp65gzP6D4M09gY4dDHwCcxRhnQJ4TQd+mD4bTMG9tjbMrJZYjIpjYhTEnzvSN3iO59t
lWwEm+FR4GwdWCwZT3McjvS4jdDzxWn9Ww5kd7o0XbnM1yO+A50hdR9Tj3D8+MDkDPefYnykjdEp
hIvQQDqoEuOuGzPFk5YaaJxj35Hl4inNFiaY+bajO0VL4KAPTvVfB8FXpOtYLWusHfBXbet50JvN
PIUtTbfbkHc7u7HA1kWwLx5D+6bjrU3gAYXj3qipd3Uu+wp2C5vNY8ybWtfOK8kgL4g4r2GLN8ct
5kM7gaaXHGl0nr0UFh6Lv9ZaehSqGqE9rMieDJ25lcnIoGS4GcbWRteM08B5nIxgIpX3LynnFS4/
zMECYbN2BpbxETETGBD2NQ76dsg7o7YeCnGrA+ZL8bhLWb8GmHiLtNxHNpu5tmHXXCxaosEkjgPN
rXeFQTIfHtNR0VvH3o9ZqteG46bQTAouG/2b5b3mNQJH6muRRTPrhQVYfbCiWwnnpIz653yyV76M
3yOgjr7ID0Mhbz0bA33Md1rD0zbnP9ToZazshR9zl95XPQ2nuPEYCFULAPsroXhVWyKn4PGZw7hS
bP/N2SDk+W92TOM6VPsSUESdI0+xgr82dxI0qx2wHe9GBGGCp80Ii9eG44YoAgTlyXS0M7B+fIYi
0gn+KleVCk4dXjF96h8xhfc04pvKwP9UQPLEmldm5w0RvoV22hBdT8HO9Ntw9bVuvbY2FZwR4T/I
eSBciV7ObPS3tLliNAsyd1cpgV6dkjA38gspDs+2+q7yV9VPh9rmfKydY2Dp3D3fc5iLA5SvspfG
gOUPrLPeBodpGHdeVQOTC4yVahkrxVj2oz4gKwCdot5CJSrOLZSFIA+wPVA21/XdLBG0lMlGJ2JP
ZkgjfOanbXewPJcrJCLJpKNQo2lwUKyGffmoRnfr6gh+XQBEtbOPi1c9RIoyp4gQhdB5wV2AS6rV
iIdgXvQ1WBCZSKHgiixnnZknNbmvUdNupWWd+8TfWOwcnTJeGHq1r71hbTftoWgFMiAkZows/9Vh
cVA1z+F8CSqJdzhf24RaWSMLEc9dq6p5VdlXVHxPLXCTWqwBfHMMsWUq+7U1RftCV7skm57DqloF
6J7ZAjH5zhb2hO0LZ7M1HS1mYGHnrbiY0TcVsI2IuTQ+24Bs9WDpQyetde9sSvYkmb7tkKsU+SkJ
uUyinvzeXx4KDD2k50ExHiZaKOiMpLtzBzvnKAVTCcm9j5ydCmApsoQREENqw0Obw9hwzEzOWHXz
2fkrslniJNmYZC1hlrC9uWuYXa6wpstLEVesRFgAxqTZ6kLhLgtOIGnaXlxDxIPctfdRdktVYidw
InYjlL4NwKBJ+y7oSk1kmHZUH/PY36Sp+xMpNBu63Br2xIG48tP73IOkunyn32KNkLNs61CSfFYo
4wbE3pOu9lXSIDH+i1oU+R5ezVmK0KJ9Mar+UujYUwz9Ynn+xmkqnFzDfnBA7mcxSRBsvzXPODVB
uAstb+X08qYZLsY5yB1MVL0xwpB2dkkGn/xNZ4C1+yiNfpVXHKYoFXMmhr2BpVZsI4kSlpLbqZvv
Qn02SKTL4MthtN2J6RFMrLc9sSE8jhTnPP/MuJHjZMSUM8SHWDGgTdtv143vFev3Ze52WHxCFvC2
oWYbUoYBWndevf7iV+UpCrLFUNy92VKPKdFPjnqd7wscwj0bICAITNh415TifHTvM+mkhPOXpVtR
v+dTevDaqw1BJsnGE2aPTY2nIXCHS55OWDpxAiAat2yF6Vsu0oHybwYLKP+jQjJgdeoxjsXBU+bd
JGZLj6pXO2ZGNrirFj3Q06jDEwTq6irUkBSWoVPMjv/pFscTMI3iZng1WsbqT6tDln2KOVH6Y0hB
+ad46LrOAZuTDu+o7EhDipgLycRn2GE3ITFU4SZNCFIizdIDXiGqbKOjRZnqcz2WV8sg4wr1SZkW
z4EJh8A7ZVECvkoWxN9lGsWIfayS36j06GYR9cVsaWonXzPB2w84JHsByKU23uKCKeYoZ7UxEAyI
t3ZWEIKBlH/47Wym6dDqVnrY7fXRZfpTbbIxwhAPCLw1T7XELxSIZagiEx0NVdoUnOKyv9lIgFOO
Nk1vz5HvXqssOXv6uDYzZ6vKjvuzw2HhEV9zccTLFD5rI+XM4F1a38D6j4ugqK6psA5jLHc+7q0J
jbE0tWfN97BKMhgm6tLqu0sGcbqJYfIHU7AbI2SNFmDreeZM9kKmYcGkm9Ka7hRBVk5mWiCQPIjR
XNTFIRv0RdO/B3m7iRyuSOhxymsWLamICccQfx5LJkTccX6Yjeh1pUP2NTfU5zPi2+DoijZZV+wc
zTlrXNYqinjqiToHI5UUACXJCHIGOsNZr84ln1roeXUGk2glhokCL3YWspi15GjnrJTxYouZnQPc
iHa1/jsSGmGyV8tTfRdAQckAFsOfIb3b2nXmuK01fmRhYrJAf+bAvwg9gL1jDPpLXWPPj65Cdv8Q
4W1l4rzEdSKZLtCLYcpFn6pQOELt7Uzx6s+x3ilizQ4ZVTr3wbiX2kBdqPzQWmAucwLOLj7Wr5w+
Tc5uF429Rm7Yn6bWHvswfGhC/nGUXMbGOY+p+Gd7qIJKtJk6vaI7QZDK2JsKMuJ7PzAZ9JgMKzv6
xoIbApQqaFtv4t72E4sXuvsWswBbFtgfzdA9dFkFYNfHuRjX8QuD5GUkIrxZwIKfuNOeugrjUPLZ
G+/NeK+radOHGXs6glKV2M3RTfSUT5YVrz1v/GujhlOPUrVuaiI9oaIbJdUx90kPCR0SORoYSQ84
JYTNpMXOqPJH472ZFk9MQ/Fg2R5AZfhIIVQmD4nIIEmoVXSums82PGn8W6YByjPTfc9ZNcJ28FR0
sHPrXBC4A6bJRs3Ob54A4uuj+mOszFc7IA6bdl8rvF3e2iBIYFeGhrMpfG3LAHNBjb11oFKlvr7R
KIQZ762VqR5pac7rPRwMGLo4cbVc7pN0ZIHhMmwql23EPjNv75IF3zrmzS+VWo8cpRHSg1HaZwkQ
v/XEV9eqveHSahfOcsqrUwE3z2L5W2r/QvHIiMJjPItPG5OOWRLzOyHwIfaI5ouBIW5+G7Wn1oJt
xM1Zpjg6q/TRkePjCEFYa7nPYrX1629Fnd/JadH3d5fahm4FZznCtza7Vfi38KQConn1xfAuJrRA
ishz507X+yHw9CWGubGwJmt5xbRHwj3G3RPBleS+1magAh1WnxyjFilZOgs/lgpQZ2iTB+a2RxlV
tyxVd7c0bloJdXiygJKAe9Tdx5CrLyfqttW49bFH1o22rDpqQIf0DS38qKS7mNjN+gwcdIXZkzFV
OhrIEka+6dZg2pD/JppPLNLsE9CTX4LIb/2I/7wz/BdV9Z8SbtlTLGdAunGAxUmrFME1mkrrhnD2
5qVI4rUBR59DiWKgV6ssF3yVj3tL/6xxSOd8gAV+WGEMMN8mPDh19SzdbG+QbmR64Q8E+COLeLi/
0S3AHNLZfJulutaW91xbxK2QaWQiqkYhcuViGJhkMdHSUL4mxaVwxM1grpeOUmNSHm7sRhyckrTP
ivZQII1GZuJowWdjoa3W9YfWGiffwsGmopaAo2RjoYmZLPtsl/4mitONDJASIddxFJVWaj6A+EMy
gk3GxOY86Ew2S5fDoYvZfegJNQTMG1M297S214buv4iaxqbNhnXTRdSINqoyslYK5zNAEYC36y+h
PCF+5Op2sYuJdsT9DHO9SA2HWgEJS6QR9h4CqI7m3KEu0efkbWgj1Ea0f6J9MWT0bAf9XdGEMtAE
vWgChhsEMnbIaXz2GwmkqWVwRy98KRCC6FnMFFMeA77qSiumpyEgEM+PBN1hvjHaduVS08pUuzK1
ICKwhy2MFXBUb0LSM2MM72nwE7MHskTZlzkcim0a07OoN3rNPzpUfEIozOqK4VgNMR+FPJNHZvSe
/VqzrsjxXeaD/DV7dp8mOSr1tBhylOTRcDTZdWrwi/lwaJaL3RgPa7cMVrrt4DH0VnHgE0wNrALK
rEG7gkh6OUEA0Dpz6eL98aC82khVXMZdXeLdVZ/3y8KfY8HQqlTBu7DABVJ2uFKyf2q+uGHdRRH7
u86o6S9wiidDkOJfn5HUtMUzSFtG+r3P0exW7hknHuG3IX4yARjjn+xgZJXvZVtRslnHxh4PsnIP
lZzOVZFfiz7bhAXcMbOxd4n1iGEBWS1CWJfBBRJ0m23sYmxMBAqe6W6ZjDzL2FqIec4YVCcW3n95
BQbXA7slEpLhiqk7oeREY1+k5zoGoV4SAJBrPnsqhK+Cs3M1Sfvucc7GoUBWWeEZxZKM4a5IIVQJ
1NCp1xy0pr32Qp4JultXlBJAo6z3KkcuUaUdG3otW4jGx4/rwtcwV6Kv6VOt8u4qpq2qujAVO+N3
wShgvDZmp6PJ4lj3Ononkbr0ksVXa7kVGRc++1q93jta/ybG8jtI1XIq3UNrJTdG3MyUwLOQMAnc
N1rjfv/pA9b2bU0Yo+Q1xKzNP3gQERxPvJvVtI+67K+MCsLMtEOGNt2pXB6F5Gr3SP/5lywvmEi1
MlwbHqOiIjo4lESpjyyx1lhAxAzfJb5EDkhiRkyobhNZwTJj4aRjSYtiSlqfUkzgyjbq8LsryiP6
/m1DjkFkIYc14z89U8+VCfhXaNPGyFAwB6P9iH3zq3fAZ6bIuUbKtLj3UClSSYMaHxvmMeRIeZMb
PA0dk84SVkzpdOnS16edshQR1JjKHMmiIYBPjJ8nxKpWt+XZDKuTOxT/Mq8n6xt8rIiqVWa2BPs5
9bpUxItp6b4glpjrRuypU3E1IP0w/F1JT+M2HznaQDlFl0aHb+1BwmK+ZeSk1ufBwvbSR53pG4J+
KfChPdukddeyebA6XJkwvAlXwpUU688Fu8TJ7paagTzIcM+mTn0pRiwlZr3jw0NEpq3U7IzKOrlm
vHRQk3kOE+QyFKxN2Z9M3bqLhAO/KE9xFqyLUv+Xaeh6atRAvkvIuikjXOHVOoBmiOQGr6jBbo0a
RfnoiDw0qkyzTERs+dVBWPY0sg8tPBZtTPMQIOK9n6bH4EEOlJGGEV/31xPV9YBQykiTg+exjsrY
/OlGjaB4uCdNe06Du2Hmu0jvD0li/5AXthJueqh0LuRaP5ktq2+LICsPfRxwyqgKF4NffcRB/Kij
EVWac8wC9vQjC3Vib9GcAChAHG6X74U3PeaPSijgb7pY8xpgj8Xaw9oqY3QZRQNG2+hfEwJaqDRx
6bT+EmOy1AKuiNQ6OVCc037apHFAB2Nieon/9QLctmlbFga/gZoNLU4szoPmPCR7LK1jWWLiLBx8
yCNoKJ5EnjPr9umTehM9AoUW6DXzMBr6xupQDI0EwNncJHHrXLsx45oCljLoN0J6n8reWbI337o5
KW3UyU8lUZ2l0QFMp4pBQd53xlsYINBnn0xEdYDXDrcSpOHCbc66w2BDYHYLHfrbgTod0zVRiq2z
jCvMKGNSHKWOEbp1UOe1PUbIchbAyng/+d5LkRJoh0Vz9jghUtlJHD6NbrzXxvDo3Fm5IsKNHkyr
XvWfnqvxZ8cbz4vPObxddIvGssHVBa/npnUs36Vr38uw3rYT/C0j2rudvE587sJBlVIAg47tGInG
j++AvkrGu2P51F1myWIvf+kqRq5uQMmmLnkgOQHLa0ev5gKGs8Ly3kXpQ3fj/dhNL8WksYjCf1Nl
9wJsgrCBX7C6ZgvDSBlsnQ7wnrg57JwAGLCOqGhHMCENLiwZ9Fn9zcHuT9e19qOZ6i62fuqsLJWf
HEKjzQBont4Fnz49iMYhH3dOAAEOleagfqT/xpnxboTd3fAZEBMQ4hh3e3IXiaALV9qtA4o0Upo6
bnP1cTC5pfnujsFzzMitIBS8pktBAbAzmyuYWewTzcqyXzLwKVw9cKpYF6ENNEftPA2IKXqemKrw
XhKWRy7WFNeu/5BovcVeim/zxVHmFZfOn8VJLJI72+pznTo7Z4Drn3w4Oe8nchDhcPPWkINtdTQK
9C9JKQ+GNZwIMcRd+mIbORvOBH1Z5nbH1JtjXlCJRwl5AqSXBTrDdhsRqBi/65ANEN5WC1qLhimQ
DfDzMPJQee5iEK+aI3Hd5fTS4OJqc9eb4S7SfgV8wLYV29EFim52kmIVCsQk+XZbWG29/1KL9yHj
I4rG16RHHc2U1ADEInISlDGXDjaDLRGTM0Jw08gt3k046oICOhG8kKwEhAEqet41TB9JitwjdP8c
g7OyBGCVgQokUBAwum/jBtO/Grphhcc9UyOx091RZKDG2+CE4fEcKvfT4lqolPnu1+VTA8dB+enL
aNiktf+oRrx4EYBr1cLKRA7Mrsgo+42Gz8lLjsbU40DCSmYFKCCyXDAzzffC0BhRBTNdbFURjOXn
BIK4hMMM6SnVQUZojb7V3A7UIquMhKDQIYQENVGpwqW+pA1qNMdPriqSZydCQmp0DunIHdGc7ODZ
waBq2ZiJPCS4az37Z5qXLa57wbdBffZdD+5v5reXScxjahQGeewEdER4nWrmKUr9jIibJ4+I80Sz
r5XfsE0flyFkCIs1CYxpye7VwhvU1smvrEqkknzlQTeeSd1YD8jVmPbvRqTXbUJyAo+I3vpvoOLf
tYZcLHxhAnln4QSLoAepWkrui2J0j1OP1rYt2dO35Qb1lL5sRlYnKZvoEhH3U2OJEv8GmOmsSDgP
S5A3sNs17TuPRqSHQbj1xm6rJ+0h0DmYTY306GIaLtqQgzuSVGrFj+a7+rGs2Ji5CjOwKNGLZhH5
gX0gyRyssG7ocnpvdevW5HJXdThoTQrcRv7DtHGLK9aszNwJegrQ8uRNTwyDCJCz9BssoXimcvPP
HjGsjZ722aCIpwR0i6f54fDpc1A8IFsYgImUPcNNw2J+wDF5m0pJbKB3RFSC/yBOLs2MFDNqNmC6
Ott9dbM6Ru2MBUA7tAc1QA5RhbnntqFPGRFRK5c9gzKzM9AxD4AE6PapmL41UV3M0r9VKYP5uuZ3
Rv13TYvqaEbl1q4It/bk1XbivUaWutNmrxIkg8JKVBC1hjQg+HCYhjWU7FJpAL8S+mTfhgycuy5W
M5z3ZPvNUQ0GzDer5XNPa+gAo17tphwRuuYJZPnWKdGLexDVXwEqeeXpmCIsPHVguFwAXsRpuRbZ
wXlCk2Hkv2CIl1P2z5d8pZq/B1B2G1T5xfTgmSCIbZpzOffpD0wka915NnIzwH7skBhtc58ELCqS
3NmlXN5PKviygTQ7kAoaTFqeU/26tvHeZdOeSeTVGapN1MaPyp/WgTmQqKox74p6H3tatM9ynYpI
w6kOooowkUWYtg+nlnfLKS61AEJJtYoqhdBilGPpRBQ7poABvUfA9ZmZ9mfaR8s6d+5pg/J5pFIY
wUKlmUJZhzJ1MMjO88k+NLCI+mb9MJPgJTehU/tV8LB164WIhz/FqGOQPuRUaBFevAPicXTHHo6Z
3+0bR98NvPxRXhyjqjmxmlr5Oj5XTzur0F/4Bu5zvd2GCdy7lPObwhpLKm20a7/nNrCTdiQcjUO+
CgsG0A5GbjR3hptAxEuxTVsQEMOKPHYt3GYiPph6dhlN4y0riYeTxpr4A4hUMw4RjKvlMQV2kRlU
fXMOOoyq4AMTI10q72LAQxyY/zjmHMSgN9cuEBuu/HU8uLvG2ivHMQCN5PbJNSC2lfEz0dHjoier
qi27tTnkZGox1USZaoxo0BwUuGpoyJQY0/VoOQTQyNWQ10crY+3NX5OE1vi5y2FZhpa+wvyZEeEF
49Ic6BwiBUJ76mZsFyFoBTPmSYGBqXUGn9QrI4LzUWgPC4XPaKTHRoItLiPEFhq1YEU2skMHuDRH
6H2ZNu37xrg56bQrDZJ3RgO1jcwaYjKdn77zz23TPQYDBKss9Q9TWu9+QR9Yz5BwhbLUFXi+Aplx
pFYovodEbGU5rRvBwtZMim2ImXAoInutGndaFnH80vomjjeOeRNOQzi8pGP+YknyRNjVcwj52kyb
4ZSSots5sfWpUnoykL+XhKp8bahgPXEQuZpNFQDRibmEWAn8BU/SyL5F5P78P+U3p/fEIjM2mrR/
UeA+Kj2QK6FhLSUGc+fnw4GYvlOWTF++HiJymfwXv8Cr3jbxnnzVzQCZlJsPE9QA5UzE3lvnj5/V
FF2Z8W1yUiNr1W1jejWEld0d0lEIxjRcdmU5wKKHeaRjWhZWdbPd4kUrem70cfg0Wi/fzknzfaN0
VFdqFzUcpsqfe+sUaUc7MNOCXMzmhVFukRWYFPUKzdxMryunRWWGq9ZWD1GkmMdTWBF9y97JLjEU
xoV1oyaec+aqe+E67G2RM0nrkCj/rR+xOIZZpuZoNc621rg3suULjGGJVVF5cjP/bOfKWVBQENUx
KJYVIz4Z0Jq6zobW6+ki0tkEW1vGLQ7K5qh8IOP8yT/KYrdb++6r27OfNBT1a0un/6QF4rWAQREo
iAJy4EPQNa1ZG6SzBllOGLJqf7UCO7bCAQOgB5CN39XfqEQeiT7aS60eoDiaN61Xn2VaoQEz6Lft
KN5GKmOYVB6aGNlFgsp9IqOwuHRh/WPblDCZifM7EOokDeeDB/WbKley+KlBI/Gr0VLwtQ7+iAPB
ATJYJUz/ICE8Ervzzg5SePxTucb1n4ND89IQVVkC1MnMPQjOnd7r6lIYMbX7EMbsDhmjJwW4lLLc
lEx7kyT714Oa08jzKrqOLAZygwBl6hULJg/is08W9ykSryQ/rhw/2Mv+u2F6ETK4xU6bhDwt6ScQ
e7ZNKUvKTxAz14hc7qCkf504ejW6966TLHFKHpMoWpcVFuZcnPRu/PJIQMu8CsB8x57uEhj6eZBq
rXfioqW4V9AfRXxh/Jx7INtnvXaeIOVXclzI3riOY39wPQVl+gty1lKfpRsssSfT+7Kj4kh88KbC
FN+TLaAQ3i4d0ib2MjaKTY2WjtTR9ruR9R9FMQ4/i0yWHj/ZqktgVcpYlvuhdlmPAmTyg64+DLg5
n3sDgYktwZMxU0IAAVy8qdxx77V5eqvdusJALNBk5eSXRs/ZBB4XnH9bMa0llMAlPLab4R0DB0yL
a8Wl4Yz14KaXIR5gYf4rJnZeGWyPBjIKkCs8R+PNQnKGUovVKh/pcaCb8c/VLLn/5PTRi00BcKZ5
d9Wyq8/tdDbaWX5CE+FsU4LPM1RKC7B6fbrxcm0FyXSR9neQ/jGbdJNtSv0yeTtHvlv+rhbELhRi
5TflMhRfIoI/qq1NANoDSVBetAU2uTSyYhVK+ADBEuGwwgpMwk/nPfvq2qFSkJ+4MtmVsPV5qtQr
plQGkEm7ho9WdSeQVpYA8b6dWMfN0Rkz+59nCMHr1sQjwOo0Lu/WyAIVleqcknAu+g1NO57fDFVI
Gb1F0LBDFz32bZArv4ODBrtnArQAz0fkeGaRcSZnCsacft9yTmP1leCtisOAdvOfBnySQAHGQX8R
XqK+LxYp+jrXSi6MNnll6fo5TT32fAGPrxWli7RhTa5xTbS8u1p7zpH9uTgOE/7MBJsASBTUbAx9
wW5+9ey2SCdsj1YDrVjs6oDPA/r0Z2ztW+2NTT2RYFp4sK4YR5dsr5m/k73K6n5hepsC4qkdQwXG
FBjtBEhzGDjJ2+i626FBiPZkfvL1GDUByP5KILikhUMLfxiYjNtcoqz46LREcpmX/3X9WpEcELOZ
ZssoiOwV1IeEZQB6Z9e2y8tVYqNOol6h8cbdwqXTz4PnRYnKVy9eYTobvAtElvnNRxzveYy7dsPk
hOQzp98P/RrNz1PDBi1+0qiVyupv/mzloSqPjjHDtET1UaY7q32WUEI67BsJE65FPbAeqRZeeerz
59gYFmiwjL+GgS7oA9O6EHKhd9/DhObjLNU1s9a2uXEinYSyDU3Gk/Hr0cS7DIUNbyuadY+OJ523
PEiUs7NX3vC5BQAFaWljuK8lgReSH/2WoWdok/28p8e8iny2dF7r9jbWf1WGmWT4q0g98GksAuY9
RIs1fIVZtWvTM51Zgy0hDBAegNIHfVmWTzbzF/odZCfFIR3VzYDDKBJt79IU4JDhGsSccPD5jaZ7
nR/KACkpLQPwoJq/B3wCD7+w+4aZfrJvjQ/j4FVig9RWVbDTul3T/nT5ZZK3yTpg/0AeylsRUb3d
gD0Rp1Awc9PqpTFyBoewRyeYifnDJIAC1AcLRKZHGH884BZfmBtk/EpFPM/Bp62yV0m0HASC7+3U
boaISqZHnf2kKv0JkwpdKnr3zSzMYuuRu9wNPH1lwlwZ+aK5NCWz/BsMCAt6ef8VpnfXOxSGiV/R
3pYzMsMuccF0K5/NpTz36YeW55tphvIb3RNBHWhlTPm/rXWO5aX7LrRTBQeqDk7N/PgxT3GXhvhn
6ddE3PThA49kgWMVJQIwtg2HOiEfWfyV1dvaemEu6HCQDDbPEoiA7Jn/tXQ9/C8CoSMNHNaO7KQn
EGKbYxGSv77UWStVdMpu768DiRplZaAw1b6cPrwX5qZz+AFY/EYbwDVVB647Fk9PyXgeWUrRhq1k
jIiuB5de3fHbLmsdB4bNEikha8ojw3HjDB+QSNYAAxY+7rfIoYBx6SWfG+cqklUUbFIgDJN5tYZd
z9RjmpPa5EuISradGu7PravNS48PLt44+4r9dT3AF6xepf0qEHhpjyKbaRJ4HBaFXz3VkUsb/A0N
LenXKeBPtz243DEz0YxYWfQO1hbCB/k1prYy4YOZQCLoHccEzAp8fn/binNiviXME0zYMll+Zi2G
wmSvTbBM9UvHhTx0JF3Zy779ARdqt4chPrHAzgQqpVWnEMAnLGcWLU9ocY3RXXM9msFvMxzj8Vda
XyBTa7S5gklLNhxzcVPKRFm7TWcn7LCvR2B78XnommtUHSs1LUh022QpMH1YjOGpTd6i+DfA0zCk
HxGvFcdWD2xCr46duQE20Mcv6HnsS+o8k3IT8DcHAhSItYG/MOLzaaw3y/inU8lMy8B6p4W1oWab
B324QJZEc1AM6zHHI/OsUAQqjiNeMaItx+zNjBgXkvw2PHslNS2fSLaraatIFcklBJu3Zr4wmPwy
G33KeL5FuKbG2zlEDcXbConOeK7Vi8E43vnWMGjFHbmldwj4T1YzwwtygA1VcI3kczmuHSr2EHAd
/GDrXRLfxIK8MVF6IiJ39rhciubYoADUAAACI+3abY41uZgCjvV9bBxa56fRPj1t1xOHkZJv59hs
XlbGp8QZo6NulDsj+TXAyHTFVZOvnmbR8QKucbg8cLuwey15K2yCM+N2J8mH1bTgLRsJ2wCWmU5b
zwUbzZCW0jmOlob9mgo4BPvGlytlveaaibhsV7rvrXyuyCrR30skNiHteUP4Gpq0niidceZBHAdE
kLjlS5MEl5uTZEsLuqUb7jVeXlhBNGpLiwsm786hiSaKYRdHS7E2g2YjS0D2PHHJbZZW8HiakYUx
YTuzpDo4jowBsadXCkkzXgdAx8W+pic34w/i1US+9wBypuktDV4qAxWX/mL288iK6W0cELly1UE8
sEaHX7Blj8TB++noOTAtCxX/qUkeQ/HuBa9dw1poa7GU8znIHMW9qz4dJukF6H2sHXQ7FUXlyc0r
BEjdklC4des3C8SInAxQLcdjN/ZsY6pNm7ENXetBtJPWuB6Z3NKV0uq/C57DZtiCbN9Mstio8mzb
mIets186W6kBAbe2rY1wB9h8urW995m3n0KvQz/WeO9GlqyQLy4kaljcuBNhir5gZ9n9GP7ZwQKD
PJ2BE6p5LL7cfzikGqAHYNA6/65FX62JYwsjZpBA4BhwADcACnFez2IoV716cJxU7G1NUd+EEX+G
JOb4tcnDMxvN0DahIzCQjPs+IUjsgkMh8MebT7ILTmw5ibcY9lqt3dueQXmAmyOf/RqJm+zgXmxi
kueMBGUxkBSIvB8odmn9CvigegneVoQOZ7ezdNht6MTAx1w9ucpXjTub0oi+Gly9OolGmNApQ/Qs
QfZAHwKIFxhUoZuLxAu27SwvKuP4P8rOZDlyHFnXr9LW60M7JAgQ4LV7zkKh0KxUpko5bmg5cp5n
Pv39qL4LBSWLsOxuq0VVVyJAAA6H+z/8A2aZvilYDzeGAevryxmdBnjn7a2tEKWbVt0Di4bxrg7c
SxXoy8wEGJoFyW/wXY9VyQYyXRZe96p+mmugbj5V4fe9aoNrEaELPIc+hvbVlJ9bcV99TroawtaM
Ojvg1plcy+/jH5P/XAFBfaSe/bvR19eTW636hwsEa8UJcCUnusI/olVLhBp8r67DwnqvdZheBXlf
3/Qa0NrcFgBJlX1f1t5n4zgTkkVsuTGvKLGFnkMUR78cxYH2neHnnqWj9xmrZJqMepQX3qSCT8Ac
aCy4HRKqEz1ZFBCp3+ibJUfVH5wk+dwyvfMtCDt55er1a74fS9nf2lZY77TEfkqP0Og94byjyMt7
arnP4Dr4bkO2Mc63MYlelgvIMubB9SkkRqRWO9HAp6axeFVBJe4S+7vrwqLsuT8ADvBCrXZ2I7zz
vKZRU9L9yCVHVsT9SCEfdZEe0T8P8xRkBtJyvikMMp2z+mkscOqIZXLNdnDF29q9nIRyr5qwuZri
1ZoouVFKI0TkT1ArJPOp8+Hd5KafY4oncH3N9cJjZwagPzs1PTyYYfOqeshV29IhLw3Ck02/ehmk
NKkqVBptz8PHAl8CCFIG0sqMaHwQJX9A4+IKjItrrx4FTpxWghJz3CFhVuCyNgMoVz3Fk/JrLM3j
APYvgoJw3g7DZVfp38WS/gxr+iP8Njo6E+onrfV9iqD3SZoERWd/77qVHm79Ekn4O3Ktj6VCDsUn
tXet+wzfrx6sQCsaBO/K+0TG113Eilv5u9xESGtEuFES4xb3uiOxz6T5BHgH6KNf3NPfEnTYYfR0
+TWMw4tB8yw34VWCPHCcwKfGmU16LaTO9sbV7aVr25/yEawk8B/AZ/F50iDs2EGgWDy4JV7xjscx
inBe8iFvcDBPu6e45b3U+misoDhotTxgxLcssDqkURzY6F2gXRyDHY1agbgczDzav9GkmSBoqLZQ
4w/bjaX3PUyBpf5yhr7u6a0h/e/aOGNlNsaPI4QGlDxdK0tpRRTlUJB0lV5ZpOIibGTJTdJZ9YLM
EtczrdnIrTIaXK2PlBLFDIxW8EvUpI9w/cKossRDVBqFKHCXB0gX7tyi8CX+ki3KGtynuqnAwuI3
31DO4korM4pfS76CsBvBsp0heNdgeQxdtpG0NBd60z/mmIfOHxvkJSYOemkFBlLSGoLhS8C/u5YG
fCfs9WM96BytrjzJ6FmB/Q16kgYrnyvzNQo8gAwUwXRUP/DWHdARLU2bEhs0IlRrk6dnqeR5Kq2O
Bz/iojwaOnoS1ESWxaEcRFVJcK+UAw3K2zHNhyI7r3WuRlKPkET/vnWx/kaqTQ9utWu9EJeKMfLl
jUrHJOcWGulRnLfGzdGig0EX4VkMuLbgSZoCZ8y+tT4l5nlX2FFJeSwFvhT8CBT9iHwPmU5Sy4/x
GuZmyvs46/V5mE1BixmRCoDnIvYRYhZQRsGiaoCCw+heITtZ8h7QQYW/xk4buoI5Gw94J5oKnY8Q
bDVP5Z+lFo74VrqofICXs5MonUFTNgMq3TJbfO3cATCb4q8G+TCsE62pjCACFn4UhhYCxqGkJWgH
0ZT9bvraQ7O/tZNwurfTIRUPcu6D9dGd1IbEM+NPArycLmo1KQknr6m+pQlAPtApXgi0upg1kP5y
sUba3ng8UDE9k8Ixip7bmCcrpD3WyT+pC5MO7oRBJqLfw2/zZ17x8ZzP6Kk4RiIiGIo6QSyXJCd6
p/0qQDJ68O2UFuhE8KD6Z+Lmz+QlGT6oVlPOiMtFoTMDUlXd7GKXYVKi37hHcd54T9oVsJDoDZhY
YgzrzsZ3d93Q5SQLhZ9JawFpkFfTg9bkl8AOHEdBrgf/mmUXWTQvrB48eB1MT7KosrXuqyYTfOmG
JIZwh4LbHP+KtUmgorbcrP1PD0QlRDNiR3c9D9a8cllbv3FoqLUhueFeR9A5ohGze5qTGr4kNUIx
DGkLXINuaSyuugI6+XijhVXiojVHiaab3FtejABjjhpLKlCPd30XXxi7FY510ftVOX1S0Dmg0iYy
ST1wSG6lNanNBPLUAgHuY8MGFigmyoulCaYovKqLLBiQHwq7AfR0S5MGfKJXOdGen9iYK1EvNe2W
zrNWLE8OCTUckDRZ5fhDAFYI8/RFw6MU4k9J2th1zYCyXgMWn76QFv78KTdt2Fq3RdsnxbRvrTE0
7b3tqiz3zvsobFroOpm7yoIGcyar74PpwyVG8Kmt5VeRDi1QV8e2c5sKMRKDqTznxIUUQgAXdIPZ
i7iJxT+tCIKs39dBW9ruhwxlcTCcFvSA/o9Ddb/P/yk8Oo7Fb9laIXjbhB2yIKpvxwU1hS6KTfZd
BjJ17sM0kjV13lIV4MPGGhY0GjhOKaH6z5bO/dXRt/X6T0E6pmK+TJtR+BNwkToCfUzaMFAzqyD9
SSKzVXkPgd9IcWPndYGTomApnyZ3KHnSwj1j0hroLb3EsA3ZDHmchPUXUELstF0NQHC4D0C/gD/r
0gukXvRTaCsskiZJH/RDZEcYWcyLLujIDQKVZGIoyCV/9tcUM+qp/4Eey2+L3oB6B2Znht9CZgqv
T43b7PR5bqcKp16/mwWPpH6pG+cP7fRwuWdubIVkCdP4AyqPpbxzlbNWDVAf4QJP7GRJL6Msdtw7
NTVc6zVhHJ5h4vEeqjveWHvqiya5t6RZK4FN41t3A13Z5RqJ4w41Q/7l+Z+li7NHljhObmO/UcMP
7YhpubbLOEOhK3IgLKF07gUfZgoLGjxE5xRX7tLnPsIiXeH3lzLMbFTTMosHrl7yGMXFqos86q1T
YupHyGQWKoemLOyYYtjS1MMVwEi/Q5s2gTgEVZ5Gx6e2K1p4pRa4R39PwVRG57JrFmNzkUCP++Yv
FdVTtrBLjUG4oL2pSMxL8kerPB9hQMVh3PwDLjinkjgHFu5RoUhN/WVsZUw2zRpZ1EKacBnhS2ZB
AIolLMIxpm8ETuEqn/A3h0JeLuwd6pgrvk53JQkNdm4qSxghWMpsuElRpwkcPF0HKmSIO4dtQI8+
s73pXvvUsm84FJVH72JoYPGSYoPrI7ua1fzTqgdc4EPf+tSA3AOklyT9om8tWaSS7kNaZAnSSf4U
gmmephmhezQZ0G/bh3FQ0yGt0ABiS897SQcPNcsQiT+TLbwaS3+u4gjUiAl9xEZqbCnKScugxVld
Woi25k3cx4BEyiFDjijzovRycgz971wRzC5cnLj0pYHOYf2Y+jSkCjfSOr/sClwC76yohIrv5jPW
I9xEIDhNUSFkqRGxCO4sX9I3t23TRz99WOI97ZdoCC5rKxTzLaCsof2IlUgKuatJC5T1oDJO4KRc
ERA8LK7n93OaS6SXHIxAKV6VaUGUq0SK2XXU/XLZ0PeirUvnV1S0DZlWo0RO8cZVvd0j2mTK/KKW
NmQwKwFlQluOZ9j94iM78L4dWuPcVqM1Ei/Ys/V14da1vK3DJaiocoRON/8OgoYmZewuMyWZgsvx
XBiLE9UEXQvKMO1kg01IRy5ryaVIPkZNXnQfOaplshtbC8c2Ezv9+I6IPSc3ACkCYvWkpuWu6zjj
zqSr8LztNLRXaCr9U9FIlH1Sk04CQx6DINlkvBgDQjpA+OL2UcnesxB3VdXNOI2Yv+b0o6I7mqN9
B2GwRL0c1CLgHC9V8XjjKjLFs0lJHd3bRU2bZqRkOeybga7+hQxs+5cjvWW92wYj3ztBkIKtrwaw
POipeSGPvcrBoGgsqGh2dt7o70ssUlgfhR6HDxRhM/8yl1qDZNW6IzY1qQHVVlr+mF2j4NbLveKw
yF2qKsLiOLmlYhuWCCfWohHo3s9pSuLmd+Jn5DXDr8EvO35O5OIJ4MyDj6ZLMTrvmEzyIIWMauyg
CPLnVjfSN5k1WDss2BorAZ8xphTTU7SHqBcuFuU52aFBPAPcxy4o8nHvFaC2zvS4QJHNbA0YcKZE
Op/5XqmAb3RuDcWsrEazFki95J3U+aR2FaLQWHl2XvcjbaWk1YdA1OrNYfKMYpCT+Jem7sGkWfTG
nUcRiwmcgpf68nGJF7qsjgN06iFFhOVBVEHyFb4I4ipul4Qo09f5DKJDYCOjwI5/q71m/qADA+nK
adPwRgeaandIQAGyBjafOq9bl7gqhRrX9bpEjjuAW/ujbEWa7SZRFvx1HuZfQONJMFqg9+lFAjHv
qy0C9d13Joj7NJbx203rMYZaEhKokCUQ/Q9EyQxCGnkEoHSmkPRlpq36iDpi/TPOKkx2VFVEcOqa
uARmRmqJwL5MenR1QHxi2Cu9CKdNwLLxletIdDktXwu0JlFS+KdBlxPrug5WHapIKM6tOTu7wFKu
zKhOGgQZrWa05vOZKMMf3I45Ujlu2uVXReuXFBqJ4/N+6h3sSTrI7AVEH42fcNjYggvJMjAYGbwI
94XjoGMQC18hNA+Zwt7D70RjdY5i+jLtmGBI76EIAdNR28VAHa/pniYLyNQ+zzW61LB8lHVBNPfM
XUJ+O+4SFRb+dRSq7heC/UOB7TdcM2iHs+JpxL6yuKkleFQrArWAUFVxU+VGIxKNuC66cWPqRY8k
LxItm2xw0QcuBZbLoVQItYB40lhVphE6hDATyW2UTY30Yh4yu/6IvlLRXXQ8w9IvbMiifYBjVMTn
vrRs0L/RlDdXxhqt5rtXjniomrkdo29N30OcdRASj39lIYJ/F2XvgNtB72wWBX4ZyHWl732E09jz
C7hdaUhXBpgsTurV5grN1Tn75APCSrm3Km+462hdjddTYJfJT67PjE2yzMjUAH0bIhqmZARWcDfE
HkgCHjy6HEgLG6TTqOqA+xuokq3S3M68vJ8kBrz4FC7zhBRum5QXg6dE9cE0WrvYDPgT+Ha/7gGn
p6Dnpl2J+BG9mSaPbHJsjaQ0Gz1qrwIEe+JfldMWJAh1bGEeEFW4ffkyBj+f5gbof1csPEuTwcoe
x6GyAJbNpQNwTZhJPeAwoadL5M/yx3TwhH6UbgdCFs3r8DsJ4dLsB1ob8iobpBd+DJELxdims+2K
5k5UF8SFaQqSAGUxWY7x5QC6DmnIvvGQbPCz8V6VQx/vZRWV+TugrVRGY1iS1002ORXHXFM1V71C
VHeo8zS9rcdGd5cxqJTxyp6KNAL1G+bw0sI1cC19WaBptujVLSGb0tLfZY07BvuKSy76rAEG+vD4
ZE6DNrX8qv8IGKUlbw8heNCHmZq5A1IqNcrHCMqglytdOpz/FcQxjMuKoA9965wISnv3Z63/ke0q
IdnvBgguITKMsoKQlcKvatYcX4HOiDLACl1HOb+p9RnLA8dqQhKays2Sfqo5xz0griwCNAfkwZfT
7t//+u///b8/p/8T/i7fl9kclsW/ij5/D1ena//n3/rf/6r+83evf/3Pvz1tlDBGaNcT0rUdsCj8
85/fH+Mi5P/s/FeOqktpaYoeE54vyW1jZ0GOhxQyQzu02wr09PBDGZcC/fO/Hdg1AvlAV1HV4XyK
w4GlmyntDdS4gl5ZkuZ7339H72NRMNAqH+KM761MT1sH3omRvbemLLWv13k7/PVwZCUnkMMqwobD
AYqM+ZuXtrvMUU7HfSmd30XewOA8Plv1akzmySQ1U/V8z1+X4cVnLoJpyiAKQZazR/ehW3Lnc897
8izS3vR0fKjX03s5lLbtw6GGKdS2RZpHZ31oflNCQJ6hJYEthsCmMlqHJ8Z7e2pa2x4MF2N76z9/
MTWf4jrvXLoMTo0sGaYAT9aEm8KYaHVxfGZvjMQQxBCljAsvyz8cqZKAD6MKgFWvPdxrxzqCsudA
Uk3o5Hveu+OjvfEdybpc22fBXM8Vm5OxCHoYBT02ZD+b+dKVk8ATGGlMK+j7B9RF/P3x8d6a3cvx
Ntsy5ub20WDFXjHN09sihJ8+66G6Dik9nR8fyll/++Gpd7kHXElxm30txWbNTNnKIXWxPhN9CrI1
6P6UbgbqvoK2zI3ws4GW8Cew0TctQse+SloEkzIj+xMn8XXwOfwZ6xK82DqeRFe5yGd+hhPIb3Ya
BlfN0NPWF2b+KpJJfEh9INonzuIbC2ts4xqtaOxIxBIPRx3mWvGK4ORLqzVfs3aCcdtJ7fIMRd0P
uwrL9YMTW9dZT93mixtHUGF22cGulpuppoglxWG7ClAgtnKZUWj+IEyNiloCG2LI2upSx4N1VXWt
wvlVFIg0J8vff24jhNREIlROaCsdTjxxojkE7luCTE+pF3ROhv1aa0+0Q8q0bHDQpjpERp+3ZXJ3
fMfJN6aPtL8rbKN84ZrNhkNxqc+qiOlnyC+jBqacKD7P06BzTyzuG1uKK80WUnqCzbWNfrLm6peC
+6x0C3GzuNMX0ZSPOEVDb6Qkq9lpl8en9tZ2UghbejZtQu3bm5XFL1Y4ZJ/ATgG90qX0KGY75bQM
iPyW1Mli6FTHR1zj3HYvKe4R5XF7kUBuNrDftAkkYOAPcR+1t24egRONwgr4aAnxqsd2wY8gdgyo
UnxAxUC8Pz78m3vZs0lcfV+6Cvj04T6yemHyriNSQQd0fhttSiB45DLVoOy9gipx2YZTej6B319r
caK4TsF7/n24NJ6WuAex1ESwzY9owqlKKNa7u8CeY+spnjRiEA2FkurHiLfP/Pv4pN/aVyAlPE85
DovsbKJzlBZelbiclLZx+p/J2DhPPGfdS1SRweTJ8pdPn+bz8THNq3VWnkRGSHFm7bUEcPidG59Y
2AMSo23Z0l6hthKczzmVtCTSOcorc3+Rc/M+ND243uNDr+fxcIsdDr3ZYrEVN5GpLV58tYgvMoIk
jBBKVIm2qqvjQzmvP616zh6EIBeV3vNl9eIWWFSTj0W4VIijzeFN3NfL9aQLRHOmBmlSpfy9ytr2
EhO8Bu0biUSTHaSPjrJxQVn8EOMOD3pRoOiZLUNF5jhDg/QQWzkVw9fvvfkoBz90sx5u6Qka8zb6
Ckjc+kZ8iEZeaE7r3epViHHCCzJdfix1HexVCYCZ0mwNDOD453rzaylphOfQk9fe5kcgGuRxY4Hh
LdxSQ7aZJvvrSGvpo20m2BYUOBEpypsoss+OD/zGllijm00nxbGJOmuIf7FMwh37hnf3WsfNwD9P
XfLBCUwCyCRITnzp13MksnFLcVG6NPHVZo5krz4cn/VN1zp4MlSLfJ9PiJ9juzDd1rp16HhHYEqO
T/CNrGgdVgofXwgjHGczQ2+0SjvqgVhWXqWhUAEVc8+sPLDfS2wFHlXjdD/KykkShBRgGgNkLlL0
AOAuIrLpJ/7ffnAyBQ6/kb5PAsp6H37wAEohTOkeAdk4xwbLaQJQGZGAIhIsv45P/a0Pjk0AWArD
sRHbx1gDaruJaxv+k5+O53ZQZ/uutqdzixctadhT2Hv1iX38+hLznJdDbiIMdfki6RSUq9Z5gklR
3/IDoF/yH/gbBeB7A6hTROBRfSmqU0u9/umHR/lw9M1S11XfL8HKv8Jk/JOqp+SurUT72Nz21Tzi
6XLucmXtdCqaPdgBB8STjf52NOcoUpx8Qb3x9QVvb25L7XDHmM2n6IEixzzS+RRxBwq0nmyCHdyA
OewubZgg7XkydbSnj6/569vFQ/qAgOkr8mnhb7aX6f3IildNz24J7FuzwsmC5p2xQHeyLfuHqcV2
Jnd1duLbv44jxrWVSxSB4EZtcv1dL+OInmlbFQPVq2ZAWq1Poc0lfaEAQ3GoT+wy563R2M/G0CRx
eTduRqN1UY3c2/R0SQddJBHOlwlQSwW/d4eODAg8Wqa3nbD0e9/S452k40mPTQFOsgxyLdTNPvQr
WaczOLIfX4HNuiufR6x0SF9c3+c5azaZY13OuVN6lHQaMHB4x1j35fIOxjzWM80oL7sEP4TjI27W
/HlEpZQLAMHxSWQ2a84/L/tcU4bovEZjIgPpEIUIa++a7DeUwOAxLGuL1uTSnNhsb01Vr7eG1tLh
6bmJ6FBGfUvCN4LlOQLrzrt++oFmtwNxo7SqH3lQRf90Ywr94fiEt+vPjITjGeOTQSnqPdtv7FFp
T2mDEcb6RdTnfbjSg6Ohn8fzBOLdNfG+velCG7rSWIX4W1XZck8RF8HN9RYCui0g89TodN0QivMP
QVBR+D/+I19/HEHiw02HyLGWhIHDE4HNReYgGIciRQXkWnQlRfrRSeBUlPMO5S6bzUdD5Piga4R7
EQHXD8OpMI7NNcZ6PGdlL45h6qoIYP1KF0D8S13MaYzLnOO2qOkcH2gT6F8NtDmB3TDohtcvWijc
9vs8wdM2HWhUp3OKdHON2YJlgd0fXBRr7bxfTpRxXm95IcB+aHadtvnC68d/Mc/cc1NSJj6uWyvv
YimTvCOfRtQx97sKsJWNQGDYg1Zu7frp+MzfWFcXzS30L9fMluEPhwbJq8pqVfoROtc7E03yIkGg
HnNVty9M+bHrecRgK2mX+v74yNtUZv3orsOiSuOQKr660KOMVlz6zIVEb3OXll3wjR5D9EhrP/HS
YUXDBp/bBNulJvcBx5DVruq84Ymd/fws2uwyfofhpuG9aHy9KdklU961PGKAklm4XQEuaO6VjPr3
2GHCHMqtLzxDwr3fwo8pFqR9erLp89kk4qKozfj1+Fd5Yyu8/DFmsx4jvg2xV1XEggAX4qHBqGMc
gKuC9qbgRq39orZj9Tipofr41yMr9oCt1sNmw1c/3AmAFtogBpIIvC2YPUi4mX21zGMGM1Y43PEr
M6WjaGpplTwcH3q9RLYrwAKsT2UKL7692f8t0sLOWEWrqWMyXVQzKmOt6mirTyn6tpRlTlR6ng/U
sQE3570AqxUnBY0kMWB349Vy5w3JHQ6AYDQjtB+zAekxP4GUYEdX7VD+Ckz/hYcVRsoeup3G+VG1
zc8yF59AMYF4HOAmx/Hcgbu2EaQpaRWhlI1KvzTUOBYH5LDlIWk2D4gNWydms0kfns8RxR3yb7Ik
lwh1uHC+zmpRUkHCqrZaEFofXeikX4qIpAomlbGb/MQeffPEkAZ6NuXJ5xvrcEQnQtNiAUq1mxak
9FSEpccYTfF1UecIhjS9c+mDAL8NOxwqbbSmHhLXqZ+GwZP3Q6K8v78lqBRyfZIfkj3Jzfwz1EXt
oqW4D8bF7t6j/w/kfXBm2748vk23VYD//6V57QlkwXm8byKFlnasOSLLLtIa2JyeQW1QereQh3Nl
mE47J6fPsLOA2sTYvjdehntoOqP1B5oCclkgZtgGEs3126wUuABHVp9+4T1XzXeWri0E9movfDz+
q9+4RF3KumhDrymGeK6Uvbhc6oilAm9EWuNnCghnZPcYZcp29E5sizf2oaS+aAvKTzaxfRNA8MGZ
psGuobgtKK6Jti8+t35q7iIfKP/xOb01lOM4LvmoQ44gNlnpQGkc3BoIKr+pzE8HABcKGV35serm
5MTueiMgK8ELAAwD9UzKmYd7PV3GrhkrcKYaVP0fUMzVrvDTCKISCjd05GAROXZzpYCFnXgXvDFJ
RuYhggSIQ39n8z0BEXtO0oLsAS7cXwNz7PeBPwYf8j4PT9zF6xHZxENuf5+zQ54v5LaYQYlknjrs
oM+kXTtfuqjSn5C9RXuXF5dGBzczFmYOeYBp2PGFXE/MwcDGdmg3aF/aawV6W3MvUROmlQksJkhg
0s9F3sOGXoB4qtF4eBoISKb23D4E7hLcV6vy1/HxN9/4P7ULj7WljOOsDYfD1c2dAmtHO/xKlx/X
ZS468+gQN/Mb5CqHE3F6GzZpY9FXsAE/UDdyfelvBlOAGn0/Rb5Aw84u0EtUkFmCtvlYxw7Svv19
XCefh6pGNVUPe8xdix0YyPpEFHs1ZX4FiDAKjoQEnnebbRVgAS7KoOZX9LPZWaJWezlXqE/5Yjnx
dTehhwmD9mBLacfmpnvVnqxiO/Wo+6IqvQzdg191OY4K/XhiQpvs4fmzMhuA7GYte+vNhJbcyydN
gEVpz8vr97WvZudyXNxO3s8WNgE/HYDvpxr0mxPzn0GNgyiMZ3g0butw1DyVDgNoHCaOsj05jY2s
cdRfGhWhjKFQaZwEGnJ/uVupgoCBX4uOvqE/tv6oF6GcemeXNBI5Si5aQGVQHZ4qgO9nhXGnE8H8
jaVjKNpUXBxC06A+HCoB0zbFBh2WQkPI3ku/WipMDsLZPxF6Xm1Hj5uU86Co29Is2bawpa9x01VB
vBMVbIg93ocFhPakhgIcFIiWXB//hNvNwnvS5eKgfsjN4ZltUEU/KYljxBrOujKE1Ok2PG140wro
JQkb6THn2ES742O+Ovg87qgjUlLwgJPw1/Vjv1g36A8T+u7I5qJLhTKcbNFvtpB4gY7bIhVR41jR
6sY6y3OrLa5ma7GLL1OCSoWSZXcxDC2qKn/5k7BIIcUHcmAocQGx2azvkhVZVfYq3iVkjAJ31oCW
AJyvEXVmFOWK5XGZ4S/pZP4QeViMRBRePW/6c+JnrCHvRfynqOetJ1cIai6AM7YXOdUdv3fwOYHX
PmTwMsDCxWdVrpLvVaQjmC15gpMnJBeRnnF7Zd8RfI6e2qxFS+D4T9keaNaIi493oOI6criPDteo
qFYYjoVWmqAY8ynWgNO6ggK6k/fJkxt7fY7wXW0+/v2ozvPbm8cn4JT1fnyxM6juWWnT44w5ysWJ
d9IK4q9RPuM5kIcDqj1+W0J4XQgv7Ymb961NSTLIGdc+VUdnO+FuccFVzvQFBPJLD30j609zVmhk
FAoX0P1g38Yymi/sRiWfF41l8mLfr9a1boAd0/Gv8OpQ8u3ZhtQ+OV1rAnL4FbrYjuFrJMBYHN/6
nFMMe4p5eIA/T5rumxxQJ7o4PuI26jyvtgDKwpi2626zujoHRkCDqkAAXYQXbjxW+xpH53Mvy041
it4ciqtJAeSiFaw3J42OQe05AyqCrj+4uzF33OuRF9u+6YZTCI5t0H6eFVcTlRWuB4Brh9+xhxfR
UCsFwQBx4YErBDmQpBEn9uwmI/bWUZRNOZ7YLLXcdrUryfEsUsQDEBfyfkOKgOe9aPcO1GqKalLp
9tfWZCNPSYvmxCF961t6gJ3ogBl66u7muATuOEI9lflZhqYEmgNe/hsraP8qqvCNOb5D3vqWa6jm
7uNZDUfm8FtWhM6hz1dDNx82bT8k3rvKh8x7fJRt7ff5Y2pq6zZ72Jfct4fDCNBFrRMGBAAuhI+2
nVVX8KTSS+3k5jKt6ABAviFCN1N3DSkVXPrkoYFW1Jm3C8BiI2KIrKVGKu/CHbu/xHv959cZlpgC
3Qowcw9/nW4YFyM71NNsOwWOC6lqgSaGOPQ5AOTyFPjnreXlmUrvlicP5bjN/s1syLNYxyHdCqXQ
PotRZcczY4KlVcxYIRz/9K8H4/3Ik4MriAho1GawLiwKT1WSc5lgdFYVUO5UGaEhNgIG+fuh6Edz
9sEWUebffEavChbqS+6yG6XyL60oz7/GhTUCXCsRQz0+1noEDm5UHy+k9X+8VeglbGNAWll+n7fc
YxW8fOTvLfy+SMORfo+X5h3Ye/+GTAw++SLdS5q284nxX0cHCiM8ykn8HUnrbP3sL260vom7cbJZ
QwvgMxcYrVlcfRYhvjkBeoACHb0/sXHqD7VQXPDHJ39q8E2sHXCjgGfLRQLAKvqUVeF0tSRwewYL
yS2oj8lT5U344+Bx+Hh85NfhggtsjYq8QNZmxfrLXkzbg7PjxIqK4qh775Z6XPhYdYDljo/y/KzY
rK4iV9JaeXTcSScPhxnLJMG32KCzFI3d2YKX9JUIuh9GxRHsZMegXj99g4+Jt+F4WbVIMCVp0lxl
7hTvkA4mt8LT6/hvenPmVN4Ik8C8nC3SCzL66CUKpRpixBDtSKg93IoSP4tOnKLXGRrvSaQTuNyQ
ynS2d7axk8IMFV2SycVlfp8hvYtMSVjRn4dvi0a+g4CWDx5jrk4lKG/NkWcQFTRyBhq0m3tHoPZO
9436SNbbyT8Rwgx7C7udH3/7JdlBeq1DAO1QnN/DxS3cBX6Ly+51kXf9DpXJwxI2S1GhPz7O61PC
OODEQMlQMFZm84wsBOzW3mWvphm00zOWNHwX1FH8j2vQ4TSdxwPAQXgonE/keW8NzBoS2aVZM89N
yG3iwfHt5+O5lOIOydT3YQA7TAoBm7NKgm9+Vinc4XDjPj7j17GeoiRgYq4VkCpkmodfNqP4ZdUr
GjBoVHMdpqq7I7dBaaL15g/Hh3qdy7J0Yu3jr7UVuS23JqrOirESDs6eEb67kTXGDwMM2Dv0VbI7
FF/nn8cH3OxNTW3XV4AVSGRBCoNEOpwbgt6tZXuodPd22qh9PVfVzxauy3Qitm4mRm1u/S9rsb5l
CUKb0BO0kZ6qJk7O8eXGg9F1s/l+Rtv6TvQdtr/xgJPfX86MrUkeQJMBEAYZ3+bUVSJqcBGG9Bcm
nX0HxU9fDb5x/u40rPMi41BI52owGK8iN4YSqlJ9VuPxyZMcvpyv8TuJ0GPpf3a1xjRyKIIo3CWh
ktU3hDVPXtmb3cnjmwPhrNuFJEtTzj5cwX4IZpgkIe71lAe8W39OMc5OQoMNMVrVoXeieL45hc/D
8dCF6sH3JWBvPqvVjzoIQxmfp+i9PAi0FJgtIi5jPdu3+SD8PzhyhTQk+uTH8QV9tYWY6IuRvc0b
25MlmhrYKZxHU0dXOXFo9553MPdrDLmzOb7KO0L4iV20uTaep0tTdwVa0yCCznP4dSNvXKx6lMm5
TEdxCYO3/ac3eMzooCsQ56+g+6pBjyd21RtriloUTXWOJBi5bRrWy4oWxcDebVoV4y8+j/0N2rfV
5bNMxvHP+sZYpFvr1URBEsrAZoZ+1LKncKc4p/KcYze6SpyqrLvRdTGf2DvrH/Ui/1g/JrVyjgxl
rBWIt+6tF2lOEU44wHVdjtNri+9qLfN3aM4iufLXM+KjAf/nREL92Nao4fUjbO7OmPrG2n3XW5Cv
4GHIPdoo3cXxoV4jxT2KuIBUiQDgEVixwykBPhGtoQlxhsiGiwfkYmFGDAEWpXl3Xw7o8CC9jMkL
jtlXJCfyUz7Z6YmL8fVnXQvJ4J2oydm8Aze/QfchhP8G6fgG0l+47zMveeyzYshOjPP6AFLcUrx7
2JH06rbsiqrzBqzCOPoZAon1vrYTg59OmXP59rzcM4gd1lAi6Hn8G781rKG+R5HX4w7e1nhHJwxT
uLkRFq6uqO+lnZTR11KZJXyXAWtJLpuh1OIEqOatb8p519TmaTFhLHC4rkuoUEPCs+E8HxRyqBCK
x2sHnd30xF7dPuE5Ey7ALXocbB+18joOBwpys8xxifLZmDcJ+me8Ku/xEEKUUabl3ahcC9IgLl3I
KEz3yFDbj3Juq4feQ4w0TVBRQ9lGoomR+/cINxSPx7/9W/t75b2RiVDKZ3tt9lby/5g7j+W4sTZN
30rFv0cNgAMbMd0LID2Z9E7cIChKgvc4cNc1dzA3Ng9U1d3FpJoczWo2ilKRKSTcOZ95v/dhZKe1
K2spJs9wUh0x3KRFf28kc8SorOVcEUGHdIPwWbl2LPwkmAnBwuKTCOwXd4M2CfV2g7R+GQp5e5Ea
fOAhGUPjG5sm0K4xR1GgQCeVrD/pJ5ymSIiiEdAYJKB/RywnRxpw0Na1aMTbQOZA+wLG/SxCas0c
16rdntkjxtIIMkBs6Zi8uSu4djSonFHZK1F/pjntJzfgZHX+6/vwcrPGmBgCncoKw1INipCdyZe0
9jYl89UHkbrxWnd+f3hqebuYZXHRay6TN8t7+I/VuZyiocT0h6mloZfgTYAORHmCN04/WccxMl/1
WfusP35yesvT/+aYJ6+ZXcWZLY2kZNC7ja7zcki4zJ21ayJDefz4Uf7FM/TPQ52u1EpOqU60fbyq
GU59wPdQbhjsLj8p/P3yhCiiUBxiNXZP4+msqpQazgAXERKq5wZKwHMagMjEysX/+ITeR2JM3CP6
Y9B3CW/FST6kmGY4kfsQD2EY4TmlC2ht6qg5zsGQXufgxPayThFdD11kflp6POm9/HwwyaeXyR3S
LvX0lcReS7Em7hyMg9JVgKGHwwRRHF97JmoKiOB4/v+IMErRPGtIE8Nn95T5Fi9BCoIfX4iTO7t8
lSX0ZfdFVEQP5vRCoLKL0CnhKJBLXM7T1JXlNrIFKMuPD3Ryc5cDcV/ZbAkrlobjydM60WUx0x4w
hKpNxdquVBMJe4nVC85Cn+y17w+1dLSoCrHZUvk73X96IAFAIJAT6znuh2WfVGcufKFHlf/9/PFZ
/Zxf/kdYxmkZyGFQbxA8oJg+3WAd7HXChjo1JZCh5WQUZVMpAZW/gjSwjwZsFJExF0adruoKw0js
XpkcGF2xzxiy3UR2lWwCfAVw4zMeHHwWrrAfwMdpgFRN6Sc5SFAsYVHa6wkTMlhRY7aypDVQ5LMv
nTanVSTvaaDcKhWeZBZhIm4hwUaxwx9TUeNTZdPBLFIFhyiEnXPpPNCR/4KYEpOytNBwW4OMOsdh
f6iWBxJDVpwyxvRrIqvbpBy+0veXq6E19joPCT6++TEbxX0/Rv5gWwCNu6tY5N/bzN2kRQpEoNZ9
3QTEHSfqtYyaq7Q1H3G2IBoXv7+8EzaqNFtoIlG3OX2LJtLlADs/RsuDAmp6Pcb1us2cMcNSP4xu
P7nRLOAn91nnqaJRvkzpvsuIc7ImbC4wJKjUONjKLtKONHySbZ3ZxdlsZp91y3/xDDOlCj9Ep9aE
Jv/kdamEgzOV49IU7btxO0xVt4I7PF5HEvPij0/t/RKAsQ+hqckfFBlOa+TzoGKkZSL7V5u23xtl
LrdzayWfXMCfNbR3V5BFRl+Ex8vk0tstEmtOPDYEbwq2s91ZlKjiQmRGs8nSacSXOB23AFbAuc3T
kx1h7+s2brdlcGryVBNT4xlrzdUoZuFPdGAOgzH9iKPQwTutsn5vH1re6aXQSZOL2QBWxZM4Bpkt
UlmeOx+TJfMprCltKmoj/bgYok9ClF9d+6XBg8wDZcS7BFK6QZxYGLRg/8z8g98XeZz7Bq5f8pPl
9yQR+OucqOiwUpFXvVunXISBJWp6HIssh5ESlMZrd5bRWWuQHPTSiD4LBvVfvDCI9pYpYH3xtDi5
3V1otRrqJsZT7WZSgMtTGD1Soqg0eFIY9XiNUlf9qrDstqHdNmOR3luYXEL5iGMJoY9q3tooLPXr
bz/tNAoowi7KEDrey/f+R6TG6CCeSh2bA99qaldRlkCv0KdOtvv/hwPR3qfNz1wLz/3bA6VhH5h5
iW2gXbgw3SfTLZSNMxss4B8faHkcT14sOsKLSYpAxkCb6+2B9Ay20lwPcC+Sot9Q8CpuE7wAV3Wu
u5c4SuOKqKj6J1Pm2vKvfnDUU0kdXYaaNVHl/vZznPr4gTEupQZjtzasliaX0POLcSjtlR0l0S6V
Y7WA1eu7uS+6bVWaClydGPE2DbrkOglFdpO6uQQUgMWEhz+DuMrKKv+sR/aLZZUVlbCLNIUi3Gkg
6+SjI+kIEnlFZrCPBkY9vcjBBbGOE7BaH9+Yn/34d9eIl2CJ0xmoOm1NEQhZYz/Bo4omnPcYn5ye
2s54WjRJXqUnrh9aA0CZnBhQqfKbZdsCyTcy0hxD9MIhDVwclkyrQDjjYanhb6R0+zWWOONaOqWz
KU0QfKGZUcWTQbepKTut7Np+xvsXS1McHeGGo7KSyfCk9TSqcjU8GKNmLr5GFjPCsLYztQp9M9P2
LASab6rRWarIXdiK75UbnMWhc5SN+6N2UnUlMUs6q/TcOcuC6omccuFj1H4UgTsK1cn0R1XPj0XX
AR4x0oM7wZTW1Sb01dnU/Lr9tON5OsjCqmYiptI1qoxLd+hUxBS2pgEhAxhFSxvQ73E2RFgGfmsn
yAb3gDXj3QALDNSc6LCrirgE9EOjyJdMEH/yGr5fYZfvQmjLRAwyjdPR67kbMmauXSLpdFbdlepK
Wjl23USAtbMYFzCnMmfnk4O+f545KE0Pnq1F8nkqExgnbUjLxemW5DQ5x38RFzuIBxszHcXm46f5
VLb082LjTbTEuXQF0J+8XWeWGeBWyTjBse6nyStb+RUiplixNcI9ppCByR9CIjwoPYuG8x1Ud/yp
ejPxQ23+zekpvgx5Pa8xAcXPtfykoG1YkzP3YYbbAZ5JyQqDLbkaoz7aB6hGxEWQNrP2UA+uef/x
VVhO8u0rzXEd5jHZOpZjn6zqYupzTY2ZSMv7AShKEQ8rze2dTypoJ+npz7OzqKAhBHUxwTqtwprV
nMSFhsFCziK4b9wx2SHWhPuYFc0LHuj4PTZJD9hxwHP+4xP8xW1mu6ZYSWaMcuJdx9XUs0ktgwAD
nDH4ViTja4Apw5r52RtXUW4Xb83JyY9ixIA5i7T7uQRlYX2mAULi94sLjb8FbzgKIBbqkyBsGBOM
/RouQWtCGQBdvp2UFpSxT32Fvzs2xdPHonrKRb0G7RdUsTf20UoJO6+2ASf50iVsmyfcuy9xsvGU
ZpEtrXoHgs+AbyNjdspdA1FonrsVQVcdPodkUE6i+jKswWLdyPnKKdVNM/bAhtI1nqlkYRmGctVe
wJMFveNnPdjYGqcVbQMTRI132LL6uXXRaSMUttinBXHutAsr6FxRN8J96eEpFREdH2vESDxfTSE8
jsgHs+osvsBgjZu8XlcWeNsxQpvvZOeDTOpDHo1fFGLnUHl23H0WN8vAFnvAc4gTLn7Wu3jGuVWa
j2Z5P3QbO9qRWpMpaBBItPo8xY1bu3Qk1KvAWM1YT1iJ7peAgig9GtNd4BxV3FVhb7AfTuaDBgoo
zO+NHvBBt2tzjEXvMnWT0Iyr9BspmUu0D0Pa07kSXj1fWuolrqierV2k5Q/s93HRvW8UKCwNxDQM
Iw2dMCBYRRAXnOB1bhNPWD8aZzuLi5RZt0bfMIkDvyL22Tvm6tWkVpx2L6nEm2fN5AV0SuweTEDP
au2XxWPn1gcGhqHfppd4+nga9ME5PfYVsoR8U+Bui6ueYa+xU8Kd9ZCK1eB+aU0H0UIN1AuKbMuW
K6E96TtdBAepbI1sk0rNd1hFbd+CCxRcREF7MWbbAW5K2hyHeqUmbC+YW5bhPdMnWXCpzZeDejvU
ZyBLVPdrCRMx3YJfheAkD1FaYrZ+plfXYbeTkOS18mY0ANX1V0G/Dd2OyVKacMqVIfVNGcHSxO19
3szug874tZrexsPLaK2V4AvMGg2y3PA9nO/L7lzHhRDHP9LC7mClN4yomtm1nm76woYuOWIUUG7a
+nlkS2ySrw1GXnVn+XMcr01sPnGwKOw9ppYzbii2iz35vIohqST9RWXs7SxFroLIjBipQOmWwFGr
umdTXqQoBQAhxcyDjtOX2f1e9sSZt6gkMIUt9lgTaMGlkz2bcNGrIj44YAxMU7kvihJoGe6FeOOz
LR0g1O4qyLudxehJ5vF4byrr0LvXEbAQA2WmgiiZ8hjmn7OnZHIHE3ndGea6keoqoy7VWVepCucu
d464/PAjQpCC4dmeu2St3eBSL1cl4SUsJV35qgfjFQCJtdbsKHek2F5bABE/XjN/tSkAehSocBgH
ZJD97c6oNIHOsCxWZKUeT+ehkoLMptn6SQfw56p/uvcg2kY0zgzcewX9aCZhSw2fgsdonhsR6mxD
+IbRHktDMCJtd+nawsj9mxOY4XnUtjbQzOhuRvjg9Wndf1I2eB96EAwsPUm+jFj0OW9PusVgu1dL
ylRxMPAGmQH+ZDm+qXnQfpbhvA+taJ/QRtYo8jBreao/UhnfsYOU62vI2GKpMIbbORHW1ThWQFUo
2/72/aR6uDQEyRG5r6fHc+KgHeeygzZHz2SJ3kf3HGSy+5ujLGzzzD8ZzEVQv6UHepqNLLMSZjPP
FYu+dj5HuNNDc6jm1RjDwCqh/56XGbvA7z6szBPRlsMBzaSadVrdMKnCDj120XReomKnBQ2W100Y
fpL9vk8Pl8Y/WRZNeKpYpzPNyVxZGKSG9N/N/B4IwVHJ2keJt96qAbttKvYXMlZ7VRnGJxPN70Mn
m2oDRUGH+NCwTjUWmL67su2qGvOnrLuPskg/9qbW0uqDJCdhzGxocEcbsyCG+/jC/vrIyAAQHlCQ
PL2bUOpFYoUcWZgYuDf5GF3UQaKdYXcudklkKRfYRNu7oHXlJ0f+xftBBkQgTCaEsEQ/WX8qfU4t
Ky5qj8Eb9bkTodwhF7KBa86I2oBQLQDdj0/2F2HiYh5AGY8GArMDp/OD4LuUpLQ7TIFSGsgiRhrt
anV0aJu2XY0Y8q4HM4ufRd7jUqFbDioeo/PFaLercuiK9cdf5/3j5jCItrTf6B0ZdHbeLkYThaN6
tFSS5sYKt7W2zZUHpvZp4DDjUV2EnTt5tWMon5T/3wWp5HlYoJN8MtGHbvDksD1OfmPoAPbp0Maj
VxpGqBOruZ3Fz7ir6ECqxu3QaJgl9Z0wPlmC3+e/y/FZENl06Gfxx9vTdpOlXWagXqi1doBrJBCt
NwWWFTN97Zw8DZxlb/gBQvdrc55hdFs9lZcB06JPvsrbR9DhuWINE1TU8HHQMB88KfdJNW7VznYb
HPDEDBaPTJkiy9Q40AvNgoBznKPokyzp7TGR4C5nv7jksMwwn3Kqf42FKqnThtHKoYnX7wWmjuOz
SvKK2rafFKFvFFfHserjR+20rf/XYS20lPQDmEU4zblDvKIdawCgnqhBu2mnstk3dp++lpZIzlIL
WCPTXSA9p0kSq8CuHQoAhR9/ibcP3s/LjRiZPUpbvgj9gbc3nuLRgLlBvgCoKZoBU7IAbIEBULjV
W4zRWy+Nf7PC8fOg1E0cNkUahjpVjrcHdcJhjFjGFv4HY2KhiAWBdKHOclVTUzkmQTaUn7zXbyOr
94c8ecFcK2pM4FfEtBqtprRTtTsXrsXu46v5NpR5f5STh7c0KrUuQwZz6woNyRaHkVo9WPoUpgcT
QUb31+H+xxtb7fanzfZrWU1NHEbdyV///bL6Xtx2zffv3fGl+p/LR//zV99+8N+P8WtTtuWP7vS3
3nyIf//v469eupc3f1kXFLqma/m9mW6+tzLr/sMAfPnN/9sf/vH9579yN1Xf/+1fL9/yuFjF1JXj
1+5ff/9ocQxfRBY/+/b/aTK+HOPvX7h4yfnsTVl8+9//q4hffvm57y9t92//Ukz3z2Vm02ZGBAkq
/8lzMXz/+SPL+nPZdfBuRWZBI8bgRwX2sxEfs/9k62eantqFRViKmey//mhLmnH8TBN/8jNBP4Iu
F4pEpk7+4zpc/RVk/3WLfm2MTo93eSj+EY2zsqBc4zVYxgeZ0z2d4nO6vilmCo4r2h+9b2RYTXYL
8daKK7kfYpGga8OZBNSZll2EqXtmZDoOR73meBZR3+PUi+GIx1J2Bheie9XSZroDejCuIYh0a1E0
GYWWWvMogkyA8fQu8CH0WF5kVWAJSORCxdlA5pjIWRNryxLU3mDf1Ri4zNMU9ivN6q5p2qp7zEDs
F3sIxbrVY7iZam5uNSvVgIQXEDZMaJd5loFW6sECdkBI/JgAC3UxBT2cM/XpaDhQwevZBPuQo2c4
OjlwZgyCzVuYUrRSXGlScs2crZLjhetbkLjuQqrrLwEwKwuq65A8Q9UER+Gm7WNYWsHgVRX6MS+d
HONrE7sUasZsJhWk/u8HUScVf4qW9hHSk2kX5aBEDTcMv866Wq3F2FmvuRgWzJ9JVcgtg+zCbp3+
IhHmdF8twBy/hng4eVkHrbBM2hyU9VDYT0mg2nyqaupbJgOBaUqge/YoZQesou4PelEI82tqOvG4
4vQdZGNgtUAMmlaLGVNHBUAOdYiJLxKJjR02Mzb8U31d0+/wQWHM2yGQud+4engx27Lcw+Vpjm0s
ij2gL6vyMsuo4RiCZLu042I6wlMwcZ8iQi1D+l7CwKgEJ0sXkjOGF25bkfijxVypIlU9N7K7YzxX
cAPG1t5qGcLstoYSSjRW+8XUdfsxNcpt0Nk9TVWdmrzFHbqxOPaTrDEnNUNp7PBZrQ9zolH+GdFU
pxYog66tTBhelrFttCzaTOCcfK41lT+raajepODGI6fzu6FR/FBtshgYWKRskS5GfJ0s1LZ2PtdQ
kEtGEW0YgZ6ld/WPYkoZKI/yKPdjMYizbJD5XtWy6bxQKnPXJHHyOOUi3qaTzh+6C87Y1JR9pI7p
OgO4hR3dMDqEOFTUj7GROEeh9yW0Cnc2HlsTICUTFK0fYNjkt1k4XhphEx7SyTTuwlzHWavosYch
ST3GQc+ODMcOMQOUMU8Cw9nY8YyrTNuFsRdqbr11MyfCEp9CjVfSg3xpssraqbVofsxDWz/Slw+O
sdKA1ZvNejwzFJ0SRNkPd9ja0+lxqqJdO7le3EGzc9c2GNKzlMIB/nCaCx3Mae9tMczX2tgjhEYS
c9ZoWF7VlBmTYjI2jlkUK+pl2VZ1qqWjho3oatAUNeK1tnHlC3gyvZZxzE051s5aNbth04ZRcmbo
XXEYhsZZoFXCTzp+oCSRCxVx+b2ScluL1T/wLWqG+BeyhasB8novlWZ9qzb9sIFtH123de+eO73b
PMGt49fTYfkejivd87QCvOSFSSW+pECzVm3WQRhmk35sF+LQ0DnZNmwE390Y+UW8//lMwi+WSQPr
DKO9VZjWcEIGVfz1YWtKgGOhugW4EKVNeQb34JWkW92UZTBsCyakufNNCDGgA/ywCYU5n8eu20oP
EBY+bVCdxl0bddUdjNJxhwrPeSzh8d114KlUL0GWc2ZKZQDHnrhnkc1IHMRpTPwc4lSfBgGq90g0
ypaeWn4bVnl0GVPVn/GfCsStOg0xWt3ArT3gE+r91JvmPq4t/TCyCDxqmQqtXIz1LlEU61mJOvM5
i43GXAWY5OAjAuI5N6CUrrjD9pViluYBqK98GtMsuwTh4l47jgKZMZqSq2E0uY6ohV7SnAlUJ8i6
/V9XtOxojuYmVzQJF0CJ2nDZeYzHx8ZJjGusfhbmdOmU9WXqtla1HpxM7ymcu85FqBuSPiPw7EsQ
JMO1VdQRhtuMs8Ee5H7gaBk9lkYE0MxwYziPAYRFn9sXPQ7wbC6HQehfwN80T8aszDvF4YFKpYjP
0mEy7hnZwNk7LYwYdadh3NuJXlFfjyfLF2ZeH7oSV7khm8TKmav6lgQOYnsamQsAeGLwwRj64NLo
5+jRaAcXXk9dR4+qOzdPA2Z/OU7hPNgomCnCGEyBHcJUcDYqwJEVrp3qTk2CipOTWDz9/HotoUO1
JiRonlKq2/vEbcJviyzYd6ZmZLMZY7FWQ8FFbHXRsmCUqnHvgHvcThUxBRRC6byUGI4e2kjDNTlu
8J4LUx3nqSHP2SPTBv74ULXj16G2hR/SiMrX9Nz5GtgP3yHCpE2QzvxPo6kc/ojGOyfr+Vf+eo9S
PVre6hpAlcq+ccvgXmBtQjOpK7+0e4Wz5TUOTf6toQ0cmrjB4p3O1DznrLV5Q9dBN/scA0r8Sp2V
W6RUrDFfArEt1LHdYb5eUJbPhe5TacE1AE0Jy1yDsBGoT26Vmw5X6NdcV5rZN6TQzzW3NLZ2gRLR
Q3Vmb0elF49OLaVvRcRFy9qtrMdmrCNfxE3gxT2FM19IZT7y5eZbkzYrYjVLyAvLxMID9f7Cn8dl
cJNjQfYMVEQeLHWudC8RNgYgVZDa1wo048yrI43To98F7VxTnBnwWW3fg2canix1UB7iEPoj3C7X
ZiZ5UOp9Ntv2vhFKfCkThpZB84juS4v9uuH1QWveclGD0qclSNrVswHfxBhKTOtCKeR1PsNRq9Wy
Xenj0N4UtZvfKKVwv9tiGr4WnMG3MWrmK0G0+aVrJvU27HkoM27GYzw23Q5YdrIbIl1NfISqcG55
u5Axxqo4m+3Mvme1DavVNDg5+25AB7o3w+SiSvWO9WTSzHuqJuEt6JnkPA8698JgaX0eal3Zh53D
HAANTLI3KbOH1oLU6wVpxrsbhQHlDDXZLMMCwEwqRqaAn+fDsYRyelkwmnGvJRXsI66u7ZUMOp7r
CuNSfpciF0CgUUf6Jg+09qBhHXs5jaa6zwN+NZB69dCrkt200JFh02fsqNOwyqwQxUd+6RbmnWyb
ErSbOhDQUEM4lLMxH6JetJu0xRYywSvmmAPN2Vh53vEIySDDx88x895PWrU8hHGsPsiyNskbJQQu
oo2ZdlBXx4CPmuDagMS4D/s+3GLslYfsbQL6RDbqP5g7q7/hgFsdSa+djS1FBUltjAHQWspoERnn
eDFLhQrLSg+XGVv+Hr66TiaeLPKydsVOa39zrNaIvLbTgfdWqVoe3SqxjlZeBZeZklVXRDH2dZ7S
ZRvQpjKi5E46I33AVcQQVY86uM9z086G2tMZ7XR4fC1H2UAUlV/GaMJBq0gavAkVragZliFeuMNk
3bmJUlWvN9QClSOosNzyYq1tvwZQp86nTLP9HgP9tSLb8quMZuVLNmK8tYGOWIuvuJ00B13E3PyK
Se4WQrYHiSndj7XCojir43nfpOlXRVXYDeq099zQKm9QcDrfMPbs/boPyqsAwd+O6Me9CIQy+v3U
pPu6ZqUqIc97nVPayDSa/EKv8mUGBy3MFR54C3+jZoy3l8RxxmARWNMv063cz8bZWOFMlNwmRdGc
VZNeAW3v3K0QSO2RrE7ZrtZTlcAI/l/SJ92uTtvWp6ofn5UKDu2MrytXrZlHayUyzYORZsKfK5BH
eca+zNIbbyZ1cPYLtXiXzoxUtU4Jb3rMtbM5r9QvvEj6lqZsdxhC8GRxR0vHKbOvPO7hdQU01Bu1
Pt8POdvfME7FDf1WpF6ZgBAAi7oDttcr11g+zw9sHfVanQgLS7vC2AZN4MoCJX/VmJFOc3eYb4IA
ALWOCafvlHO5nfBAX5X5FFwHndOf6zTK/aJBkW3joHYhqlLfMt8b3kVzpK5tMrMjz08I49eyh2/a
YBWzl8Wi24PrDS8TV1dWMLaVXTYDnOxTpdsB1+ouzCHOV7NdzN/qptE5O8XaNMP0aDKxtQkwo6BT
3dvHuNWAizNQ/F1JpnRfAYx8rIcZF3zQ7cAoFlfi0eDR6dvXSkzhiwMtlvc0sW8oA847E7YOPO00
b/YwW8fzSonqvYVfYQZhqK2u+9mNq22oi+iHxgKQbkps1Z6z1s5yH9lCTAsO/iYVPpfJkq5Voq9J
6sQEoUkm6XD37MiiGtjcFdOOl/5i/33u5ugyNebktpty6yYNkjRnLzeM8TAVitiN42jcuHpSPgcB
uATPaKxqp2Whe6f0xfCqlF1NXjWW56EaQlYI+ri+SiUPkdfpdRV5Ab5jd0k8Z5dFhsXCOu0BpDNX
zY6vuMEugxorfDfpjXHTMNoLB75kmfVyowLxk1Y5ROXMrTV3KRmnV+xJXbuOcuCPnhZPKRFGU1d3
WskoUV+b+qFN9Dr0DIKor5oYimbVJCWZxkQGepmYVXBNApwc/2YDT6MSbpUwrM7xdR193CfyWyC+
EW3cXAX5HGn1vYwLe9vNTf+EwecceIxMiYsymOnqLpojjUYbuE9J+5KJEtltJLxoMIyGooA4ZJZz
kytlth8Us9olLCbmamJmI9mEaqrsB0eNfljWZP0AzStSHy+gAPalq18RDKkH0yzaXZnV5h6THPXZ
1svwAtl8vIMb3W60LAsY1AndCGBNJ41nSXnl0FT1EK3cOXbPAwICCp6t5qyaTKUgkDZFdTkK9MqJ
gnLbo1ISvOgOK1gwdf23kVnqHHP9EZ/XanJJvbRSEaWfQM96JdyzWX9BdwTQHYM5AWY9O1+GrEMm
O1tpdARDr6nYr4QDqCRd39CKRNKGSsXu/bQNu2gFLrj73lnSPuMiQ0ruJxJJD+5Md50PFakxmhM2
Waynj10QxCvbjrUzza3UneIyVIYDeZOfh3pVftFHI/yhZp1zUThS31dNF17BeO4Jq7RSgtEsAPeZ
WqgfagB/vVcHfeT4gJJAHdrluJm0pvxSKHN7j3U48ltaezLGzXhon0BA2rPXN7F2gQUhTVPZG/CH
Giintl90ubXXlFbZIy+loyHha3Kpq7uQDRc/4EmUF73RFTeIVupuQy5UgPeQU7w1ZFE+omAPt5OM
4h1Vm85TQg1ZcaOmgDa5q4meqMdU75NFp69E51MyuytXVu6zOlrR5UAzYZeTp98NemneuewOih5d
M3+9cZVe3isYTZAtl2r2igJP3wtivW8wbLsB0bYiLw1O+hy9WnzZDbrYWiKGfwJV7xbstHUfYNp5
0cB23BlGMK9knoWO5+gJAh+dPAVrhLJv2cnd7DxRjW6NpDl4kJExXffEr8fOMXsX/UaMvUpu5PY5
OZ3qZSATz+NIC3dqpifgbPMMYK0lwcRIO0SGN/TrpAZOqVFbOhpdHO+HNgaGmmTjJpGGy/bV9Idu
gCcjhjZ5gMRQH0aFjuXaSXXrtk7U4oUgbz4zFgAbAplwWyIj36TTtAiLHHGWm3V9aSrJsMFvfBwx
ConzexH02bkxFg0TtLq2LrV2PkbMoexD8PbrOjKB6c5lvMfxyD7KyGof8ySzdlVpBNdqJ5nIsUAn
E5d8I2KK9nXZJjfFjExEREl7HHSJNESLnSelGi1/bObqaDLUflVrGboxPVL302R19+ybwzqSVf3Q
VFgcJUigCPlAcqceBbnpB70tN8TfqIvPc96Ujeym7BwusHMchrL9JjHr3AV0q28bzYl2wcjKTxOU
fkOUlONaqG27mUgfr9B8m9uqle4DY5fGjiVS2c5MZNpei1zqtgxaBnsH3YVp7oRXlCi6DSNNyo4R
T7lJYgeX07LQkm2hSHOdj0P0XYBYX1ljV2xiMTk3k0HBQqtVwBQV1Vqk5JP53NRIPTIE9Ids6vVd
QHHpisylXDVLQapHCAEElFVW1Rp5Zk1TQPWiTV+JwF3fyJ3mslTd5jKDiJ2zaWHft5K4TwM6KZHH
ZlOAwIXjPlRRGt8Is3Hv43i0VkPvMpFMT5D9YdKtr/Rfaxw0AvtCSwP0ROWUbgq0gWvCq2StWwVB
gSWHs2kOh72sCt5xVZQrdTS6M3ue1GtyBxxKyXPHV0RGzb4TbfaAsY2yMzHwXFsUUZ+UthLfojom
q44D7SaH07u8k8l13erOMTEG1QtcU27CXohHvXO7b2WYa5tAC6OjwaYc+KgplRulaIFvwUxyiXG1
9B51b7S1Ssm8fFLn0TGYUvdWBnp887PR8ludj/+2n/GmB/Jhf+T/w84HFjWLed4HfY+4/GPbvBTf
vv/xrfzjgo7F9392QP7+/N/9DyH+pK9u42eEOSc9laWx+3f/Qzh/0nPHFxL7LHwO/qv5wUeIARcg
5QIGQiTzj+aH9Sf4HmpbiNCdxfDC1X+r+aG/bX1QpmGGBHMALAM5Fur2t41AZap7R+/zH4PfZBt0
/dsCvaI3bdpuDSzAbz9pzzGr++6AyCoY2WAdWkQrp2LQKc8MdOwi9lrVJbiOQ77YWpkrp9v2blCd
CXL9S6iFeDCERTD5ajwQTjelgoskbgpEqCrLkZgL8xlhc30s2j4Jd2nfzetQi5SDhlpCMopgj49K
gbNTORXTpk8n+94xodB7tUiTb/ko28c2DpqSKoVJLNRn5YiagXlqat0Mk8Chpghtb5lwoN5TN2qv
rWyF4WTP0NMem6g+Bh/TJ3O+SbJOCk8Lh/xLmcMw3tNHtZ4godsFTA/y42nR5cxdiKyiq+zqkRVB
eVAmkXyRo9pvEBNZ10PTDM6DpmLlw42owpZw3FgKuBbausGeim2Ukk95OmTSPR5cEsWuwRSv3/NF
LqFeqGfCbVHkKAA8ZzlnuTcDq8PIKXUZRicQot9De4jaSh3WhEpdA3UJZ1Qj8QI6pbt0kA84xTWa
N6Lqe1QyNb9Q9CI3fN3pJ6oAne1Q7Ooj9Z7AvfVrdxDKJqDUFHIk0W+ZV3RWtRyCY6k6TXhmFcsM
n1IXT9GUKtdanluvc923+l4RanyBYojviNAgGfETKrqLPiKk8OZhyre9HoLHMQOPfki3SmPqxCla
J7aopiruLDfo7uq2HH2G1EEMJI3Azor3xZKercIJFE3aH5NZGBfg08hmRY2GaMUge7mum2m6E4g0
X6Wjx9daaIBGKM3mQc+bYtvX1XzLcbtsrQe5aJHDp1i+/x/2zis5bmxrs1PpCaAC3rzCpCeZ9OYF
QVEivPeYU4+iJ9YLrGvIFFt5bz//FRWKKlWJJ4E8Zp+9v29tkcYESGkRXaquAi84v5HU1rjQJdq5
eK2QqpSZ6dtiretoqgZvGnmVLe0ciR1hPIZ7oQ3Kh0arVZ3885yCsK/9/jGOm+QXSSji5jrPEtWj
FXlzERLAvFvYWkjGt3N+MKLqTVHz6lEN1Xit5v1wkc2YxL0iMpK9JhoPCRW7wikKbXAyI+9pvD7G
T4VUDNdo0FInioT+ImBN+ZcVl6EDzsr4LuumnrbeUd5fLBCZy35oSqeOag0Sc0mg6lVapP0q47B2
FSpw9hQY5qpurdlOQE9toiJL3/kzRouVD1LdmoaBvlp74xhG+TV1HbwD6py2awk2zdtANs53FK7S
kZPR//uVfHtzbGl2+5IUWUXyGh5yskFeol22sZAd6X0t3zEFysDtaCz5BNu1PsaaPDzqg8I1qxPa
/C4pNfV27km5pMEgHpBwwSEdg3baWaU5I1uaLRIl6pzr2ywu1WeSZLOwBjW/9BNWmZtcfZsJLQvJ
jHXfGmVOhz2zAPZn5rCTB7Wcaeo3DcVFbLTtxu/1bC+KZL9nCkoXGhmWpRtkOXhiF6Wvpd8JVAqT
WdnURWs9BpGJHrbzC9FBMOSDB1uikK4MmyNFbzzBaR6sUfdoazOQ5EMfxyrlJ7W9lFN9DmzsJ81L
Z07WseYa8ZRSNd71SlltmgCzr5bR1KRVAz+iv4iOETmuS6pkSMF7p5mq8jALhbQpg3T+SUXXcgZu
tE+jXhf3gVJhsEmSsthbkSm80z2Ui9giSlkFwzBetuPU1rYxIJguJ2Uobdq4EP60fneXIBtdU1sY
f3Ix0XZ5J+h3eaEPa+rphe9yuLSrMVDlY6Eb1cboLNmtjLg8hNE0Xyv53F3g+yH5RELqtuBr3ie0
vLtsMyu0Ba0V3ioKY+sMNn1iFwPzdsiiY2WSWPGVKr012Z/fagqjN4XVtA73nXmXZkbgUZnDWB8M
6k81xuw6pIF/1WRmT7moMJVbUs7hDSby4gAmUaeX/DDteGb5Z2vBpdFVitFO6/f+Jk70REVMFYbr
DM1Xagc1+Rl7biJ2XtMvdqnh4ySYq+KR5rqlHYT+fKWWSXCbWRl1TaGllwkTwkwiu8DjdJQHLfpR
Uu4AjO33ypajt1qBRka8ljWyv2nQdO5znzJ1JZnzpiSDvaHVIJ5YdquGDEhZCBuzKpebNMAAmygT
nUBGJ5lA40rr1b5FfidrSushHRoxs+HGkHGtoV619hSb07SeasE6TKBkn8zYrC4aU+FWRyayS+xW
6fyQWvnU7TrDHHZKPYXvw9QbqW1laXI9prSNcpSJ0JYmYYKlOb2m4NLVSNjOSFQutJbipm3MM+Vz
sVHbm8Ya+m1cdKKDzyR7nFORVAbOtH7pVksPJMePzMhyI0TPyhqrW/ZSqENOzsAP9OWe023SiSaB
Lo6zGs+ZEkf1tpCinm5xA6UjOxSQ/O3FQuQEM5Soev8UwP1DFPK/8i47FlHe0vD+qwgL4RWyxaU5
BdATGOO/eWrzUIvMfNRfQg6utFhD1aGGKTi+FeEJevjzWCcCx2UsVKVcqjTsS5g9Fy3cJ9tqKsRJ
0TX6i+ojQwgVMC7rSjRWhUQuwCBRi8KPpPs58txXYRRPqKBs1PkL8iOo8lOWFuSlDBiA+d5rEZ4u
9PvjS8zF5X8uBe20yKHQJy6Ix//3peD4q85fsx/dW/HlLvD3H/vHXUC2/kLkhElcW+jS8HuIxv9x
F1ClvwiHUcbjk6JB3AJM+YcUSvzLAqwFqNSSwdEYlHyYMP+UQll/wXDGpfAh0DZRj5r/zW3gQ/b3
SQilgqFYSGsI2RU6EyHB/To1ZYw2mm/lqGrcwWMLD03druPBS++MVWNTM/b8Df4Lx3rI5/QCmUy7
zp3470n0RVL3eS1KC6jky6cArYVdbqH8Syq8hGUBfVogLNKGhKTxpK6TG2Wjb3GWrNSVvAlWZ4c6
vf7QgujTUJBTvg4lwa/rTSrkdr+aPD+64BRPdoJXe/KqjZ7kzbl2y6eKU9qewCKAp4VqFtMhG8DX
AekbTC/Z0HgSfMow8yyKTkIqwzYAKDlmkm6bUnwg2YsTS94n9KX8NCW/2eZ+f7Unw598weqop0wx
nrfx/HWquORTN70zenHhtetzl73TjW4hQ6BlBuMJrICOfCdazKbxA6vX/Kd46++adbJW1uHm/Ctd
PvKn2cIF+esoJ1+hIuhxXMv+ExcE0l7PAhfFP7+0053zZADl5IpcCEZTCLn/FAKVDfyNetVVZ27F
p7it02c4ZRiBHJCqIvOfxF1zWVxHuCDd8n1wsRA6+Zo1tu4m988PdSJ5/G3EZWF8WmPKkssPRMqv
VHhLn9Sd5uXiXcsFt4rutPr+z6OdWgx+G+5k2oNmqIQhJZQ9DB6OVw9M56X1wiJbB27x+OfBvvu+
6KCFuQpUBYCP5b9/frSxUPRkFJ4Es/W67kLUUVBPZ+KF5Yw+nXSfxzg5w9si1bH5CU+JguSw3abI
+FTTt8PwHJvhZC/8eHGqTr7H1BHsYYz/+jD/6q3Uccd6NFAKrbW2FB0VPe/AVZ1WS4RKgdvI9Ai3
URNa1LBnLjP/Qeul796rpWtobsndLNvz149CKlai+Go9JdW7rh6RE5jJ9Z+/ue/eKqAWSLz4/zVw
I19H0FDh5fFsPFGPcUcDy2Pru/4iJxOCM2v6lDf48V4/D3UySbTGCoo6NJ8GZ/Bkp3Hw0wpOa2Nk
tFH2usmt7507bM493cmc8Smc6ZNhPJHE2pjCZS8ank/ZbZbPUYBOgR6/PdyJ1F6YLC0l1nuKD+ou
dNAF2/1WWklus4Y85vReuK+23d18Ebj+mbP73DOeTFcKdANefvPJxLEoRxta1duifqME576/7zZ9
1OkYOBbgMJHt15nSWZXQZJH1hNqI3hL3IlKHP0/F7wcgaYsHjN65H2nMT5sIBeumpWZDJiVPUOlF
jzm59P96CLTXXHt5CoqUp10rBuz2dTP7Twa5H66QlEfPPMM3C/bLACcvSa+kPASc+GRFN5Z6VaQv
6XD350f47eDiyoRjCVDiwokkXly2r0+vaZqHzpgTJArZe/MqZKvuOl2ZR3ZDsovRs/YwU9GxxXPf
/m+3NUbFnwA/l1jalE6ZCogxYZk1NDlKOtqX1yZ5UUt2xiG/TbFxS+055PrpZJBFazEhLvlq6DwY
Lb8+ZZHNSlr2yKSrsBRvooLEbGuGz2fe5ena+RgFA4IiahjRfjO+FRalHUVfxNjuCuUNZnHVK9YK
xTwHDc4k34wwGxwEN4p9zgL47QN+Gvpk2UIdR9XlLw9o9bMnkgj12lI/1wb9NPrkyIDKC4dL1agT
wntbPsan2dLKeiF3ghba+cGEkuBg4l6TNvTk3pE33ebM+1xCmM9n9OloJ1t8iRbaqCxGG5zeHQ8z
nXEZbwlCs8AVN4Z7ZrzTo/pjPKxUbBfMSUBsX59Og1BqhgbjxdtoM94GnuA0Lh18bs7HvN+/yU9j
nTxbD0Qh4F2HdroNNiTt45Xpth4O6s6uz8bx303MBSNC/05ob6AYvz5YomemVunI1iND8F0kRBZk
nqrcUPMlNu1gMp55k8sPPP3m2FawA2LGAbp0MmBkYr6wKgbE+HddgCggqQoxxQgPhTB7cdMadjb7
Xi+hasEUfGb033eXxVck4SVbIhEOmK+PSw/Z0ZfadrkjifghNO0GGkLl39LAzWs3wyrTdLvqK4K9
iz4lXqA4fm7qnvsIJ+tRR14SjyMfQV43ycaYL/3JCzbpCt2zM7xVd2pxRQ53JlAR3HNhykd8fPL2
eX5CPBJFy2I92e3qWTbm3oKU0Xgj66awaCKU9a/LZqS7xpqa0KOKPnOrrootrXAvs1VynB+Q70WR
e9+uz67j02OMdfXl8yzr/NOuUSslwvYA2sOSlDDH+3JVrNFceuND1rizk1+OjV2uzy7n5XT8/TXg
TqPDl2xgDfs6LDCGXI4pYNjkJ5+gEwHm8lDgPplv8kHdRKvq3Kz//kv/14AfqYNPz5kBxcC9z4DM
u/f2EG2MTbTDibT1N7OTXsab6ja7zZ1zIdspi2LZlZeY/p8P+rHXfBq3GFTf1HvGndgnRa9xQOne
Jk5qG+tiJT42Z57z+6/z38OdfJ29MA+mit7MLuBLU36Nj34gXaS11ZyJRX+7dJ4+2En8M09JUsEL
WSaOuUZSnK+W8HdwgaX8J7Xt7zblLy/y5AAwrVlKUU4tm3J2k6/6zdvslJfwYc6u0W/fISZ1kokS
QvzTFHIny0WOx4ijbYyRuFpyg2p5MjRUxn2SnDnYPrIPv62ET6OdbIhN2CXYFFiAAOBX87xqETRq
8Ur1xk1vwyF6VTzrPd7Iq3F8LbbwYG7ElbVWZdvcDIfoubuqttUKX8H5DNOyD/7pk53sk0klt2FW
8MlmXUEa4yd3Y5i9CVm4bXxknC3FUWdOzeOfTwj525WKnEPCsY924vQmPMwtXZIMtufKSypHTR6l
zlGK56Y8WvUGK0lyaVVsGOjE2bMRVn5cLGV0dqgKCyhRZewmOD8nt3Wi1dmN65s4RCOP+69Pd7J/
UwiP+jzsIB2ReFuXq3AVOZ25Flet8x9sk+dGO1nOsPYnelrzLuJtvc28flO5vUejF8Qj55Kn6jcR
HQB4zBuyjvcfBOrXLVmp265Q6Wr3saAN4Yp2for5ZmaPAaTg2bgxjNApdXxuGJk8342caVVe0rhM
vhCobG/IuCaRS3Fvuh37HyU8KS7Gum3oNi6BST6CdtDeI4RZXGeO/bWqss9Tg7b/PHu+35Y+PcXJ
pI2sNJMG+Bosp8HrRjdjHZUeBCqnn4nezs6Hbw+yT+OdHGRGPlCcS3hr6jq7TBu3XI2b1oaxNzvF
sXCj1X+bZf77RPn3iKcZ0xiA5SRTumfE9Jh5/hbGPMnMfBed3Qk/uBy/bQGfxjqZ7YlZNV0Y83SN
J6GuF2/Uh+W7N5zm0KrPtK2jGfGql7ZUI53zX+Y3ofHnGXnal8BMQhDGaI/ZiKmx95JnkcdvlFfy
L+emzXJ6/PagFHt0btpcn05xhdGshykiyL/DIEF9WMIgFrYb4I15b2+AgNbrcyvu+7n6adCTI7TR
Zkwn9cdclVa6cPvPudNkjqXs/oOLzbcn26cBT87QGkh0EywDyuvhIcUkHnf7puHoDjzLgXas26Dx
DuH0/x1ofhp7+WyfAqFpaGctwhvHBXzwSite3KS24o6bJdoss0dJuYaQlkJaP/+ivz3JPo29TLRP
Y+fctltMysvY7WFUQY4oNp2lPPO1WXO1s+mad1OmW124L+Rx3Vydjym+X0ko8mhpoy1c/5Nb15x1
o0IcsUyw3gUlPyyfJj2I0GXZMUDmrcSyt+X5VrZFO3DPtaU9O/7JSkaD3um++VGLKy5z9g1plVkO
lKVt5IgrPJO0x3CFd/W/Lsr9vV99evKTMyxOqwL2DL6TZYfsSJJ2q/yyWP0Hpc1vT7BPI52sJ7Gq
2jwXeMZ4270uG/+SctbekSW7gXsuq/NbkvsjACZRBt0CAdRv5C4hqMDbFjwXCMv1y1Q//H2Hm1bd
vPytrmpHcM+dN99tiUtaViFXRr7nVFFat2YbGdWMRtIMq0dzlGoQh5AbydmqHtKsc71Tvg27KRLT
JpWiumEu5fHPS0fTY1XB+RECwLwrIatq2R19RBdu421Q5Hu0Wkc9bx1VedCQZP75MP8uEvw89klE
Mg9SGqOWJ+SPD7MpeYNwhdiIhgnTbJ0ZSkKPe3oE0GZ7IbqKNAmldPyRjf28SXQgZOsW1kMfyxqQ
yEBt6dEQTCm7kmCWP2jAVb0VVgg62Mw741WmhSFle3zkz2ONuMbo5fi+41dS2pADdLfO/TJ3Se40
D6rS6XdT1Y2S1/qRrNglloJrwahLww19Mdi3jdbHtkbWSXF1X0fiFMsYFaIWTR2botJy5Jadqu6r
qIx/VnA8GvCTxnAXVvm41mNozU5qLSTcXIsopZZkWTYBrMXIweOjP5lpor3PxdDlXlbW2WaSRnFA
5xSEkpcYQ1vsIkUJ72dM1neTMc50Nx+0hhePlhGmCgJLJ4ir4UILVLqdERcEbq4Y8eusmEXmCImE
kbAVm/xKFLrxQWmUrLhAUExL5DYLhtTOx8h0JxlDppQCHhMyuY48ddRMwQnTsb+GDYYsN+el+66Q
ByIgOHNhz+ILVjEygIC5miYRPW2b4J9xO3GaTG8Y5fo4x33zhNqjG+hJIxvbotSm21grWmhLtJe7
HPA4J3ZcduJPpe1lqLXtGOMRK6Wk8tTeCh4ChGU3AbSGxO0bRdjPQNZLRANTthXaQdohAxzuynCq
11Hfo7ZsDKO6CcsuwsRSFtax1dTJcISsKx98zeh+SUovgZqa1B9RH9RUticWCIDr+DqswyqxzTph
chSi/i4grFy4Er5WXzX0RT5G9ZBeJLSp/YnlTUEvNpczaSlh1Daznvt7XUMgW8z0M9qkAPzAd8HS
djH55oB7dWSpUJKjYxojeANnkamvWpCIdm4yzUxBMN3GkNNnRODvfi9o+9yi/3KrRCBRFLVUfulN
Jr41dDndFUqFXXWscir+MYG7Epq3/YSHyVYjHVGcoeCIogHlvMehp+9TeJatB9Ej33UznYhsKHOl
q4Vp+YT/ON7p5oCcBcpbnztjMErXRmNk+6HS0Fe2qpTflyX+eJTFTPkStO6zGAYDX1+hb2DGt5t4
GFUBXGDE3SIfBAMzzhhd46OeD1prSEdWVLqJklhnX6xDHBlZUF9lUXLXVlOzyvqqwhbfyr3goUpt
JQDDQ/pcz4V6CTMreur1SdlJ0Nmv8hJvEvQIPP1zMk7OxIboyJlSbJRSBVZaBRAyajqiXQqS2l8Y
4kD+TsfHtZo0nZYMsxK5etKz90OgQfiuiC3urbLc5qOmrxq5I5NQmrioOrlAYWpmYHA7I62eA12s
azui7dat0ovNrVUPmK4gh14ISdQeOq0seseq8vLeqCrMmAPm1F8BjKQLuddmODm00cETo6IeZu1b
9SVuFsSa6pAe6kafXB9ebWI3SEyfu7kZHf6VOmxpZOtM1ZIjHEL/ecgMdZWYo7EeYrxU2eA3O2me
FKdPZdghtUDbJTUpA9VGZGPBMw1z2UsB/lwatdkBc0vQmyptlthYManCNqKytYySBTNJ6fOo5RGW
anMUn4Mk6j1FaOMLK6i0X4nsm3c03UbsTuPxHoZTnJEFpId0eYetW1hXhjT9iFkJD3NThD8VHxJ1
YBZD5ArVqDxPBPU9WGN8XiO28MuhUaSbtjCnxbqHHtiS8mBrZpF6D4FAXodtpUtuKpUSBMq2CnYT
rCSv0eCeuB066dwNEYz8KM1VzK51X46B3fbNryyR93VbV15nND+bVnYV32LKCxe6kDi6GP+g+RAE
SXDZfX0ZyxAn9OF+ntLLrF/BiLjCvel00B7N2RMsMEVsjQA9JlsPlXdBq9GkmnBxMVY7uAe8Rmev
w/jOy2ibWy15GYJqp6gZTYEjD6vvLyElamciScZPmsXULBuQQSDuUulOTeBm19IDpBFUT5EthoPT
Sotk2vLE3NyF1XBl5aU3q2T6u9QpZvOa6XuAzPWI0HZHrW7bhu2W4uqBM29NixIQfuF1OUT06PCd
BasA4fpYapdSmm1AnaxU80WNhIushNnVXNbtABE2XAVlfJUqw13jP4r0x0TM/SINjz6yYMp0bjo+
p1PiTKh+puhXAfJJF0hrhA/aMDmymDlh+ZzK0queJauIvgi+fNnqV4axx7iuQ7uoQGgofDlx9Zbi
klXHGHpCBwd6BKitaaUb6OoPtqO1boVeUX10z3VxxwIGC97LBFdkq8UuVOseJpJPKqvtb2pr1lzD
zCQPAfXPIovCVWYg3qmhQDcZBpDA7ZFN1POPuR43aYgrXVJpEHNsLRyD4g1dojD8dV4g+z/jHuEw
opKDNQtvZlsCqoofuHxFHnVljzIXNpTBVCIH96bw0pTYvyGSkm7U5iOmpcoFyQMwCuwSLhjzXiyN
65qqvwTTfGzoRZOKHuCCQ0YbR98q99oobYe8uNaiO+TEa9OKV4mS3ZQhLj1U700T7LscfHvcOHKC
WQa3KTq48EqRA8/0O9g68oNWqfiuaZdRQxkP9XyHs8k15Hyb+8YafgX2ee2nNmJTLGf1SGLAVmpp
pUbZqhimK2nqsAoxd8YhcYpG+tVE4XrqR2z25btUZ9ei1mxjKB68FWXTKY3mVAApN0mdVpdpkP+c
cOiv49gEUlFquyFVbwkztyWWT1fIquZpnmbJU4fwhQN7sNNBKV+NRjxGjXUMqOQkTb7SYiBaOIxH
rxI6dw6IzQlcTWySLn3ZaxyCtbQeDRw98+yrD4MR7vWo3uNAtmkdtVIKfYf9FNC3WOLnjlvVjuXJ
vJ8yvBZTy7Gbj1LkWIP0q44iEiEy51xuKGjXREVw6z4yoDrQKUgDtbWNg1LZC/AoOELQoeB7NO/9
qFFXNHpVr6AWhPh5SaDk+CtzIwHDPzTZRu67aIcpMgPgHqHVn/FVZeCUUFAbsNRj1OgqnvRBGbDr
hlslkFKQcO0POEAbrMkHoy2XwIUdCsc7NPi+5MvVfJVteNKOo98KKyCpP8VyAF+VQp6CpEYrymZB
HRVVPf4QM3hIPE5IaGLO6Q6au5f7TQkFYq7tsDXUA3758k2ZLWttirlyVLiHbPzBFHIoLLk+QM4Q
jetWEdNjODaoW4uagouSCuswLLp1k8U0uzD9bF6NatKvzTGSX2KpRK4DBDpxzLJvwbFbabMey0j2
ohFuOnnhdDtKGBQya8YyNWnzpi8k/cfUCtE69CWUlh1U8RTHZoUhvhavSW+ohCHxFNMlEWPbfYJj
gSxDAW2rq/ilhcQnBvxe04k+71sOMTv1RdW5ZSen20JpKJMOoy8/D1rJPwZ5me/Eriy9RM1NDBGj
SXezod+kmayvCghS0NYTxR5FMXxWxlByLbESM3BajbTpglDdiryjHPubUd8n4lA9h3WXZq6eCpJo
S3JYb4JK4UiRiuhHC5jFtFvIQrskic01TbhJ8+f5VK5QLAfXY9SiGY7wU418YSDhtdm8l42svenT
Ib8kApc2WSV3nhFEek3jEyUYHTObaaOweBM0Ii9xfBqKMLrssyJoVsDvgl1YjsW7XPrt3hcm3Ouq
OI93ZSnqP9t2VlZNIrPI6CeHMXtCgYu9KiivAONID4Uo6L9qY9AwvRhmB7NIEYNfGCBVuC5CcqD7
EbQ67tH0AeAV21mVzWsh7oR9XvbKIega6yHqmwrwSaGsRaLbV1kf1QfdKPyHJknrHynNa1MbNiOU
BYJsuMWF5O87S6i3TSQaRAMq+EKLaM6wlSCcdy28gOc8Va1nZhfVlVqgi23li2s1LmWOdaxaGZna
trwJjZz80+wHV42Y0n5KkIoLJEQVEXPF/yk27XyRD8YeCV22zyTgcUMJOQqB7pzbQynGGhS/0cLP
UrIjNlipCgyAokkroRbQgcsRHQhXAs3cQJwV6X0yVOZzCU+QU35okSjTT5p4LE83aFHiG4ueRIdh
asb7NCy0fS+ouDQyqZFyWhDF87aPzHTXjkb3Vod41dZ+oYg/0DjJ+7HBs2+nJWZ3x5Lprs0JOPA1
VV30FInVvItbpeIKo6aJO2GV+Fnh1ecCNw2BF3VBdzONXDQ3CCA0p8w6+T6rp/Kt0lQJEaZYdSCi
lWbHNpRfV4LMeGn7xo/NX3zRn+7MJshfg1gy3EqNjcgZuaQ4LSkgggzaz9VFLdJbQkzAcwbt3N8L
nZVd4WwS4F6FnCIB1a8YA6C+ogdn/KRKob7BEc8dGMo7dKVE6PUfZhsIB+qc5lYQZk2x2zCR3aYE
n6fqhXkQ20LdJaNO1aLT4Xt5QG7S6z4Z6xX51uS6KmC8DVMdvNVDjY0OM9SjQPfbmzjjTjmXvnA5
+JZ6qU2NdaPXiv+YdzKfIBY7i8oXuRBHEPH2ZMIU/0qKRIMBqXb3EW6cjVWGwYWS6BqXDq2AwTQ3
e2xGWrVLR8mArO3P+PEHa6/pIYJWa8h/WsJMUSVqpuGp5WJxW0uVf6i7DlXmVKvyEzfSbA2PLD/q
RV8SpMkmt+U2vbdwiR4yTQr3mqwnr6ZRLLZGenqYQwFjUE9ToF2puGk4yuiwoi+yI4b1wmho3vu5
AldQVs9NZIqoDoTmXtRG+Taf8VxCGIukkKBWJpzpy6ydHUudlrxG1wGjG0IdQEZtTTgo8yENiFON
4E0M4Chi9S9Qrg5ZBTrMyAz6UigBJtjYEn7Q503qbXEsRYlCagPnUJ7U+0aj50oapTP1M+Y37VSk
PN8V7Sjs0QFFe3E2FsKomnckKNWFuVf01azYAP8j3c21QH8cBGqSNixCwPWSPPnqPgySOgC7FU/T
1mjS+CrQzf5NVqeiceZGDu+MZmpxNNKHqYQGOov5NrTE8C42fSBGRisU3YUlKNXtmKbmu8Zxfxzj
EZIkxPjZNvvRlHfh0JfQofwYKJgSarjKMt6DRWtqzdgZgS88ZKIZBd4k+CadRFqzNrnp9yn2vr6M
MHv64lQdUqIcy2auRvu5tXQANVRZrqagNS67tFe3Qm/O3PLHuSOEpDd0V8fyTTP1bBmmWuZX6WYT
qzLi2o5ID2+jjjTQior+SEw5HTUrHd5bbTJf5kyhFyRX5Psi6qJDDqhnXST9fNkGKj4QpVfgOYnl
PfGTugrCSFwPAIMkJyTztLVyDv8qGrVL0IbwdejEEA62H2Xds673dDIllIPIoBlKfF0bCnzUboxL
IjRZK7B5NurLWCfCBvZWv+1LxXgsmrR4qn1x4EIoB8VTE0v1DhaokEDwCY3LCKXUiy51yUvWRck+
8FU628iLR1JS6fWWlcTHToz1mEOsIRXET6mzGzmPqw1+ULZPXAegXqZyF9dxc8/g4jpOuEI5MBXb
C12p+nVageOzayPBlUKTDJZIXBvRvqelxE0+zorbBlDc7HFGgsmkAQZs53KgPM/gMA5oGd+iQZQv
x6kYCMUL1po8w8Dj98yLnsX8qyjN4S5TIak2FS4Hu2I9rCWNy5LIOWXjEJcJshTzskgoajdm0G4/
KI8xaKkXlT3yZ9HBV+JeqFjXwHmCl3zBLSJ4bX+Vvjy/FZ06kN2ymsnp6KISnhEmfLTi/ndJzJSQ
h9GtAEubaogkRU/dO53fldiypeulkDqAU3Yqp93j2nTUVXNQV7gLnfTiXP3246f+YdTT6qYgd8tK
lK4rz1zLXvOqbUKXtbCGRneTu/EKoJCTXUhrbac57f24zq6yVbCan6NVvD4vO/wQG/zp45yUTeK8
nkAYSNfxgTjK5R59CDYhGh7TTd3sQj9GW2s3XMG3RGtwttK71Cv+NPhJ5UTqFPgjDO5fUKzZVA6O
MLtx45u/S0T/kKb9D3MEeyG60U+lh99Y68fX+vX//O8fr1/NhR9/6J+gEfUvusGYiiVS7LEWc9m/
zIWARigBwYiF6C5JsLiZI/8Eret/URqysBAuHbY1/jxf4T/dheZf9D6h1EBDGxaabmA0+G9A6yeV
IZVeNYytg0gWkf+a+kmhBhZwyt4zcdP3ym38M9jTRmJ6qRzBWQp8JrdB6IfS5vwa+a5EpMOLxbTC
oypsrV9LROk4TbwxRtau6i381l2/UdkmiuN/UMH+Rry6NKtRaS6IAem3jkNzXMb0wIUnN+2CzaIC
k9bCmlqyd644v+g2/r32cPSSgFEWkSoyeB0k2kktUU7KIWHpv6vrdpvtFmXqYq8ztp+m2fHvn/fZ
jalLvwkPgMyghJXZadn8GfXry0tgqUR5yrUmqHvjl9y20kOPvulKBfax5Llbod0iWPAfCiXRXiBP
VKuQgGedycTXtrJc1ILlygZjIdjNZRs2KxyX0WW3XO4EIe81W+jaGtj9ZJqIuPxZxdK/XAjz5W5Y
h4O0GZb7YidN7U3ZBeNNlgJ4o0N5EaxakwRf3YFgJcMLXU0z+l/dHBIuEczttDFsl4SfEv0QSq6t
YVOSYfm4ywYf91qwkdVzUkvdnWYO5V6i68Zot8s9OFhuxBTKpWwPS5uyIlIPQl9cGlKSogTu5YE0
gIWRZ7lji2lPD7zl3h3oY75LuiwnDxcvwSDEDfJyXOd5g0oHHDip+/AaWxo3+0y0DiLmz4MIee3a
XDIAkpKSOuppzFG6BRLw6+QjXdASfx9AQvcO5Hp9XQ1i86o0obiRa6WnhTy38xEi2g4USbadlpyE
oqY54oHYb38IuWgljgBFzjWWTIbl1/06kdp5JfY6iQ4r6+ErLtkP7j/RJloyIkZSlOtSK4zHbJII
ba2P5Im85FFMY1KOBBOI/JJefxjE1n82tKn00LDeKxWtVOq87vJLc2ir28aCPuamWa2Dc82sx9aS
pq2cp50t9hOrcDaBamTjdNcFSrRrxqr6GQbcUhxC2eZS9yE6yNB+91I/DfQfrbpWocqRmTtrCIYA
ZRsOFWek78JI1FWRR1GbQCYXk3TXVqvIeyMfp1sKUuKrAXroIZuSjnB4UKZrQrzqSjUI7WygCspo
z6QSFD6qOUAf1LvRm+i0DclG6ncpl45VIuQgJC18Bf+XvTNLjtxYm+yKIMMQAAKPnTOTTCbHYlW9
wFhTYJ4CgWk3vZbeWB9Qd5Bk/3/b9NhtLTPpQSwWmZlAIMI/9+OoNVD96t2STYrdJ2CbLx0Y3CuK
b2i2ylvBOVnUlPdJYuxh1zn1tIu19E9j6Fnvdp6OFvXARt+xD6tpZvAimsnHD1YPOjQGe/uD4aNX
nE8WoseEK+IHT9xwLT+4P3oK2Vp2g+WdjZtB6B99CDZww6t4gwVuuLaJMJjX65JkDO+TkZ98wASP
JuqHg1qAD4kVQ2SasHmzf2cTrdyTqQWRP1nsrDlaj/1XaIy9AeIK3IiTWXMXljbbrRV7NDsBKJWQ
2durSmsZbVrXMc6O0SfAJN8ZqujgBaIu8CdF8ddlyHJ7H3+wlroP7lKxIpiaFcbEcQQum4yj+Fuz
wpoMegZQ49p9paEUmHTCO3ugxLA+FhkYxi4pUnUyhfJvm75avmlumpMzOQ5D+DRnyjhjbH+W8zLd
F6F0XsZ+5oni5suVivbmtkuSEP/OB3Yqr0Jl7xG421/OB1nCQTGybudacrRtPugT/QeJIvGG1gd8
KKd2V1QlJscVW9F8ECyCFWaR+knkHV0sD9GOugWTbGG0ttPW/uBgKJWTrWnCaL5zNLAMiy4zNNIP
hgZMu/6SrWCNUFbzLwjGyBrgkMuQ/sMYCke8AjmYzTY/mWDTGDiswI6qDs15cgsrARdlgKbk9WRY
j5Kyuywr8kNL2R+7OGPmXI65us1aGf2wCmulg/gsxDDMV2pIvLjRJ6/irEvDCTOpEXoBRVsyKu5c
MUAcGduhROEvAGWtRJJWrMfI6gNUggIYkT2BXrJUKcBFkk00UMI2yWn0BTJawkw2K/ukd8LW3rh+
CxFlZaNktWbmQ3KXeaKJYFZvRCOsp2RlqtgrXSWHVv2WtALX8MpesVcKSw0vBJW5DucCD22ojvkH
soUfEJ+A76xU94SRS1Tbzo8OyzRroJJns7JfRk+opynN5HPhNpIBMSy/q7fyYtJFiR/u6NhI1yw+
1QqXGYKlfUp9rb8bUDGfldfvQcBSMBClbc1E0VhHe1rGNzdqrwWgJYoKZmuH4hDfeivdhj2Btenq
xlzUyr5pAUrfQXd1oQxm3WleGTlhYvcHN3WreJcly3jMwjl4GVaujr8SdgrLbQH7D/2z58HfaT9Q
PFbsRvdJZOluE3DlnNNmFDfxB8AHtIr1C35JcovBGF+A8G3rtZ0ctc7ZGmY/ICeRvPGtzdCB7GBY
hi39MOoMFZEPhiAz2NhFVZQyQTENY7//GdHDQHGNrQ7Oottr3zTOo54D9UDBOr3UXWexZLbjqc28
5CQYRWwiYG0Ynn2odVumBVm6c8PCO6YuntxyySjD8cKxeqqMqiCUiXZi2KbTR2Rd/1iGgHQJndRU
0JdL8aNwx+mVIDBk/SCrnL0XNUBZ0yLdVhK6/ZayaOcnlDTLxX3R0VFi5/2BczSUWbt3NCl9ob4H
UheMHoLwEZj2cLTsqU2h28TDwW+zllpVztXYOUI+xSVy7pN5tAlhNp5d0xqspoudRPPetabisKjU
f8l5gJuN1ZdwE/IZrhzdae9NZpHcpB0PiUkHvrop3EUezGh1L9qXza+ybYeXNF7sfl84A1NoY7c7
H9HnYAfKfYVTOu+FaaGZp/Qbr2tOsUDdl7FkQr0YcW86U59EXzI+IJ74ENjUCiAS5T/UhzAninhT
r2Jd2vDJ5auA13xoeb0j9S2lPjWTNKS+KevUJVnlv7QshleZdD7yZRhS6o6iCF14mPLtkHrRTTg3
NBYD5LLexKouDqvOOK+KoxUhKXMROk8Ty/ibx2bsGAfCfI77zH6eV90yc73uQF9F8eiLtlcArHOm
ogSq4ttkEstdVUifhpiof5YsI4+it5AVwK4zc4iDb3WFt4E7Z9VSvVVWBTKcf7ZqywSHZpVd06wu
D+MqxaoBUVZg20H7xTBFgUhCF9PYLsEd360OjN7FTFd5EO60NNW7tSq/qhLDYwjL7N1vh+pxpJDg
LJRj7uehc7sN3Nnme5GG7msqkmAblKKlsJZq9CcyBYHcya4taClGj9aFU2LE8ULaale9umLi/dnt
MZpt4lXPbjQDgO34IXPHoQbkAYB5V8muekFcc/IDD2/zHVZdeRarVF58qObmQ0Gf2sm/NXqZW+Zd
c3EYp3J6zlbVvXJjtWtWJZ5BNKJ8turzkCfzVww0zEBj8MfXzgqH7gYNV41Uy+bOwf+Q/IcP+T/L
KkYByFvutmSutBdMG5gO10AYy/w8opbdltwVv2Sq60u3DhmyddwQ1dJ9ZLbVPPlwvctdHQsIRW6Q
6P2Ssop4UYrzOmmjLwk9RF/cdawxuTWj+/hj2tGvgw/Don/DvCe+nTygu9RtqWda0/tDG3UwgvPO
bb/56xjFWQcqmkH8e7cOWQKdtA9Wz+CFyYgHzsr2niT3HnvWLBHP8zqxYQaQ32W+FpcW28dP5/fR
zseY5+Ms9Lf0h//baKaYPyNObP89uOh/lO/N//qff9QV/vEt/9AVRPSblDaygQdCyiPr/W9dwRe/
AdjgDOQ5xDU5XP9LVhC/iVU24PgrkRXWr/1bVXB+A0QVcaiEyciWE9DQ31EV/myc5khKNJtYKuFz
iKic7v9ytO/xi1t2wHAcj1zKQCmpm3u2FnQVJF59zkxXX33aNK+jW7XPf3if/oujcfgXy/LHD+en
26TfHd4cRJw/H43Hjr3qYDsI7qln3gOj5deyzdkme055zqOwwGAbB6s11XbqT0ROl3vDgeGzyBwK
nmhSGrapiLATUOTkWifGl5paNoG9b+vOM4dHizauntHbVFQgg3zra9/G7vAYR3MiLiLrHMp/OcpM
NPkES3SnpD3VlKzUHjHZIm5LlPakIslHsRPmQzvU47PosGIeHHxeb2HITHFLkEw9d4Pb/qgHBlEM
/KMfAj8eyaYmd8qd4Ikg8AFkwDxvZ2Lw8QFdyll7fAoBOqYVa+0NeFIRsDTpcrzWcYAsnM8q0K+l
mqTY+tpKcUlGlgwwgLZZrofHkQXqaA26PPj0pBysQfX30tXRhNe7mEIg9G6hKa2z5aEKaIAHkjju
jADV/7nzw+7OYoNKB8nsa/OQzp0/XpTpMK5Og7fo88BOFftaW9YNva10/9Ht4df2nrEhYzhArYxR
qkD5wVbMMF23js4Ma240uU9+N00ZOyQ3NfsKMMDD2LnWmam5/hmR7yb2VcfO5zkurGnDaIYpnpWi
KRwbDRU/rTGCcHyLImsLQ9sBbDrpM7O/fg+JtWkPYebgipSUoRxV64wrm9p87uqMPqk4luHG6ePk
kyW75CmmluC+wseiNkXRRM/YD+iAobM4d5igIQvs2rga+p1Tsh1SdehQqL6sf6WjOn10OqSZo4PE
AP/bWkvfxNpwtis718dkQyFfsndEWcJUlFGqD4Dhhouu5/R96FusUVxU9Nd11FzYW4nziNUeAqM6
D20QvJSLHMcNvSOyPc6+cqcvXRBWcpd4TU94oHLrH4ZDza0M2my/5Co+x0lQE4iPKU3YhnnlmT2g
uvZHE/UF7EqdEutuAKpLUI/QDuehNneiHFS2neMEOMvi1km2nRbqtY8+VmIqKEx/sroQ2SOW83FJ
7UtZ+uGtSJv4Ypjkn1dH5yszLXG/gK55tWpffuJBH2BjKGQDPJHL2mx0aREDKwCktz2jmjDM71Q3
VSf0DEVRzQDuPZri5TAEOt/jrsgkezWTfOPruBcD23pJR4fHsZvIeRvlkrJN3I1nPavpAVyr/FbW
q7trjO3iMDCE21PWN0fbzq/yQy9K62USI6V8Tju/o2RNRB7qmXae1ZyzeCNJZ/rsnpIx7k62wnGV
NNmMXEb1AWdeD2s/BZzkwGtaHiJ6Xl7mouyPrdV6943QEO6hHT57SWP2/lBldxbnzmfh4LZcGqnp
eeDeBg7vORdXwNxZxtm5qxLL7EVed6fGGcBdhk3ziBE1elLS6aat6+jgbMo5c/dLFAvKLr1eU8kj
bCzPmBfiuhnOkZPXGPTq8CyLuaChTrc3c10zDRnd1e2WYu4ppX3OBwl8OXIMQ4t+YdOELxifscwG
KP1W/Vbm9CYdFjwuYHj9TLw1zmyfLZ3EB8cPlxOQgGWrc8/eOhk+8tzjDGQzZj8udD7dL0sWXoY0
QYVpestsKTZ2gz3uWv+QSNwJ2WD6mxyP0C11lcRK+mY+Qd9TICwr62s3+eoxREDd9jqnZcksYj8m
8lvldsOW3bx7iUwXEVw2zYVTs/uFCXL4TXlRcka4ml6wy3o3JSe2B5aZcde1bPzaZKxvXWWyYzEV
zpF7i6t5DrxDR3sQfn7pf3eDJj1qlssd5VTdnd/q+TyUUXaGD0kPVMIO75ud0AbR1ZScNanHi0G3
ul3mqnxwcMtz++aodfQII4VJCLVQVOe7JBfJmQU0+Y7nOr0U8RBtqRMbjwsnpJtu7s2vMVqbcZLE
PijDTTz2FIFMQLL5NNnDhoXdHbIxXTsi7J6ulRmD9qZQqv1Z+bN9aesaSmpNnGDCMYTSnlX6tXcG
+y6yO1w0Lk+aGL7TtRxHezuXgnVhFOlrXRfOD8UCPWM7jty7ZdaOu6Vyfr5BeLNP/I7l1ekq50E7
TcSd3QpOA3Wpt8VKEpnDdDx3XJRfiEsU78ptur2Bu39d0gJuODVAdwmdLrsFn95Tnqu52lhl05zF
rKIKW4Cf342xF/+w6gFIUdn2FnQQp102synQXsZ2RA0x1c3E5fkWOZ29TTkY7B1aOi4pay01OY2g
Bp2SU+wk6pVwj/jOMy577e0+esC1pd6GLEmPdavVo+nz7MzEvt9qvbKEB87COGgJ3gMg2Hn0qp3S
TnTHenHGEzWS3rYOxLBLlznea2YKWwuNZOM4GcZhars2dRTad1MRZk8C1OqnGm6Dw7khsKBe12N1
k1LzyFzXT8VzxZONZ+MkuYUxgtzSC4jPVHjLqVtIxXKiqm9wQWfbjmL3PS+t/SGsaboJ00geQ97g
V6painNkL+mZSHV/zFVf4BI3KQJxpoZNjp9tS4lPu3X6YsKbMmS/uqDnh0wUyWwqrBpYO2k0VZiZ
L5EY50dT+sk5GF1OilU3AC6b4hfPW/0hDbRetMEQs0vpPGsQsL+wTVpY8/v4IZu6mFG9VR9y2x+f
88IOn0uRONsyxA0pKkXrUjpZhy6fEduxs+4cNjLPUqX2pnVoMMGKFL3JxhnfQzP4N23gt4cY0Pwh
LJAghnblSuRVedsbhtgrvukZx8vykoxJ+EqfVXERVIN8qdnmbtRoxp1yfOfctmV2zuO+e4A64z3E
XRF8QfEzBwD1xa5wRXby0l7sKcnRX6yiLd/7qfVuYzYYVGWZYa/TQr/GA91FA3WrR99K0G7SKr1O
gz2cjZTZptK6uqVhMntIGjd+koPBAtjH5Wc34qyeWmmG6Ysq34lh+V4p3jDiGd0pSwrMCwSwbvVS
ticnd8t9E/NUsmNh8DugQ+VjbR8x5OB50U536Kekvo9HKiDTRg+7om29HRe1e22Fck9tGNe7Ycp8
2qCy7KZJW3nFfDgcG+6ffRr07kHUvaYih9k/7jHzhoAWg08uPsUhT9uga0AbGl6f0eqn1lo+JwRI
bvspNdsiqJDbQ+NQtRsM71WZooTmpoJTDa4cbXWjQ3zUlvsVgxgQW891j8uAtM58xn+s2xGzh63S
L4Vjt0+uP6xuE9c/xBKmujGt9WAoMKNuMh33dGNY96ZxAZ02IKMjjToKB7r5Yfe992lqI7Nj3y/h
Gjc06lkz+z1FqTACKEOHe2Ie0SM+x+CCWXK1wHTz8mkZVHnB8CBuZ5qC/NUM2e2h8pZHRX1Bcuik
P37pQh+uCvo7OAAuQ1gu1nJbd035ybXqZb8QoDgvMv5WAj+79m4+nH2FKQhda+wUYy8/PWDRk3de
2DD7Sub0rgim7o0Jbn6wR/qOApV1ePiTyN+MMSmdp5521Kuh/9ndpWrwp30z1NYhUf60gt9d98yb
NR94FGA6750pwflfgQLPkK4m5DzWYWRmSlzl2G3LxAP5bgXmRnEkw3IFH+LW6bEe+rYnnhLsLi9t
YjPgsNlHbsKiWbEHDMkYd7nJF+j3/pk1td2u9yLPGfgu31VC8dDGgL/fBiHtM3Y19ndhEFSvS9oy
JVJLVBzoijAPoddqjjLtgBeYAglsK12K/37Lk4bnPkbb4FQ6KZXAYRTLL0mCQWRTEh28C7x6eHRA
aH+PycB8muMgob1Lc+txUoF3vwnJib0HjYquXTrIK+ZeZmqdat3XwW78Hw6HvXTbEGIBgV7xi8xx
+rNMhuEYNQV8Th/X5l3kCZqYel2SEcmHilXBokUmK0b/wpvffl+SfERSpfnMmKUv9wXIgvzY2L71
RpsAGYG095qDn6ak5nlM3fia0uUdN07z1NGalRxZ0/T3ZKT9CqFEfcEUGdvA9uf8In3ffiHN0b6n
ttDvtReybe6Dih6DJQontcW1XdEKZo8kYaoUADghX4k15z8fiv9iyvnnmVhAwLI5DQUfZ+Y/hBTD
xOdE4zFNo8eJNVlkucmPbjsn2cbQSMQggP1ezn5Z1K+jt5YqNGoqr6rC/7mJewJ6S9uQMsgTxrRH
UfQ9duzKm7wd7xLb9v/Dr/tnB8vvvy5sExnw27qrq/3PR/haNDZj5HamsNbKj1E9KU5C9fjgxb7+
Ovfao3B6sX/5edObfdmKgaI77HVkYIau/4x+iHIa+3l1+M+/138ha/h25AK5CNw1UvkXZUGqcUqS
wGJ609HurLzUszZJU8xPxvLMXeQmznuLF/ySxcVY7//zz/7zwP/jLfE9L+A9CUP+89cgOFoB5+uk
nTaaeAFDAdt5iaJmOH38lL8lpv0/WiBEdv4/Sm6X935tEKq1/jMs/Pfv+4fu5tu/QcD2Ucq4ChzB
NfAvP0/g/AYDBf1MuFBeAv79l/BmhSDG6ROKItw8mHlWSeqfdh5H/mYzsPUjFzGPjh2+9jfsPML7
862DqiclxhD8RGhvvhPIv9w6pTRj2zH73dJQxljELikR6CsK0i7lUAbmMkE1N5wyYlMc5dg25sZK
6c16TG2rAsZXV6V76qx4qK6da3p6qOcpI4Evhx48vc/o48WJ5ISrLY68tzEt6GKpk8Uh9xM5k36Z
u3G27tGMrV+q7WmCwTfqva109WverR7/3FGW/aAcp9OnOKHFbCNVXFXH3CfDcZWLyBDm0MEc5JrE
N2xULVkdI0M0sNhQLSNr5HemMNclHsghkkZoUyrgpTcW+6B1xc+Cqln3vsAdnj1o+vOCA+dpDB5W
EGQNz0UJqdemZVXucVnJLtt4S9rdF2LACjmljRFPUVRN4y6wY2vZeR0JY4zbmLx3DV3x+aZUtW52
adsHy6nILU9vy3bJFvQzioJ2bZt77d5LF2odlKK6wtnOjEqD+6LmiZRtFsbq+ZnGvtZspyguwy0J
hWY+4gBSwaepy1R+ZCYyL8dq6voQ+cmwPZj9rvA/UfIRPZWpFUL1UZUWD45jmuBqlxXWaJuVmSiK
HtEa2whQKiMANeptY9PDYbuJm+x95hblpnPDgA7lQMM4sJyi33neOG3botyHS0TVIZoJ0O4qi5MG
OZ9KPvaK+RhcR+lWD3JwPN4NGubYcjmPQdTFy023CMMAJDWBt8vKZt2Ar4TQ97I09nRtmLzJ3Rib
oUTmEswcbXtI8USFqfRJTnZltCMfA6Kll5h4LnOcL81PUXVUB7nBrPNtEua6OdVL7gyH3F1AR0+l
DH7Vio7gzeCoMNyHHTfl0eqUCohfNU59XqvSx3azWHmWH7AxCP+ly2368RjFRc5Pi0CLYHwpe/tk
5DA29q4qK5lU9HeLNocdfRgsV8YMSQj39dsq9xJ7G6Exmq+OahxyKjSLRzGl4q2HVCC47j/BH3W9
ezcGRnqkldmviJ1jLz+Pw2QhIWctJmxKPow6rE4JAGhZkVenOkQo3ct0xriFUWssn3pOo3i6obcb
cRf1ASXsNee36BIIapWx1KTVJB50O5fEoXRKM0u4SnzWJiCkHp6avpfNvspJYe3coF0oisGKBLsk
pG0iPWMAd4pvNgbq5ZQwr58e0MSn+AbHSEnAL1ceAjnSh3vfOWG5MLhCm75yZWkyy5mKnX232Eq8
JraNt2nmgcRc3W5pca189g26CcorT8kw33doU/3XYezq4VTHvYm2uarohs9T1tE9voniCeHYWg7E
Wig74uhmfSsCKlL2eSo6fwdBXnz1miikTqcekm7v5e2IiaFC1NoHKUEZ0pxwjbadmt1l29MX9VYy
E1uOdN2E3aUzQ2UfY2kZIhZBvfaCiXiApNd7EQpJWxVqO5rJlW9I55V3s8QxZng9GHgYgn6WvaRf
6U4HVV09Ch+n0tYb6b9NPxP9bdvNOASix7wTuZ85radoUkLTmdhOJJQOTl/5clN7Jnd2fR3lkDGH
iaUk7qVXkels0/acLl7U7/qwHSufDX2Fg0C0ynZPvuP/0EL2NXIfTv8b5cjCfXQdjwZZhrah2bvL
FM5bMg+e/40/GAI+KFxjYexpC7PP+05/C7CAkf+fyv7FRrB5nOmWrO+CeM6oX7Icq3o3fk2bFIoZ
2bOkGuriIawak+w5Web5gdG/5zxjaR/8vSZHY7YtRZVJuXOc8aCyLKtvuwJ7Ecu1R19wx9jU36ii
WtK7YQhpr7NC/2mKQBXsaMIkJxQRIP1ldQsDhC5IxSVgTkUqwCOER8+vLL6S0Oh+JrRhfXH52XpP
2GWy9+RJOopGg9J+pX4yLW7TBQHyxAmRLEYQk5l4XsKY+kdWHYKeeTflJR1b41Jmj4sh90TwJl7A
WZy9IPFjjrxll5J6H6yBymK5KdCWyuNYL561LYM8c24MjhyXs0rVR2fRD03wqMzQoZcg8meKHmA7
s7YdM6X5yA7BxMfMeN3nsVxxrPRkVVBm26GrNyqyPnXV1HDwyTKzhLdWRdryqP2S5YAzMuEBSzCV
IG5dFdlLR1mmIMqQsNfeBjbVX58dkibRJiEi0m9cZ+KY747utG1AAsCOxpl1bIqSa64iiYrDnvH5
fK+NJGWPBELuAyLtbN/WWQV9RCjVZ2e/9Rv3Cy7N8pUIfhvuE48h3W5E15E3kUdt1dbWBTa2xKqj
9DZTkVI3qrDGu6n3ZLkPFnuMbyz8T8EuSBlwXUhCcYxI7ZFbU2eLCY9+1KbjNralim7iQvTLTVo0
lI9X5HFwZsgp+AXvw7xGIgCFAs/PvmGNqR/LqirLiiespJvIyoV6HZm7XKAKlHj6uRKvVcV5+TJT
L9q94EaTBUIzFW3bZMRXccOg9Nx5Ic09fmquTL14xuG7CYebIo7ycMe+3hoOBBo7/TDVmROTMIJB
8p3cBsrmQL0JAUDRVebMaAyAgUsctjr03lAgkqOUVzcD+Hom7rZT3YCRYHLol1nuHidW8uRG8nL6
HS2fQ3ds0zrTO8zP9LPVBEeCgS8QQGEdKSb7QU6Fjs6LI7gEGOiNwT500kJecDwVaHGUGpMbI3kl
BREabJvxlVC87W2GISbvPbjL3D+ONTXWG+15/DechvEn9xuXnsZY+KO3q2B++v9ng/6jR8gDKcOI
+r8fx7/U39+rPq30nybyv3/XPyfy/m+YWjBl+2s1KOdstv//qBHi0MAwnDIrxh9sKamZ+ffJwP/N
WSt9qDvGOg4USjLI/9fRwPuNlgl7/QeTfIRF/+8cDTjrr17+P5jT+Z3o0/IZa7NFd2guWs+3f1AB
FC4PhB+F/dmfCct5MrF3CAKUVGAEwm1DRTv2K0WX+iv8FP/qGu088Mt7h9C32mNHy+2uG2t5rLDd
vYrRzPeou5HaBFYbMOPxezZcvmLMHy35KbPGEo1x8j5FSRV+YlkLfoEFCl4cSfabWWt92yonenVF
OhwQhsa7IGhYj4UIILvFvvcJWdN8aU1cPfO+ircQi9Ajegt+9A6ZhVFHSlslqe6jhi5yn5i5/Zb7
NH746O44eQW6eahaYAO5dcBaCGC8ZEzkgMG9TyYfHimfyROrSK+3YRU6h1Yw7aIwsLyjPxu3l1di
KapqDyPdHK8WMqUe3boOd4ub+Ydi5HzVD3O/9RyfkCgHr0MCUuZY+MN0G+IQ/GoPgnxo17T7Ug/z
cSKvt8VLn30phzmeb8YwKIjTkeOymICDcYHRkMWm3oM2GrbZ0MFUCNa1/lD1fAz2Jm8lCpuyK/vk
V14X3biZF9/6hfq+GAsPdLj1LAx15aCbN1NjrIXcUl6HOINVByPmpJzU2pWcNZKdlQkOgF3ZrJo2
XBEnb0ALJyxqh1GI5K02PeE0U2eCt1h7D2qYnHtI/nC247Dt3upmxuealRDKNxRtNj8Z5Q5rKna4
HQbV7sH2VQ816J2cUH1L+Ti1BD+1BB5AyFLuqcssnhiGztA+OyNmDMWxOE0Ym1+o8DSHCDvsBZUj
f2jrCIhPUcXZ2XXb4iSCfP5k8PRFKD8YBLZgkqpb22ngjhpfcrSl5e+G4SFIvkW41TGNka3ZdumL
IJXlYs1gKM+KOcITNGnzqouk2ulsSh6xYCdvXFDzyHHKb59t5YrXj3e7dgA8ga9CLo0My3JG3cBH
TmAc+zXan0X3eKVhLs2tBzbUqtPb2njeTgd6POQov7dj3+aQAMKl3K18b5Lc666+Wa0hce658z6N
RNPs5NxlZsUz9QcryvTJ9B4NgkmzxJfG8SC0ZHIAu+CPS6w3zG3Zo7oDSAJliVfGtOzv2HQzqqyq
U9yUDK28SZ4cTX1vNgQUjBBOuYlLMV/lPDJRHge2wPUCnYlhUz9908HUPku7ZQRLmwec654z5p6z
gj1tjFCDOkxZnR8xp0Q3Ute13oWRzTTJOPltGEz9yVO+XW3tRZM+pmkeXiO+OlSEkcyuY48WHwyI
q22fiO4LVGbCA6HOl0+epflMTE1Loe5xIVIrz5vJjiJ5E32H52bk1ZO8IOPHdCe3T6LnHsjnLprv
BfbUcnVsMj1lh7w4pyrLSyZjk+9/yb0J6zsoJxRBaSb9Nthu/KWjhPYrQ4X2Xcd92h1jKyw/17IL
f3qob9T0ErAUSByDeoEmZr9Vpc89XPMKMblnbjbeJUiRkADsOYo3oSuaN4h34422p5JC+1awcew4
EAO8CeziZGtD5lcvECNglKmHoWGIJqjiuiaTxJs661k2h7Za8p9zla5RYhL/chOza14pagiyu4LD
8Z2qLRcfQZZc6C8XZ5JBw2shRrASfsLYtQdrVG1MZ0cvXM723vYy+nkFeeqvNifNdiMsb3zJCj8I
99Je6o4BU4evU4fgPyS3hr9ha8bFjz+RpvIw6tJHbemVeqGwpct6Th7rLOKD0jVXiPQseZ+HXPq5
juU9Ln02ImNM7kYtQl4cYTlXTA7BiREVH1ueRz/yqlppISmblTGwsCN9pL8FdKwXbVfZ+7gwZxSl
Xj/wxSauoVJFhEDrgK91rX2q9QIxLLcZd+zyeeE16Yabchy0vFD+UBxtm3kpFw535VhG7KXqcnqR
S2mu3BL6ax6mJHraar3CvBVUEtridcy9+Fq7NvXW3JRxh3uXv26UI3n/hYVxqwGmPIo4HH8i8qW3
45ot0saoHzJYf5pKS/s0JobvmVKuSssTrxBRWOTofSdcMlRnkU7xNW8beawDTQydT13eSw4G61Gt
2WvqUY9rIEHhh7B+2MoToLca/WH7+lhxcBIVR4Lo65k0wMJTlCl4CeFEd5xsoHBmabSpK1kcxxS4
l3Lz6aW2+NM5baT7OsDTKxL+Bp2lHD3oOYkx9ZOGqlpcqjWt1m8fgSfuBn6ZlL9wpCD0rOAMbXUJ
p7o2ZvqWw8j0yANyJ+YhFwC5nPXqsTn7CJ6PzFbGaSMlL1Ixa9h9fPcYrNtT8hXRXe1kEfMcvpxT
ZPDYzWGzle04HjIuwC24MxIhdgeCgHd/X3MouYxgpKg7R+DaqS6n2lRH8v7DoMw9QHU2fV/43smV
bYooDTYDfdT3NsOJG54Ics9dJ48a6W8v+zy6X5/PzwqU3Pn3Fx3gu99qR+Z4PIJ0XQarJgg3Mu8C
vsMX3Wcq+XpCkAMryYaW3Qh3PQP6Q+0UvLkfO6hytnjEaj4KlXPxqXmxbsdMr6+YQR//112v/FEw
i9pVtm8Gch4jxeixJY5BL/unSnrhqSdA8ExBtfU8wwEE0RP2tA3Pzn3euNmLIt//iH3Nu2rKd+5L
slcnrO3C2TTZ/2bvTJYjN9It/SpttYcMkwOORW8CQAwkg3OSydzAyMwU5hlwDK9zH6VfrD+kdFWZ
lG7K1L0tK7MqM6lIMCIQDvf/nPOdlmZUW7ZBXY/0PzJFuByTajiOCMcnXA3t0TGY5eVT0z1XkIrv
mIJBuxB95yeqWkC+wW4pIJKp1y7Ln2Kz8U5L5IEwQQ06rvVgcxaxjaOL6BxqjR77pFTmK2suJ5+4
NQjpKXMuO8oV7/rVnvZwK9NfBQe3oOwYSVbk7UK5CG47vOShRUrgbJoLyTfscv6gLWmY4yDzHQMH
3mKsMmyWTeWXloGw3A8iQLDu6Lju88AlPXI1avT1IjK2+2mMzS90olch+zgvyLUxvkjLKQ1xctu+
PhZwinnonT01efcaD0JkImiyl22XzF8bvNHMPmP5QbRrCbmlbd4kPrqPEqThFfY7LAlLqePVHwF4
uU0uAeclhntX67q5oXQq/c5I4KfsIvSrx9+mBRQeRV+kvkhWtj7/1eD3G6HoeAwaDbelZ8+Fxsgw
mxXWwKrDALK0ThLIyd3yZyq2Qlt0bABi0SRfymUwb2Q1lW82N1aNCO4mKyyiqL0v+sTayKKZ/mmN
0lGdsMS5r3UkUOGq1i4/eBVOQz+qu+jJKdqh8xcmr+lumqe5CJo2HZv9UKssJgDSVsTEdHrUR0OP
bplddScRmU7KULEGwSDEjMWUMilOo3K27Q+YZ5b0AFo1H322o+YaxuvMGYLWG1ZJ3IjlVy1ps2vW
sTU90AZuxftJVAZklG3xniabJZ2BBlvUrDSc23Jd+xd2tCxJOukiCcUoLe5pqmdZmYpUWkddr77h
8kAYBMowVEjxjDwzbkFETypGikGdM6jMY6UXeOCZKQey0iDyyXRgIuO5DMZibGH0J3Ub5TYWFRew
1wRf3bDYW1aOg3XI6DUHI8rDIgnMPNdjdviK4S5Bj/KQqdkafcxfzZmBWXTLpCXHWWO58U3ej/nt
GHvuvanhkzRgMtZh4lgMfFYiFWdTpIncGQ54Z6hBbYHPiPX/mBgMCHsRL4G20gvuL248p3spCe7g
QZ242uDOnMqYBUs7aEvBJ45Iq12bFTaEi6LPbcX7OLWlX0irf0nJPnwdW5s5tYrWqTx0soSlFzki
P6Rs2Z+xGBheULg6EzOiasaNjbkhrGIn/wr0bfjS0wF1YlAzOUEJ2G06jFOTb+kLIz2VA2AdJpJM
fZoWgIdvkVs4LyhFH60+ZstAZqoLSfi6EDZiE85lji2NSbFp2+dmqtoubDlpphzpCjJZLAcjz3X8
D1AG9Q4HbF9l3QRtytTejFbO5s5pvDXybWmBi6n0aMPGDX20XuBa9uiJmioSpmyk0dhrPesLzCmO
Gb+xiPK8n6ReYDJEuqtfZNZyVxA5ivs7gpUF1rtIleO55qmjhZg780spLOLQCT3WTmg3c/3Zqyfj
ZbLd5czwSHAwtsyaMyGgkeQgh2l94EDbqzB1xxFQG1ZXPDNLYThAxIzMhMTmxuBlYoh/RyIVeh1w
C3TFCSOemu7SsvMqxpRJnR71NZlJEYnaTqGZRc4Mz4+tsJ/FPQ5nhDW38JthjbDueXPPbgwDbOrD
ndSvEhwbeP1kAwvSykaXVoss6U5ox3yxtKgCl9Z3sC7zmOTp9TKvZDngHsGY7IrEvlSt63wiTQIR
qR6KdVd6c/G1dJP0CYil9WmltYOz6CzUZTmN9mflbaXmI87OChzuWkE4AT1UH520xIkmC0Ll2BNT
mnjIpn6FCIQFeGqK6rJh3YsCqfLqWWGHCxzD0tOAO0tdcag1DkVld6fWLJlvE6DRcb9E9dd4Xhsn
iL4JOU1WFs9xmckMfx8y1o4YdZ8FdjJWkrAwPVczp9QXZ1zVtRrEnO313h2DxE6XpwwvxZOzMh0M
yEMZuLQWWnz8qNApAahVtU748lvBLpXvjr+mHMoP5TcVKmoWAIVeJtwbs14oCOnbeb515kzDz5dq
b15rNh+6IjIwF2VGfNd1a3ynQWW7nwDJfeUb4AAdRbTwexDFvtvJfCIiZ+YfFt1RH6e5Hb+uE1ss
yu3M89yPgI5KbCiAUWtzHXcRje83HFyBfbamWo5tItvL1DDxEhtO8iy9sjR2hotfeCcZwn6a13R6
sDSh37tLL1/6VbHkuUJdRJtMl7Oc+GsFHnqJO3kkn+R86ISqSb7i3iAF2nk3M7bFwgc/69x0vTZ9
bBvbDCdXsyWZ4Tr7hPOpOKDILA8ubraXLpsxV2LOuZrZzJzRy4Exa2a5ryY1XLRerweeUWPlziLW
HGw2vgGkme4RhhX+6K0vCHPjrsHKm6AZdcmFjorsR4aor/KmzENHzhJcS4f6QWhYXSZmPX+1a3u9
Qzlr9yafxMhMp1d7R4e2Svqr29uRNR+7OBrugUYOAbX1Xbh1ot0VQ+G+zGWcPhtl1FzIEnaniCZ1
I5uUwxJltWwejZibupvOfFWyO9Odx2MzY8ROnEW7cWdYA4ZXikCMAouwPgCX0cb2IvLm7FR1MDlz
QUC9SvKELB38q0kb0oNpDh5bQcxG7ML7q9mzsGl3zSqueIQ4F+kiswczISCLayU9DhpmcMTFaEdO
1b3XAfs9TOhzDzjRHCbNfKV6w+JAbfgmVMFsaIcrmAA8UhmeXTfrtF4wPxsvItN095HdRmedY+8N
zyznNmGVf4I5xabdVttme4v2lQ5jfmmsdLLoTCjsCo9ho1b7o+UuxL+S3gm0wULVr0j93/F19HCf
c1dommv6OACNwJwR0gxkIN8oy+E0JY0dZtjebw2adC762sjP9iIobG3r7II+mvgYy7S+iQwLI0Ev
EkkiwkqyR1kT43XiRXCU08eBiN/U8gxPin2dxMVxngb0Xqjf1lskRHkqFIdvNUXrpZZr9qWVVsgB
k94fTYxiRzZWZr/T07R68BAb8l1BvNytDjjcp018H8Fz7Hjq4CzlnPpW5WmFTlrmV44Rt49U2bQ8
aMU6PRp9y3Z27bvoRmpO/NEm1xoms+Wd8wp9cLficz5bVUYCkGo2cuXxcibzGT2y5laBFKQBQwQR
hkTDCloTwacERGvD5TUlWh6Et0pc2UhdnyVe3utv4KiqdQprX+ZdTpq7WwjuxIWNyNKklOgknDZt
1q0LJzLTsyTIqsGcqrYDy1IZz6McrB0hooo9ICcjAj3ppdVwevt2Wso6OAxusWSvlW0WBxKHnGgs
Ctyee4tprm1qTyuM8btY5hy/XY/4kcdQiUNQevltOMBDfH6TPOAodtVG+0OXciDua9DKNNH3/GWr
4ths1zrjGq1Ep/g23tNzDnc1jIRjHufbSWobk1XzzGGTJ88JaQ63bCbie8FZ5SrHP/BJwC59NBm/
fAJJI0OcB32g9bb2iMzBkLhj7MpcLTuYIhl3RY57xG2Qg3fL1IKtweVyEevudG7cBNKBpuHNcJoW
qHreP/auBEkMt7gkwXEVT419XmDQvKFbxqh2DqCsUVmB8BrWVGygh7yS6/U840HAsj96gcNU4TFu
xPrZmbD+902ZcGCT8+fcxWls5xxQsVxwc8P2GXbb2e2V9Oz8mLPRfsgT7gM2Ogw9mRseOc0OJ8D/
vGtdvumAMjPbhx732ZWaCfruoCOzKXY4+XYtIwdbTmydKQR1jwCuuzFgXGlHL/8ReH4XePBVgVf6
nwWeh69dnDZff5B3fvuZ3+Udy/nFQo7EU6XjxRMYlv6QdwA5sZXdcDyWQS0hBth/yzveL8LgX3k8
yzmIE0tEZvpD3jF+ESDGLZ1ibVc3Hcv9J/KOyev5Xtzh74IltdGk6IfEJ7iRq74XdxrTavJSKCxO
F9Pqj/7il/eciQjrh7lv76ZA+Hkws/306WTYMycP2ufv3rK/iF5+gw59py/xvtjS0A0OXxvyCr3r
xz9hgfbLCkJiLzvRyrD1mogQ/6hxTv+20/pHKyZkpXeXemdza925lXZZs1GTzi3Ukj3w/cZXlnPh
1e5jBR22bxHK/+YFbgbPdy/Qc70t14qV1nGtd+8xygWojO0FbqV71GzAorlkkhFaPt6m3Cej8fML
UmT88yt+a1/7TrKzq9Woih77cklw/HEAE7tfgasEZtMvoWICGrKvSw+VSyAwm6rklmNQ/sLoQPPr
tlBhWzbeXg7DfGLc0ly2Gp6hnbaW+ZsiVkg8Pzct7bR0rj3vIgwRGFTSLL8nnDesYdpPrcaC5LVO
KCuYE9uK1DU8nLzqDSEi9wWUgmuvNLTdqI+j+mrmDWZ4NY3Dg5kjIOzjfoPTYMBX3UvZrQZZycgi
vrCL8grfko5paLmp8OyhPnZkA8q18uSFS278MV6w22JoyYtgGcfqjNlE3c3IGABoPe0RzOIzk4Is
mAEu7HPs4hNHgwGY+GC0GUwXw3pwIm1jVNsckP3N7HA7o/pAJCRitDLSEx5mFjD21/0slmcNeO9V
UdQx2zpjtT83aeeR1bUy+97TXYiURjt9KXPRvlkdNShEekaAvCbetTBu3eG6x6bhEpJiKFdhDtCD
oRhrONJm5D3qZFjuS9cYGcfEtvZckpZb/WVaVXuUCe/tReVoA6Q1xSHXT/KNmjpqvcLrpSiSxBpl
rt0ZVv3wYikAzv7K8AjRLNJtHH3ZEp0FT5kjVQmlnxo6zcPK4F4wi+YMbqbE5APrOXDmRPoUe0Y+
XqTilp7K5biYcFOBGqiAvsCSllPaXiqf26tBOI3NdWcBQr0ee9DxUlmyDc0GggTD3TJgwdGPcVlY
L6opmZN4GqoB0xfmqiC8a5jBGsBmNFhsbLtqbLoHZhN9fI8pKm59k9GWhzrRmCE2TFCkqyl9XZ+z
oHG7/iLt0hgmTzom+0QrOHroanhumcH7U7nlzJq0J2mrOBKrpofJCtNph/pTlRfMvkftDQ50dfby
VndOeCfhyo7pcJ2YGsAvnVz1g0L/WHy4GNFj33rrvVUJ76O1iuURBKl8mVnMQuxVMF/GUj6lmjY/
ULZhYBgzJv2x5Kwdzlnlnoo5b6/mStcZ5+ftE+ba5VMsluJLhuP+RG5quAaIFN3g7mAPCBIJ6DvA
UGcPeyG7i9SSXJe2Zr8iThFyrTLjJu6d9VPcd90dhTldkHqiOCep1h/duYPu782Jj0LZHNVaUe6Y
5+5+EOuwn5tYv9s0eACqVb6Bx8QCN2Zlqi7LFiKsIuUo3YYslT2RcRDrXtS1w51Uzn664iaDm8OO
mcQq0SLvS5zD7MXXYoc6IzVGIK25M7pBIp9AUXXYKh/IQqujy8zjKKbefBWRAm0yJSURUGc5UYMQ
nxqn7uAHx5SuuiIOs9LKj46qo2M99lBaihQQl+fA5yCuRJ60JmhL2E0kRH279eSJsj9KrFRH9MI5
pPykuEgzwultiWcAqp/+9PMF90/rLfWtlicxcYBs5IFtY8f4/ikazW3fGooiaUd1e6dq0YXkg16Y
F0KIYEFVtVPzpVrs63R8jEuiayTVEEC7+Nbhm2hPbhApkxHxA4Jo4mXh0GFHKEl63hfu0aR9tObN
G71P5aTvu46lSB6izQTnCoQWCHMINTXp21x/SN35oCda6Fk3Q4+HkNCDk9zKWm3uV8Z0M6aEO1C5
u5+/A8Y7AzmWB9vediPsWAzUL+9dexbuEWtaBM+4nqbpjIOxCLdWQztwaBhffbgBzeEfIkuZz727
6LsHqyZVJJmptZSiFY8OvULBeuSrHVJ8v3VE/n2h9jsrzLsLkoF69zmXtdm3OZ+ztUJnLbWT1J6W
RF0Vgx78f72hjHp/vFRVYBltPF7bVpXt+EWQtCEghSvO8rv8wcj+dm9kvt+mbO8m9y/GyG9bzvf4
jXZWie5gj2ebot1MgKYXfw4ocsCpvuPpufeAHto+rUYBS4QVLkeD6Z3/902VbG5/2C69/zu2D+G7
zQsJO8c1k6nBrvBA1dJjJj6Qq/n1/+H9/f7VvrthAV6086J9e7VzkGqCDuT1uL3McvX2MZveOBCn
b9f8T0zmXxtmhtvpfz4pndPqtf9fh6/da/qjG+63H/zv4xJ8GmwEmCVIG/Jl24ra/9sNZ/yiE3TZ
EgD8PywU838flwwbDI0hTd2gHE13CM38+7hkmr8QvcILqiOqOWID2/yDoAyM1B9vTtsBzupyNMMJ
B1SLNf/Hm1PNlYcdyKarj+FKFmRLOST7QltcnnCajSgkB2EM+6Zc3TwYUiSCsNpapWSvmQXgfand
rhCdiIh4TZrvO6XoQJ20EbQpatWohZoamjiEE1kxQzas3t7hkOrnqwF+TL3rPDwUUCvwQhxNdxsC
L27UB2Vsl8N5TFZtfKJ8zkp+Jfw453di1sZfHacdGuwQtWjm01TIqCfXW/PwVLOadb9thra9ZmmI
63Cp8f/ftCiKN0SJl2vWNTAzFlRH/KjKHTbEQRK7G39UT2cfaqdlnVAhSOgYleYQdQDzUPvYailD
BmXVJUEW9VZxV6OnzDyrGoHbpjUSHfwaQMV9qWtaHQCi05fdWiaTLnamVYFZPxYQQwaHhKHZNxxe
gLUGXZkDnIeqmFqfDdZGeu60dYhD8t3Nk5wxcIfWwq6Jdmg2IMRA4uml3FTSixk3QHodQajVAt0G
rLUjDMxUeNgKnE9z25X9B08mtu0zXMEiNqH9asdK6zHgtkw8H80ymvN90jUFWhdkvOcVIwim6wwf
IRtKVJ8AHAr7GukambsHqeECbFOj5TTnpki9/tbWVc2hr4nbrXRi8pyDNCF4HjOSPewRlqQn2dEY
wrozKpt8YkvBWbbXCJWy/xGTK31B2WBE4ZtgyOYmBVEhgKsznXYp/qsdkrwNg3E2za0kS03LQ+FO
a4+pSuUN3hyTM1RVUmP0lhmb92HsZHLnlgUjZKr1vNe6KxjyEdHEdEANp1ZdARDD19H1vWouNfLt
+nmWYzJss7x4uW1cdoCPi8loMOgL8rK4IIUW1sS081PndppG6UA2eQcH6+K0WwqxfunGkmYXwJYP
tmNGImhXvRNhKXK5BAjNrQGKlW3cZ9s152dK+JZXB/UTzgeQQhHkxWoPzOzBZvDOYl07rKJWFJFp
a90egCtBPktLJ64eSQpHEd0O3pjeiyQundDr8roONMH97NvrPET3ZRe5r03q0F6VVJ7+BlYf9Got
hOY8so7QKNkw7SVkxDb7I4F7nKzJDN531ywTPCAeYoNNTma1iGrRJCJ2a60RCNqlreahCppxqfli
VvcTG8c0sEmFWTvi9MZTqkcUXfBlpg1i5PsS2mrkY2V+eplNWPP5gRU8hcCBQhtKndzOnqLsAkNp
yp6dj1D4tmlq40Oh0pJBTT+akkBLp4arNWriL8K0x2xvU7+U+ZtmEYf6aHCIWKfZtviT4J/eMeWe
OdBPVrns0qVNw0gX9QFqnuPrHZI14VnKsoK4wYC3rzq0K9YcDaphtHZVsp/6wZgvSs7O1rEiJ+MA
Sm2b6rJcJnYFGoG9jrXLjQxCaTJfL7oMkR27lVT2RQUl2jmIzPXWwFHMPE9j3ybLoQFEM52ceOT2
2KV5Ms71NaPxfJPZgVduX+HWDiYHYsRpmhooQPCIzBqWcLP0R7sFLENygtDQThtF1wVASgQm0kTG
pr9otNk851Gz3b1eraU4dzvSS+d4Ida0ywUdgHRJ2kPhK01Em201qzuxU6bDqzUIjj+WsduwFGut
du1hClhDkeIN3iUczzJG8kbzqawr17zRR3g7O52jXOVX1VCvAQG42H2YOy/NDpwZU9sfXSnKy1SV
GhZdq6/RjFDraH3sXAitqvfs7DJF56dNFdbCfIAoAv8mxFvVR+G6gkx6NBCDPVIVDOp9Dfisdm+C
FiWPY+OtOKIbTeoAzWRtbpK452OjvsZzlqbbablMnnC2QahFpbHy9EgqtS0vZl1O65dliAvOmOiw
oGioONT2qTEtmFFgr945THGo1Igwwh6WdkqbYw56JcPPqA0eNqd5jq0rlTCRv+CPs9W+t+wI25ip
2v6Sok/uwTya+e8e5x9rrHLmot3pg1u2N1WW4ZHqq9Vz9hv0Jg7rZVB66CllJbdx00b08dQmYclT
JaVywnhqkT1sjzRbyKkXRYMwBgN0uOX8cylHaGBaiUOQIo8UNFtHM0pglqaWXTEDVCBMrZLZeDbU
RfoZSCtXL1dD4xAx2lGEk7xBYTtnQzVaFxSokAZiyS11mvogRIfe0K4LGDFvWu9y1azWRZYNsGKd
keXycsywy+8oebKzG5a8Trszoog6xMGJmy/1rAEndZCHvlZa1NHimFtNsyN59pKNyxkywHmyp745
dKBl+yuCtNhCaOMS2R7Oh3hujLgcb72pcEweOdhSw94ajXVvWRGFhpaWT48yJsca9o2LobCMcoMY
UaNVoREV7RJIp3aGqwkFZSSFbw+Csp6BtYOX1807kWGz/Apu4djjQNCJpPZ5tfoo2Hx1OnJcz/j4
6pBViPanWuY8LGJRz2/27JnRHtbGZmws403W8UDmAoNsNvWndjfbqDOhbTQUlcQjJsCt3HWoA6rs
+Ah16unI0M3IS5vJlNumJgdaBzbRSbWb6miJMWB41LllWSyrC7Xk47K383R+7GBX5cjEcYxdJwfI
8AZXjrsvL6fNEIQdY7wYFoATv5otsPR9LTCBB5S+UDNSQcmDaGHVGG6Zd065B8MCh8XeNOd1Cw+R
BwY8Z7okHEGSAVY3MvYudL/UIc8nbOQZwxAXj3DZZEijIpkuVFq7RAhagBiHvKM+WM8tTwNA444a
gScrU8yympyVwczq0WV1HmbvgK2RfHBjODn5hsUG9zlYeLZ30NFT+J+WO7zS6to2+2XRBr4Ldmvg
RsHl2+QsrCOL39rHNR/b9p4Eq75m2qZndfYB2dwarpuCMxgBs5xvSu7SKLX9/q5/iLAh9RFTSQ1H
4zTJpr5VuPWXwIXxC1Sjmjr7pmMzluC+siKIKHBFZuOhZ92ixA537Fo/gp7LvI/UEfKp8hIydoOF
nuSkPtqsu20xS0Z3GSG1EXUN0/KVULoowq6DjM633W4pVOKxkhUn4mQYazu9qu6lxBd4Z+E/6T5k
iwWQd4gWg2yuW6Vde9DtmbxS63p1SOgC28TAsxMz28I4mFAqHZWoy0wP59uoL6rkWBHEWhgWE+x9
zFzywBiVvdHYG3qeeeHoUXl2V9AciNMMMPwGMEJBU1hkjBX6Sa3Xv3Z6vuQfy4oEw67HCTZmBlyF
BQAOkUjqqtuDskdRHjG1zW8TKXF3p/Mrpqs6nvXllOHOrh/cSWvu7b7VKR/KnVqDQpMsYBTH2kjb
ZyxbjeE7qdcSPqwVLXBRTP7Sb9JYxCQw9KHYuwz3fbc1RBlg9GJrhoaJdLpiupoDGOj6etFDwcIz
q5UWQcSRl4xTpVz7vdUykCUXXaZ02WYFlug4xcgUrERBaAIYWnXDZ4/nhvIGdvGFIEtHtMAyjUss
jTqtfpVB/ZtVso9/pPx3mM7UwfONX0u2R8esAoccZqPR17fFYmlqG/2eWmDLnzWnWJhALXWmjlor
zUvaj0z5Akq9N/050vR0704tCyjKQW4fqU0iE2SaWBUv13Gckt+GK/85iP/LwLv9s3M4hFiKBF9/
OIP/9jO/H8EFJTLEynTX1NnCMgjigPv7Edy1aKWRIAVZbWhEsQzOxlXdDcn//pcJ34L/QLGwbFQ2
6XwnWHKmBxRu8690ZE7YEv/kAA5A5scD+Hbyt0yd3LRlu8KxxPu5zcS3Y5GM5h0Y00u936CaJoEN
wblnnClyNOAxdB0wJBUNJYFSRbhmeNMrbAWhLYfEONRRnkR8f918+Uzt5JC+Om7mFiFpz8m8dMFL
jdHOWVsvBrdqNy6hmGQpV9/Ag7GVy7NiH63E9ih0WGakncBs9d78WEkOs/dJmuDWa+zG2Dpia9e9
zGoHhQOImnEf92vWfVV9nMnnasagc1WsSgDFi7JekCsV+ZpmZ3eyvy23A96Bqw5REZRoLk1yw1qD
rfKaYg/X/KrWDPs5lZC1dXLJdTv3MLu1AoOawVM5i8mwXSRVS6tENcoxhgJlCbWvy65z7nA6ig1z
lRL9o2czt2iafLEyfSSvm5dRdPYswGpXNNTpxsbilAAvVsMczFeNRoroVfKKlnDq+syofdtK3PXz
bNKFvh9NTGFPMPB7bHNlU2cxi24yd+Md1oSouDWor6gtHIVE7DfpE8sS+zO/iaMkak+mq1g2YU8v
A2jW3zaRE3MWMtQpHYvm01o5OCZ8vO2D/cnjQ4bWaWTsMe7iyoqLs8D1QX9hj1i1H3KVLreJZm+E
uX4Z55Ygtsr7uylNNeeuae0l+WTFVtQgy0YurQCQRgUEWxal1yzPdO0lIqvS3XfT4g4vLsURmFHY
8M9Pk1m3Lv47EafFmewkhkMhFYMhn911gzHEZAvoc8s5TOHrxXIVewONjSJ0WY9886te216J3bpY
dLyweAM2h7iUfWk+TGursYTjghru+YKOTkPdOh7bA/Kk291WSFjxif6OIQ2E4n/5LTM5blgOto11
CZhXRX8dzXoLzXiUiEbWq+KMlmY7oWL8QFQONJ19VGSLqq9yGXO14MSurGjv5APAf1Q0WAGE8yIE
ZPxpa1ZNASj54tjTsADAyi3i5shz18ouOemWks9mhLB4HPQ6jz/WLXuhQyzB7YXUJRRMyoxOsMnb
TUvmiTd9pKYST3dBMAnor0XYfJalcaM3eGXfCChtPw18nNwV3neKsqcGbLzp6xaHxJeaUBPEXfYc
tnOrj4myhl0MI5goRSfKmDFIZMamE1JLIiQOxLJfzmar3P5C6+ql44SoVGZdzF1ttRdiWFApedsH
TcPfkyaTeyI6IijaWZR0Hl08zfiEbbJnXeebogaNqex+cuddsaZefcEn0g23kIupUO40haN8oYs1
IjBI7P/VzfIhIt83T+k5teBnneq80fQb0UENvWgju6k/1QbP8dtu4efeJkJPzTMeuxT1cJHWckiK
fJyfcpgri2KjIm3VhiT74Szs7EEnZFhkOIlO8HIoS9nJoVvSL6krM2ZF/Qyr67NTJEwaxUIq4jQJ
lrMzCIplgtHe00ztwiCMRZqHbtLjf500B8O/5hZSgaJdlCPjzznW/fVJlhjtwAewUYfA4rAcLB9q
vKvFjmg/e1tcS3qqLrOkLrxPLtw7DMWVSoCfeqPmVvci0+2YbhsaYImf02j8K2qxAfujT1Tcnwpm
a8l9AtXCYvrnxMj9WLRJbkAZ85p6fhLcCFBRMvhjDuKOl3n2Y4tZc7l3AFJnWqB0vlWXEGPSqdgh
efP74qOOrd64M2IKr57V5DXac5tHcX2HTdwpPkw60YZTD6E0u1JOY9BU2jMSQ2xbW+sC+6BmXZpL
mddHDMCigTuZwDvck5Vwqr1J2KN4mxYrym+NYrDaLyPSYMFJXIeVlOdzauLmI1yV+yxweb4G1VRh
EN3la1V4cg/PpJo/k+fLqoth6FR8NXdsVsGBuqa3PDFriLv6FNuCEAxNjwUDJDMaQMgm9mCQpVBu
xd+9QwXPauoCnF547rIz7QnYpE46ZnCtRQ+kUbYZI1S2uUP2ieyxlpeX/1E0fvN+sZvZXDM/UTRo
8auS//Nf77Bf337q972UbbBh4nup266NYwuu1h97KVv+Am1f2jrCqDAsBK0/9lIaSgfJfgucM0s2
1Fd2OH+YvwCJbZh81AzMY99wAf9AzdhU6e98SWi1oAUQNKB/objQDPCjlsHcOffyvMWAKD2acYi+
+70TdQdrJKlVwbvlAFxmR71zJIcBrbj/7v26/e1C39fRvdP5vl0eIQUkGr0Crrm9Bd/rfNY6gwCy
mHjRzmQc+9F70ra4omvVV//4QiDSsFlIF1ICu8cfLxTnM0009QCRsWlnOn6MNRidtWNP5aTnn19q
U2XfvaXStRG7uZgEcfBOu6wokE26tSP22kVTkDp0x6OOXP/8Iu87ELd3Tm7RNa4kiRTr7xxzhGiS
eBUp2P6D9nk8xCE24WN7Gu60v1WF/+JDkq6UJtFlk9ihfLfdTltMGYaKN5OqsjDRGBYSUmuG3aCi
/d+8rHcegt9eFnEEapU8hy3+uxuCUIEez9i98SJmX6qTfCWaMWMhwPMwBy3Fq5V2/Pkl//LjAr5h
Gy4uS84tP94ZPAJiiFpljX1bxseFobzfGFm7+/lV/uo9xGFpM2rSpfknbwRGONzsKTfFssR3Q5Gf
FnN+yOFA//wy20fx/t7DwwkOhAeDZ9rvbnMm8J5mY2DfCTlVDlXwhG9XjwcFQyqteSPIkDww4kJ/
+vl1//wmmixHvIOSeAmr0/byv9PrRxPAAFVLJCLqIblhnbHvu6wzP/z8Kn9x03MZS1A9avEeOu67
m75HInMZSqKBBsY+eqIR19dP9Wl6XI7W7c+v9ecPjEttF3K45QE2vnsn3VS1KnZAuK5bQrbGY7Uf
NxRANLPP/fml/vyhISc7Oq9HwvvAIfzjm6fTY0i0A3gAQzLv3HUpk+Sp+pwqNz+35WJ/yj2BN/Ln
F/3zJ7Zp2BhSDbAzLCHbg+G7T6wGFd7J7bZfow2iXtWPYyTm4B9fRLqQJE2O/Ky53xxD311k0lne
caahx6D5DvVndyoOP7/Cnz8mlsDvrrC9zO+uMEpJBH9hbZrofdeZ0sXJqWCYOpHutoq/eTl/d7F3
SwUJEZyKJnd5rNAJB1nfzC2YRkgYn37+qrZf9OPXmFeFDYKNAbeDFO9vvqauzHTuCQ/L3niJs8I4
OtKRDyYsu7dIV3+Hzf2Lm0FKwqQgfoAKGe8RsVHzf0k7rx65lSQL/yIC9GYfWa6NTEst/0LoytB7
z1+/X7Zm91Zlc4to7dwBBhhdKCqTkZGRESfO8dws6OHErNyaWcPpR0l39/qS5L3zALM7BCbVwusI
T1JgZ6I0KpgeY0lmdu8upfqthNLlPg/mZnfdkqhBXeyeMOVCxQMWhJITlaxLn0B2x0EZwEYNDRbK
t31j1p9oxTnHIRcjiPmg3iMJhmZbYyWfQS8ytE5bG2SGEajNhntq0rLJ+QCeoIlE0DJQd5UTHH1W
SdPDgGUryvBRVbPqxja69ARXCAKzVjPuPD0J9zp0h7eFNfJ6n+wZyYo6s5ErMO3dUA7BwXGR7jPG
zjtc36rVX0fu5VD/g+JMDnIFPOx54OlwoVomdKLVXWGMhzDSt3ZB7PiZPz/tAs8WROpxaeqHUrCh
U5lXMzP9PgRzzVf472mbK4yCDerUHALUIGBm1NpbJSidnTMjFoii6t31pUpHSv4J8pFCtSyua4sx
J74WKOq0yj6Aj3XbU8cD/ps5ULU8Xre4trmOJWqipmmpqmwRkhYgtv2EKqcx7MLIu9Ho/haJvhGU
JIZuhkNwMcfijSA8jDtEXC9nIVDLRjelLgHg3GuUytfw4sMcVR5qGrWivgbtjthS61kP0aSOlm/X
ccdghxfoh0iZk582159y56C18An+jvq+mXUqVrEDd/9L98PkFnBUkizqFHjD5e8MlaQD6NIg04HW
km9U3X3T0iSke7SR68sBgB3BkhhkYQ6WgRJb2hFlZJBxgcr4CTdpgpuEBopC4045dSfF8P+jY/9j
+q/wV/nwx4/PHzFS9PxjjtQHhSNdQM+k+7syLXvoc8ovwM+Kd/2Q2G8qz3Bevn0O4Fr+Dkie4GCT
UGfwVqhQoNKyH6r4UxjDfFmY6SevatOXZQZiOTReVJzKMUgkbWk5fZl2A900ggJoXpAfQXDLgOnw
5bo3rGwaFxz5B3UJjocu3aVMHHtzGQPVGLwCwaEssH2lUtqNyCM25TLwoCMHWFR30KgjSkpXAZLZ
SAgEitg06Nx0g/GRPBFSV4jRwnL2uuqtN6DYNtb2PNZcWpXuupxSNlrqAgMS5h+mQEUDNOo/NPr0
yWPDX+4XwBCRPGCIjJ00pCVGc6G4SgOZNkMGlPxdhAEA5MNvcv17ra2JnJsqmpDng6/88vQOIJjw
FkR2Aqd7n6gtWhid8h0SHOS99NLe8MHnsZPU26bNYzLcpuPzl9aQlqXrK8ZwISn9RQEafZIZAj4A
X8mGh4i/SfYQUi0ND+S9qcp5cG7l1OUM6ACnoDo5bfYpje3PM6tqA+3eqd1/rm/jmjlUDRmzc2Aj
hGv9cmFVoMO0WmEuLn8C6IF5ibmp5ia0TgVKzddtPf9kCCCgE0GLAEvs5KWtJIhDpRHpKkDbXR4o
JzrPR7ROf6Xmx+uWnn8uIq4oeXDKaPTJLxjeZT31VkXISFW/9AqwTVHm9W6EiXbD21fWxGG2bMsh
L6bZJjkGksdJHA8UjLoyZObEaKj5+F2lqxUE4nb+PrdpRW3YXFmdGGogPyJvJSZKJywwRrioFIY0
6LvoO/CL+a+ECH0Twfi1cXWtmWJSlLc7fU0IEMWfn93lfE5NnTWeM1BXNDsL2MQ9Yt4MQUKMu5E3
PA/AFjTJBAxX0/FER7pPFDNrYzTdKCBRvASxoFoH3mvm1xd7BtSmKpGBJy5hSnqxhwhtgA7lbTs5
/4jsbmCUUNCHXbcij54ILyexYOoGZnNyf1fatxb4ptk4xHk72wen/hQd4+HmB1fKKT/CwQToZuvS
155fLRZFMRyeljd+8ZT5n30q+kK0SSOD9C5Q0DhE2Sncma1ZHkn0R590FmXy2lkOLThYP4fdpLjJ
FccYofYy4ehupikGF+eFULeP9M0P1EJNz4ckkT4x7FXHAVKkbsOTV06PeFVCJsuDH3VV6fQUsekN
YswKUhbznTs7Al2KeHhcUwitteUvrME+K/ZH48J4loZ1E3yRbggJlansxjE8KeUvA+UnJd0Iqiuf
gpyIdyXs5kjyiFHpi1PTMltrilzCiZNdW/8SwgA6nfku+T3AOt7Xp+vutnJ0LuyJbT779FDZFCm0
5kxtRWCvzTg+hhEX4nUjz28Ky6W9CLEvj3IcQPpWlh4rdEKZIx3NRYPrWQnir1E+A+XLw6FyYfYq
beb5PFVtNyyvLc/hLcHAkehdyPnsWNUeUm4cpiR2Xw26dqA28Pv64lZNmPAI25R44fiSwkKqdArQ
JxZXLTUapghp7mxz+HzdyJq3Ow7C5/A3UhMViivnnynPJ7g3kT2EuCr2J1SyIsjjYMu+6dzheN3U
igcy90exhrsWNRY5zGVILaDkyzSpbqsoj4C49lGpvzOc4FXkqDo0e/nnDvXdl38pinfMk+P7mJbr
a/R5kwLRwMJPQzRIKJv/juxq41OtLe3chnS4lrGkyAWHOVpWg3KA3kDdQTTxw3HMf8KRgeA5YYK0
e2GpTQR0ITdFMBcgH0+u9KqzYk3AyQsf3DbCIhNcu8Ub4BXvrn838eMvsz9hRnTZHJWkVh7Lh3tE
0KPyqEr7j4rJ6DdqX8nPv7AB9RXC0lT+n3p5524IACFi1KGialjqVHFiWFfrDh5l5PmSDTeUeRT+
bBvze7QVuWuZhLp0eafW6fTOSPWF1pDR1R8yFb4mqIu+V5GDZvSYJ2q2swpU6HgDOdl3mmLRhzZr
7a2rRheZrLy1rkpJmyQerxCq5efLRhmk1kudoFwyOj19dEBsJrvUqQfIDOe6VvcYzcabBMlBKKN7
Br0zGAHfBuUSfDODmLyY4eQAfXq7Si0fCmQgwrSyRw3ilgbRviEXSspKjijQbm6XDIp7K/E+AB8G
wN2ZbaPx3gsbRl7U3APzMiZDYRxDs2UkFimzxo/apWgfHAD+2v76F1+p+sGoAam7SwjnWMq5QZ7B
CMurrPDL+RCc8kN+Kj5XB1Rjffutfkx8uMF3WwnJyn1BFBDdTQg94IwX0fDsUioqPJBJBEIQGJNP
zAAH+66wG1/L++SDEdu9yM5r9+P1pa5aJV+lCEV2R/vi0mo3Ar1CEIQDtDSP3aTYfgTH7q5uGIKv
x+aHBQn743WTz88sk3yko7ZKGiMwipcm26arKCSRIy+h9z5FBmIYXNDd5R9cw/9Z1Vkxw8mnLMph
EnUX6f51gxFNSSap/CV235Lj3UZ9dRtp2sYGyj0tjix0J1TfxT0PFEC+bXOmoIbUoCymaJDTjc3y
pu7HEJ4o+pA5Q+Hu/EZ1kmMYwPOmDvbnsN9qWD+P8LxFLXJZTitPATE6ee45OclHGTT8gtwtI+ZW
IH8d0u9DbN1kaol2S65+zVJj3MgOn+/vhVXBsnNuVYV2YoJ9kJfBxGzYsMT3zqIw9tMir3rdYZ4n
G1hi/FOMhmosT/qS9aKM6aRDjTQwJPgW3uIRfoTZM158GTu8sVFj8MB68CElv4SLt2b0YuZB0H+3
oYSjIPjCddhc8jovKYILz3kZ9lpH6eIiCkNz14Nv8VBFAOluA7Md7Y1H27MNE4boBiEeYVPBlhso
REQbYhZ6NZlbhv/kKnLAopP8/vpytFUzHGDxMrQoG0i1EG+ylRYxUVgt9vNuPhT7/iOBJNg7u2UX
+NWdzYjW7XWbz5xOrAzUDX01HvSarHHXW8ZIw4ehLU9LjuV049TA4AFo/I0VAjFzyjqZjOQJKV+v
aVUePn3zqU5+TOE7k4Twuo3VzRP1bU8gtJ/d9HPE5IkTANxpIVbldewrUGhcN/EstrNZFLRpKwi9
Ehpplyd0qkPDKOuoADPTv2/xtRJK6Clc9q0H+3i/7K+bW1sRGBNP58okY38i2Di7wOzWmzrF4wLL
4IZE8Lnzg6yzN9b0/GoWizqzIi1Kr+oY/DIICRiqb6yb4aYwklfjcTn8Qc6E0Q7Vgh3o8I3+05rn
8ZjjHULViiMl2WUcUh3JOqh3V+p7RJ6PTpl+Wozw4fomrpoxOVJUasV4upQFLNoYq4nKrYUK2mHq
fyfw5SRhvJFnrn0q2tIM5/O2p+UhOXg5dg4NXWofTZE9qubwRlPcfsPBxYZc5I98KJ5UwHKoXVLu
k6ID3HWZko2kzX3AEC8SJZMd79FHENwvdTt9myLm+2iQB9XnkVx4K9g+30hDg0WAkjfRVpRrL51f
NwbEGo2RR/CMcnIU6b6RqY9J+/Ol3wtcBKkM6G6AVaYumaknteXmeqpnJs2dWkH/5FuocaCHYCLz
8XJjOkPEoJ0YWDfk6mKdwA3gKsAKYq+bmfJtOlQOh8cwSJKbv7AkxjRExZLXm+SGTkNDW4Ohy1dU
9Wk4wjIX+GnjhgF3nidblabnSRRtN1Q+8RJybmHw8mvVMUMstltRLGlyGy1yuJog5QvvOuOJJfqY
K0rsU35knmw6gipnRFkN7Y1FP4+XbCm9fovf4tFCkxYNlqgJTZdef4kCHXMYaB+koPCr28qdbr3w
xQHl0prkOU1mewP00aCG5m9zdKNkv/P/0Dr+nynw8yN4aUL8+VlEptaG8pjoY3V2Q2O+1osjqaJy
MNzsV+aqwXtoohn3j8BRXncfaSe5NB1uaHCvVDd4fsnuk+oInqoKzfpuQQwAjR8zKfYxZrK8o5Lj
bZiTzvqTOYcHjE4FhQr/E0Hi2ToNtx/hGwFebgLYrL3knVVHp9LoNvxDipp/zNgETLC7yPnakpNm
zK+UtUla6IzWK3rztyZjL9c3bmUl4E0YjBItYvrRkolWRwW3YD7EH2zYm0utQi9XMXf21Hy4bki+
R8ViKO068KrQw+WJJD3vbdrrYChIDpAn1Ot9H9qVuY+Gfh736MQsvJam9q4LVRTJR/qhn6cqW14P
6Nwv+7Tw+veIGEI/wADOfNf3ef4uCKjVbezGsw3nEhQlTNBn4C5B8l36r1JVSjN4MNfnI7OWQ2W+
sdDOvL4Rz1xVVEi5JvAenTeUfE+Mbmd3aL2TtTTDsu+M8lPPlP/OaodHDd0MqAKTDW8VF9/Zxcj7
QuCa2HruRVGmlb4xAySUZ1vypGroin0VgfmI1dSOIQFZmjfNqHh3VIjsQ7SYxgn683nD/jMfk+xL
u9pDfdzNOocTPNFtYRbHPB9/6hY9kOs7+/zrXa7TuPx6k14aZmqYlG+DnCr7EHwdVfNl/bZneyl+
w9nJh0Q/HmYPG3HcPfTQVMxMDulB8uX6UlachGNJOZ2GJTeUDNYegsrNzAlH7KfkpETu6wVJYOZz
jkug7422fnvd3MrOcc1TteCl+IRBv1yVV6Byio4qYl8wKDeu4P2vN1Yk7jLJCblrbd67IFJouElO
WKIIHSGeBe4ycWECNJ0brUhuaQNDzuMWW1n72oLOrUkuly2VA46OGnQT92r3UCZG1u4GbVbV08t3
jnRPcNEiP/bsJmhh/Fcqhw8FveaxX4wHPclfNh4gXI6q9r8mpLVAjq5kccDOacyM7YxF+WDb/cZ0
wIq/ccsQ/QxqS2RD0tHRI1hOuGhA7Kv6jTdodCffK27wZqZiOjNifX3TVgLChTX5EEHYAQc4OIMJ
vhQ97PwuhJw6+HndyooPXFgRv+LsqA6JMwdtghXIpCAYpCF7S8ul2HCA1bXwpqapopL+y+EcCpbI
QEJYFOubvYEUhpkbO5fZg+uLWTOj8XxC3JP/AfRzuRi3nKwMTRMyq2n6TjPg45zaMKA6zUYRU24I
CG/jwfmvISmFCxejGyy0mX1gsh5SDlU2MVyZB535tu5ixL7BtC3lAy1pw77x4i7s7ixFNcIdPA+I
mFxf9UrQ4MeAoiAOUoaT2QUHqAWZvGNz+RF7NX7Iese3uZ/GLN24+Vf3l1qmeKOC3ZBLSx3DdbZV
EdeNZDT2VcFsH4rV1akY9eJlJaU/Oyxw+6zH5L/Sp9TdpG9m1IF8wwBA1KBrOLmfzXbjRK94PwMP
AhPC+AgAIsmKMZVRbOggbMJ6/GLY2XeItl4IuhIrwQaOAEgb7IkMycuScZoGlTJzu6iJr7d9gaRl
6r6KPLPf8MuV7yOA2cIzqTnTAr70fwiEsg6xONyyqdwfWsVcJIro5ceqm5PDi53OUqko0XgDCQiW
7NIUQxtQ8UAo7dNuElCh9FUGkw5yg84NoozjhouvfKdza0/n8SxKGZFOhwr+MRDV9XHohg9N4pR/
Y4PyCwmnQeNSBrvAcxDZg8vjGk6fCDXZJkBaHJrAZcvQylcCA8A0D/UCSihyA70ZUltLUD/0Cy/q
b9MG3c/AG4N3SJGHG7fiSmjAlOhBmKLSKHcL3d5MFjRVqQVHSJVOtCbFy/lYqcGXeXS2ApGIelL2
cmFNyl6Gym6DOMJaAKGMDWdupt7AjJwdkdDUTmqsQlhMi3SvOFby8twMLQb6oaDXwOU50tUckyVm
qMyTvbuhtavnJryFUdbacPo1N9QYlWIIArpLU3Z6RqoRZDZJMpTF+a61Axo+6sZCRMSR95Cry6V0
RVETsPDluQrcZJ46dNd9U621L/DLO59GLa+6QwcnfOVPsFY3uyYPgJxfP9BrH08XFXziFWOzcv8v
XcaugfKIZ/TsFL/1zqx2hZdGn6BhKnaZZhWCx7xB5jixNm7tNSc9tyx9u2ZaaKbCDu63gK7dNHyV
jvdaOO2bYIv6d+WNB6pfjE05DI48v7+GwSGj4qakYGEcUIpPj1AOD+jWpkzk1gi1KUrEK9+wi4Oa
98vGbbO6xSTAFJKpS4LtvPy2fRN34wTcHCqAwAFqlNA+Q/VP179pwTx906E3+R27Wv2uRk5lK4Su
RR26JqTJYLooo+mXxqc89uxFsO/3Ogx0LklL2vyEfmvjiKyukWc0EEjQYeT7l2aGMNHjduYZG7tm
9Am2tulmgQHmZlAgyUfMKvlQId11m49z+f66A6+dHCI3uTelGoQEJcuWo0QeIq8wB1ooRX2bnQZl
6XxvIis0DBsP3LVVWjZkkFQlGUERIvHnWTNYriZG2Iq7Imj7w9C4MVRhjgevcpveF3VoHWs1tt6j
2VZ9vL7KtcNiCUA6vWVG/zzpsIDZztrm6ZgmH+0YecfPCzKlaKFeN7O6QFh4HRqu3FNyUS23jRS2
D+pQRm3Zx4XeXueXrpUdc6+rsl2phmg39nF+hDvyw3XTa0GWpIkUkwyeMWzpFmHMKfByhUBE9wAK
HE8fD4k3ZrfXrax5C3kfD0auDIxI3oKmQqbVMwskdZle6XDJHCZQF+9SA8J7Q/HUHSLq6sbhWDuD
VCgZ2aO0BTZe/PlZGpPpVRQqkTgchfNxCrSb0sq+wraxcYesmgE760AmRbVSUEadmxF92jELMZPk
5VHTHbqL3W7egmuu7aCollmGToeeoflLK66aFO5QsYOocTJvlmVRjEZGWM3IzVAuFTKbZe5Bugk5
5un6x3vuIqAoCTGEcNdkzFaKZXYEuwuZOn0Jp7fvwUOF7ytgdDd/YQUQCWEM4BfTNJcLbBBtsVEd
BOesqnAugYm3rQPy2lm04Ytyyx5vZz1nliSXH8skqWOd0KVEI80jQ9FuYCX5x0WtVPTp3AMKx9+a
WL8PzPFUtSao/DRpbjIDBcrIgraH4uXGpayv7bEG5umpSw1iR1p9y4dHT0xgL9Er37kwFx1NO46q
Q1vAookHq8o3xVus6KA1Jv8a5yyD24usCxleuwhq+PcabQEmpgGWa8NgftVOivLThmUHIDdK3JFf
V1as7u0urX+MTO4C7MprdHW7PoRkrHCn3n4FEdKn65/1eQQVyQYui2IRF6LcrhsGaHrSks3W62Dv
Zf19NOYfsjTdl5P98y9MYYlwTbBm+PjSg5YsA0E6cESiKIKjOAWUEXLt7vqwROJn2kgvnrqal7kj
KzszJ4L6WXgpoPSJk4JjoQ/xzWLXdCgGdNwM/UNkRAOCc0Oyg+NH9SM1ukHt42fg9l/0vHqdFTbt
X1f7p2qbH2Wuf6KeUNB2SBQquHO383rGGAyYhn0992YwxS7wsEUD8afYcADPw9s8Ul58xbIY6qw8
Y0UTQI6VBT0XGGJZTJpBhe0ThsI3QR3Fj4a7THDB2za8aX4JjeNGcJHnHJ9OIwYZPaSjK8hALrcx
mfKu7SsQ9akyqLtcN5rXFhqnD1lSA9LIlS9kBuHBa6FnLBZV2UPLiLoBgnFwGLnj1+sutHYMYRAX
L2xuQ37U5Y8pjKVUXINYblRB/j1iwMXeWxkEwvvrdp5KHWfOQ/RhNgbELsh4sClE1UtDooYxDXNX
+rBmxvBwefOXtjO/iHEMv9ITbxfao/K5hY9yp1T5+ykNIx+dUE+w29R+YycBzoH2dGC4010D78yx
773h0FvKdOjd0oUddnB3oZUhbdEHaFrWBVSotfNtgf7ObyvkVIKSqaM+Gb9oA4EPgNSdiWjOLiPy
+oVRlMdMrZA8z7RbE17onaVG9wiN34StgYR4cB+H7uu+8X4z3qPue2sK7ys9d++zoPpSDenXLEQT
N4pSB2Lc2dpNwDleF11nnSB2vfPmmmOjNiGs7pa2q9vN/o70IV1dVAwZr+KAktkA8LjcX8hwLbp2
POyyXk0eoyWFM7YYx3+uf0YpuD1Z0SmzYww8DlWGSytLoABod/Dd0U7dm661G0iAEMgedtqEOKMR
h1sT4FKy8cciBHiiM69CNiRZjEdl9saWC6BHt/O+CAuYYp2hug3h3d3w0dXF0XlkApkO+rOse9Ez
zyoGFmeHzXwyzEnfxwGq30rQ928tp92a45fxD/9Z2/8alMsnzVCOUSZApFZdonAcdL9LI0tew/n8
Owic7EfTdeXvQEWgvQg19SZpmY4pe3VrxFvKtP78DEqgAvetExHFvpzFdduE7qDIZ65iLTC/qWkY
3DSwDO7pJs9fdV6R7xA0yKuNJ8Caw5L781pmYoCXhmRVScGnMbRMNadI92qeffGWeMNbV33nzIR0
P2ZMmSt1h+9AKtjchqnVveJRaZ6QXZjfXT8Ycsn+zybaAn9J0vr8RaPA5Z93wpYJ3voX2QbURCF6
uxXnkhimeacWXY/9pEOH6DslBe100bf0A1cXDCMYJ0Vwk8mZ+TBVGlpoAptZl9XR6wu0fwz9k1lt
tcPWXRdiKWr1nEweApc+E9aTGXoiL1P7zPeWfN/YOth89W4iigcVegwxLD88J32rVd/0U7ThPXJO
+7TfVMggW6P2RmNOeoSMHTzmWjTBntjnBzsKjlNsc4tpDAyhq37vTO03hQwiL6gK2qi5Tl4y+5M7
KbdKNNxrbvv+ugOsbT19IdegpUCBUH6uDIYWjF0JQlHPbRhQh6S69xLH/qzyf3+7bmrtvIqpVjE1
Bw5N/sqmkUEONyi4NbefuZ/jHuhy3i6WHyqV1/o1LYnhOKig/XbXLa96OS9MxhWIxMRJKRqnVLfi
sAW2N0xLd8oat3mnu7V3gOymPA4Z5PdQMCk3VddaRygni3s3T7ZgY2thmroBfHDAW2l7SDcdYyhW
QScCLKiC/nnWTnbgd2AuYN6e0iXbu4rhbTGcrW05PRxDf3rwPuNti9LCrhLDoIbYaP2PZGy0DyBI
jFOAwLCvmOVPrzftz9c3e8UmPSOTlXLV8g6VAmRdx9kwF7So6qZ901bRqcjhRiqm+m1ThqFvBdXh
ukE5MxVnigVCSwfcgaxYfrpAU56Vingnoe6RxMc40ad/0CAsUSrIVO1HE/Z9tIuGovjoDZNycHqn
+2V1EwyWeaUFrl+G6TBsuNyTN58njk8/CqgS/MHUjmEyuIw0aBmmYSOm5TR7bPdNryjHSglAz/CA
84dohJMNorTCrNM9773BdwtL3zkIadxm5oDyD1Sbx6BGwUcJzU9uWyQPixOEfjWW9LE0K7mDpHgf
FqVzmKENRflpyvZ2b49UUZ23EPtCO9R/rDvzUaka1beLcPIXFBNSjTHVIklPsLJ3uyJVwr2TDoel
dD/lsf2VxB1S0LTQbrrCzJhGCYe7yoRTSy2s3nen9J+krx6TcvwHSEO/H1vzVm/yElhJ/jqbjI8D
qo+jY7/Ok+4hNvJfbeYdUVBt/b5GwcpaWj9O1Hd91DykrfW5qxBnb4ytmLZ23EnyBJ8aUH9q99JR
K/RMsWfxqxO3JDGnuzzOfhpFjETOdaE9LIM6/obREFoTe0wTc8dMLDTAMRC5LWTvyqmn+MqJB9pL
cVIOelFtTqM7BZwGFeEO4zhZt5CvwYa/BT9budooyIBjFIR4nAUZ9oM+U2c89XrGWTV2Kajvb3Di
Ru+T0U9sPnEbJMFn5l1gLs49T/crFQydNoUbji+VSDmM/AxSLFDvNGueaQ+LJ46nPlW6l1J/1ZTp
QxjowQNF45HjlgTfvKyy3roV8jPXw8DzxMwUiTYdSkYfacVLH73JqtEqxM3a6/AMwfZMyrTRSF4x
oYHvo0JJBRHMk3R5J0bh0LcjnEYx8xZjW3xFSGyL3fB5/GSGzxBAbbYRXJVsRIvmMBzRP03qNJ79
TstQVGrVCbNlCjs+Mxhmrftz3pbJRnFhZX28jsBMgLVyYDOTTM/l3CrhpLOFix28qlR92htcHy//
UFih+QprEiNS8mVsp06fVRGXcaaoaInWlhbFe2Tcuq0ZqZWdhJTSoWZOYms+G8k265huiyAxKo1C
v1uM6QsTou9t5FUOntsfSBWC03UfFBt0GfTF9LegjaTXKsgILoO+UsPBkzkeDgLJIre7h95c96jq
zcfrdlZXZgBBx0WALctRRTPc0FZiLpeyTZHMGb/WVfIdRe1D5fD1YHB8ueMLXjHgyswPCu6Vy3XB
Kjs7Nn04ZFvCQ90nj7lBv+76mlb37syGfmmjaB3myz1smENP+GK2E1GYeJw2zDwPyGLc59+lSGHC
Mqemii00fHUtJRlLWztFphlH7Y7abGq/ChjZt7L+1aVZYMtxRUZyZAAWnCSJEwfYpEhj0gxI4p3e
LpPfOd4Lpy5E+GWKRLxtGMeBuEv6UjPNscCLiE5aULTurp7imizInTJflKYe/+KTnRmTPplet2PU
wk+OHrD2T0Re5SdFp/qz6myEjLUNdChPc6XjfM+wIUnQeSbNcCoObXMXusOroiwe8ciN9az5xrkZ
ER/PKgp5N1ULg0DAJdQYYhekO143hpqc6swp7hGqGTY6HOvLAp3BOADTR88+FlwbVjqQHKjaXByc
CjFKeMpmssVkC2q4Ftrp7v+vKelTTWQ4TD+ytDT3Tgx9vnOn/MPLvcEh9QBkKHiv5e6v2/XmDI09
Jjr7dTMn5c6KvPtlyV7Wx3ty8TM7cmZdGYBNRhdn0IduOo1z1e1pvkzvot41dteXtLprvNhE9gYL
sBz3mF5SIpX8FioDhAX2aer1JZmzUQ/764bWArp4vXAdMuXGY+bS8wy1LptAZ++s8CFoTD9QHHSn
kI8wvreddrxubNXNKUBQRyI/Y6Tu0tjkTf/xhSJ6UwTxN9Mp3y6KfhBloOuWVvfvzJJY9tmBMocS
6UKFaBSG+VsYk/azF/6+bkKmRnpyB+jCeVrbZJzP3vZFqpeaYnAXJlPf3UeJarwxUCY9ZijZ+R5j
MKcmmnqkS+cvTtRpO6/xupMlyiqqNXu7xW7M/WQsBq3gzL4bzfl3HIXufexV9kZ6tXbc2W6qHDTY
mfKTPnJZa+gDzTguiuoHzdJ9VEdv4+ZlMyJ/9gOEAIgW8L7Pk1RvHk1LxMq0sN45WTbtun6+SSbj
sba4tIty3jC4uixgO6h4C04auYSfQu+UuDO+a4/1wQrqO6GJqVnRw/UPvW4GBBjzumBSZexFOHla
Dp956QuZtGD+gmKeb6UvJCf+s3sMGP2PFSlORi0KLvAeQSPVocnkWuF7q+majdO+dgChuOcpAdRZ
EBRfHgsPxGsJrKoEJepOuwZc4MFb+ui+pYGzH3oz2sA7rh1DChF0IuAHgRRISkt7L4gTGzi7P8Op
iEpwkVPlNKPS6DcWtmaIWgelTTJgEAhS9hEEIIp5QpRULPX5thsD9AS9bAuvtrZ9zBsDyGNNXDZS
/EJxzm5Ab1JJm4fHtKreZY6C7MFcohfvdn+TUVFJEMRABgblYgKFgWlA05f5+gweGG3cBfEDFKWH
6969unNnVsSfn0XKZVTboLIEi2fTDrdmmfenpbWTjQRn7QwxpCakPoC/QjdyaSXMRltdSrhqjcn5
PkcDu9Yrt3EfvDyxgSWYVpTo7QE7My7t6FWXG1YjvlDjncC+vR6n5gEB29P1TVtZjiAjdsipwRHw
4Lo0UwTTlIU9m2apIzTCS6597pG3QQnVnj5cN7Xyfchp4Cxn0h2IkoykNWqnygedoSAiOzW2TP/d
BPFf7Bo3GReZTbJhyOlgGVLFXWa+Tosc4nHpOi6J/hay5y161ZWKKW2zp7IUhSnA92Jjz7ytC+1W
M2dqDKWDTu0+LPmWr+H5QQxy6evW9BulroZ9YTttc0qrJaNkaU/tsIuCOO79KqmhfDULW/3n+i6v
fVAPECjYItGQlU82mB4krx0ClZuYt0aqfjbd+rYv1B/XzawEELqX/5qR4u8whQ56mLhn5wzNL5S6
urdRG0dviwFs7bzU4YbzrC5LXMeWIKh6NhrquYHWtAbOo9V6Qscn+6BMAL7HxLGOf7Ey5nEZ8oFJ
4Fm50Yx1I3NQ//AnICKQvO4sXmddVCDl++u6pdU1nVmSgnC2GOhPL7gQ98C0hwN7P7TusVPhKLxu
aPVjwSIAayhbx/Zd+mpu9ui+9iwpNau7JYPGtjIiSOz1YZ8jrfT/MyaFYZ4BKPNaUJqhAXjfTMXr
yVzuBG6Z6xL9wuvG1rfw35WJPz87hVTG4sXzcIsy7o9uHL1xx+nkRdEGAGotdEHTJXCPYBwpXF6a
MSA+T9KWnGyJ5i+TkScCbbV1J68YEVcx6H/QMnRypVBsWbGofIGTCafW8K2mvW9c/f31/RI/VKqu
ER4panC1iIkGyRMihWDF/FgJT/N0E7pfQgB3avzKCiZIDw7Xba2th0KKRgWbriG1+8tNi5reHcKn
G0y396ikH+iJ7P9/JsRPOPv8Xp/oJnrfzJnOytzuoyzRpp0+d3274dSr+8bVRVTgyffsXiH1b3V6
nPgZXSPH/AnXx/u6846Dptfs5RafwurWCUIFrisKyXIdoLV6tZlrEe2gKa2CY2lou+s7t3JwgHvw
4HB0MTUppxdaRYoL42UJ8W03gReCcK+JUHhv+3rj0bG6ljNL0jdKB8srgAxSAEAdeYfW1leriX/+
zWoooxnA6xgFlZLmuM2iQclHPk/bfKF+FuyyXP/d9Zm+sW3ri/nXkH7pcGnIKFpe9jDXFt6S7WbW
phzdBdnL/fUVbRmSDs+Q6aHNdB/JrJu/7cvyXWstv6+bWLkVcIF/1yJ+wtnhKRwvbTydtdR59cZZ
ildQ7iOoHn93yvzxuqnV48P1I4bPyTPlEaCgdzMvg/qU8SZrr1IASpb70FBeq+bkO/XH68ZWt+7M
mLR1dlIXRWCKzDnQSpQ02jcWgxMbjrB6fs6MSJvnVVE6WYItszG837GjfKzd5kdheFu0YWsfCZpT
HuwMetIGlxxu8TqRkPCRDMs7KVwJDWVoRz/yTPyLFQF+o4pp848uT6yOmRLy+GXbWiQPklw5Lh5Q
OGerv7PmCohUCFwDw6R0AS+9jijaNUvNUXWTYjgi6VU8Jowx7+tc99466P7tPEXVN+orTzT98r13
ZlVmnAZaX1OZVgkQEBeira5MceirwdQdTLuFesPQ8zfTWDp7J0qim7Sfqge6GvWHZSi6U1VaClSO
MaDlYLGTd0loZO9TL+9fBfzHYTZnMh7CQsteyNwhKiki2xUT51QeKHtd7lVuBQaYPJwMzcds5yTT
Y1Snh5p33EYateZlIu3Q6YUBZJPTAhExvdrCyzz4e8LJfRtS70rt4FNfKlseLchk+d3y13gasRCD
+89HjSa16mgKzJavZYuN3mrIEOmu05O+fJvmNY2CRO3ScW9XTp8fZ8btjWM0Nr2xnyLD6d4i8Jyi
EjOHs3Yy+ZumU7sYWvQacqXQeJM3FOkZeLDzsbgJy0ItHuvciJZPuhp09WPHeMH7WCmG5KDHQRY+
tvDYhd8Htcwi+hWQw6R+WfImFiPBbZ5+WEY47l65A2y0+95IMufOKLz8m+dFtnkza21YPlpRGjvH
KJt05VWcacq8D8JGQ9g4cgoWaTJW5RexYN+Yu8WqD8VkG+3ge8wdL9/deIrjA4JXc/LQZ56QkOvi
+ltR91l5yAu70/0C5VtEjTsXVyhZSnXb2cWY79AUr9KvRpF0IwpCSxSCiVLM8BvwHW96bSR6/7bO
gvDL1PWRfshzx81ulqXKi9OgKVV5KKlDtY8MVpSVB+twZmQnAGbLV6u3p/EwwVhhfcog9vtvjq5s
OVJciX4RESD2V5baq1x2t5f2i8L22BKIRRISAr7+Ht+niZ6Idrsokco8eRYwaBYFG+Smz/22btEL
NVXiWidva+OUKj3bbQi09FP8rnbGOquYQLXrTkitGW5bQAmpclSyV6IH8eVtirwK16R4AAAjP6dE
mgvG5ORhjEN4XaRr7B1DpGwfcNC3f8O8maHMo8iGJWKy56Faevw/KFWReozd42wRXsGNZ+F+rkCj
GWkHrgzXM1QgDGcHmw0NW+WSNaOaKoq9M4yLJ2G+mrXpHr0uyFgJm/YJrkbwXS7hlLeIi81i+S28
CLJR7Ae9KwFwUfcRXT+WeHLfhiyQxigQ0McSmrL0MQjMVGLLIHWxbOqXBaiUeDfelIL2PZnpAbFz
Y1DbNQm+mXV5rZGmgxjsFNrJYsV0Lso05gTB6Kxbh9Iu63RIicW4hL5G9OBzLg5mzM2UiYOdgvkU
YLD6r20tPuQWjSQrbNDAnR1OtGtWcxuJC1E63rlt1VEZYSXH4YvH4fnHJt+epJLrm21V/NMgQbtS
q5uf+mDanv2MsajE57CHIJranZSBRT8t6c/ob+1dKady6G7mrrYy7j7dxpzeJRFQ8m7Q2ZfAhz/0
jUjPE/CzOyOafdvVl3dvALEp7Vd3jWIJlhDO7S7ze2RO9x4EICMl6hFpdPJT8Q6zTyqlecOnhaEo
IJx81xg9Y9fgc31uwyW+zAsVP8Sm+b0lE2LuQd7mtrIegeOglV16s02W+iWf2pjeYkSghxWixOiP
Teekq9EeLLue4EjDdVtHeOuMN4Djw4dvaEcbU5k5amPITMdtqtwahKd+mTjuplw/JLnRtUfpW8Ts
v1C1LzKdVDlNoUAEnGSIeNrQtDt3Ydu0DxL7AtdcmOXGVpTYvUx1b8KshFf/q7/0FoUveYVWEPdI
EPU7RsSM+ym9d2DoYMmwDCcqmABvDBriYU3ZC4+o+kKiN7sjJ5rWay4PcOZIypjMSOSevJ2dB7xA
6Qj5wtpue3xRA2a7UL9TDlFFlqsT7aKgnMAzr/BAaLnMaiu2doS5Jg2CF2X0dNDSefeWcR9KRZ7Y
7qaGkVxlMoY75PglJQ5SU4J/2lyXeT5ClNA9IqY+/YTzu3tRau3VE66tqHYxnYNjZjZ/LsNF9dc+
pD0r+o5qKE0WlT+tHglPBhi4LQPaw4k3HODHEW1yeuXbZgo5mu/GjEm1TTKr1nmze/z6IN9Jb9fm
+VYk2diWiFUYKgKG3G6QAyknPN7jkkxRhZbswrP4mPQaMX0K1c0L0j1brTjh2hjwz00qxJqFeuUo
s74065zXIMK/xlrrOh3C+AoPEQjlSDzcJQxzSheqF6I8UvjpuJ01oezJqK05+hK25QMJr6YjZz/v
cljDhAR+0GFfLrgnCqnyxy1Ql5APUSFoOu7XfNlerM1cNbYr5CM02I1Wg0q4pK500MYXNMIbHSzI
FLSE37etiQsMU1GZ9/oh0vBYH5Nf78RNo+h0IRLKOxwFkaYKEXJZXEmbkvNs4zvSoj88XGgFy9ff
8JJ+K1fLEB4tpC6hwZvPM2D7Io43A7tACOuSFrrK0CX7TLYZTMkHdlJzeIK2LCuSSQyl9vOSzl1f
bxnftyCoFUEG9Us++GCBj1uyi6WGJfBsl0J5WByqfBgqjZVQ6cCxvAGlSg+wu+dl3+Awhv7jgmEK
zwgJK56geDbxNh9904hdsiAtA0Kp89iA5Utwl5Re2G8g6fh5BU+Nt9yYoFDGmjrLsJfpOAR/gfyQ
iG6/eCL6G03pVEHU9IL06LCcfEi4IfpaasAW4rikrapy5ptKMGn2jVjjs0cHb5/5s3tOseItWs9E
tb+kZzk7CFKHtoO1vbt3fJLYOg2ylMoRXMrkiOCZcW91fFBcV/kyxvXW9qDu8eZkGmOrhhlemLnF
9+zNYb0lwbueEBMLna0q+IAHjPZ/K0XUdce2gwItGkVfBkxlRS+6/RoJVtBmvmBLtRWT7UG6J/oS
UdxRXMThEafKw9gLAZng7SuZfXiw/S5n2faXL0JWUWfOY+/9SXF5rzJ9a8OelMYlB8SHgzSR8ruM
6bONNlVuTj7RMXrjEcp73oNVyyI1P8I9UlZ4/PO9zVu36ywJK18HFV36pXT58OqEC+uxcbRqBBD3
fGglRuTBK31mGHQ7ZKjhOiaxemSybBo0cb2NddEDQi+6VXxbmANVArbnJTyQwoqb9Iuihwma9R/M
od+kVP+01Q9EZ7eG2weZp7sBtP/CIII3GTzvpWHBQ58in85lw1qHU3ZafPsSaPrEtR/u0i14COaV
I0FnWn5Gh0jPMG4kLCp7v8WPyVbZFE50CPeZp/YYadLsLEm20kNi0HGBbx76r7hl1zQSpsycj2OR
eVttTRijT2392sDQfz+aqXkaQIqqerDVzy1DOCvt1vnJlyN9GXJctDqK5ieImcPdnM/DVSLMfY+E
mvayzISnNdQE61J2Xh9n9eBatT76csJLCa+aZqnyZFCHWKbPQdxEBn6iyE0tPJ2YsaLbEPiFkD1K
tPKn6xSHexb6PvzRBK3hcGJuYlHei/GTFXipP1V4kF/Mj6eiSzWI0G7jx3mZ88Jyt6E2qxVtR0rR
Es+mHmWKxi+2CNWKcWiTteEl8gQ4bFkyWWyIqDzkOTsvdHxDxqUomzxYXnud29p1qzrmvyJf6yf6
LPqegArC4RE6wsTF9vco1DcRL1EVm03vUhuud3gVRDX1ArdrpTmwTa47FphjQ9kBMt4VzOQBeyrZ
NPt1SP1iCHtz8BzEKHHefwTJtt2sZahrEuS0ETo1f8vyI9zU8pPfC3adBB4LnmpwnCiHPAcRec+g
m6PbbhGIQAh/4MLeBhm5CtameO9mHSIgkD9G2zLscxZ1JVUKPzC5zD4FDx2iiRJtcljOHoziWrmE
1YCv67uzU7+HtPTPlocWNqWphsg60segAwYvjV+nq03g/dnQQo+yxT0nbmhfd5FxEBHF+VpQJw/x
gtBVao7Cn7cCLk/vk5m/JDbtpYadyb6FoXOVcfZtGn5tVHuUnTzqTu9CbxCXyLQPGxpmyM26CK0m
Kog/ZnmR5nNWYOHAanhionq6Ge0SBiB0b1CliyfEXZ1QoyuMD1/tJF+72VW0m7a7xW65lJgYS2xK
/qW9jHZijL+DpRH1mkZfA8cRwh4MTdiCAh1bdQTBbedZnNSZqEtL3V9GeV6TBQ6rALsD9ytlfo0N
oSUjoG0WcuheZBz8CbL+ETm7+YOP2LpLOgsMD9OhJ5ivVut/OV/U2djNuzxR7CWhKNC9F7RVzHJV
GNMdzNKdkd7rnfwZhYF74wKr5k5fshYjJlxOH3HFng1zK6j85gIXHITqirUYVrgT57qDMnmip67Z
KrgqvuNEl3PaXckKB3zMyX5LX4LVYXBbDiRCv77y4APDCzwtnLCIyeTNDtm4vEplNpVtCxJhxFsQ
Mx1wHGx/8gKvU1t2M8fJH5hXNcGclI0L28JPeAqJsrFlnJr0eUlZoAqb0OgkGnB+keIFUwStrkpA
M53ysYFPq8BdQNJLnwZ7xPs1lZahV2gfv4kQ4mVymYav3AQjAGSxYLSQeZVA2F1uuLeDtn/BZvtM
4kkWa7A+LHz+aciGe3xMgkK03VwmzvILlesDRedaEhc8bl0W1qBkQoABLY6Olg/NOlu1EPiWSWC/
aS7TB2Tdwg+czh/rYN5FTxhkDKNXMuN3kKuRx24OH1mn95xy8Phc/geW6HDVjrNvWJ+0JbQmXdlg
nC+tdS2+U4O2pZneFk99In3iv4Sjv0cI8nBUmi64GonaeXnnFXYiEIt0qp5TiVko708iseaUeamE
5DLYap8oezYyAPbdRT/wm+MI1yPPEmHr+HQKKrbhZyDtPmjjqxSZKzGAbZjt+cGu/MTo+CAX9jAx
NEJTqIs2de8Zp08aDrz1ppr/BvTqxToPR73N/8gGF4NN5T1KHNLIA80ePfgCIHXmNs3pBZzAnwUp
2FDxeh9OZUfUwVPTxNEO1srXhYu8XmKalhb52xrOeEzpT5bRp2GW6AS3UD+lW7Rfs/wr5A3C2/UC
y6MxesXgcw87cV3ymZ2RIPivaRaG6OHgDY7NfTk1aiyTcfs3elDQhDQ70HbtH2FlsOwsfMNKP4Mt
cN9cHGaJxzbR4XWhLdyrh7iMe3cO12ypcI6rntlzm7OuwBZtty3NHnhN9+u0hOcyhP/5ZKxh2+Xt
OYM6v0wgLjl3i/9fm07/2DZ4Ne6svxvj9zFc36CUKa3v6yrinsGMvvilb5t9S7pjurRnsw1n6Een
kniJf2d9fhw8IA+CNE0BXAc9mcsRmjTHgPi0a+tZ0RB3YntqnQEvJCBV18NqZkqTJ05H3P4k+6bC
/eFjukdpfKCBt1RetPzAltwUYG2Fhyk2HxqfJ3H9Ap2nrkMxf+Mavg0mb+q8Q2/oWH4Lg6zqIu8p
YYGtunF4hDWpKTsV7cIJ+TozfU9/E38sDiQ6SwTGxO4YzPQn8VR7AB8ezqx8PGwMciPsGcA99uA3
22/mm6uGQWmigCm4Gv4LL7zpnxpNfhXKL+hzrqlKPm0roxJ1Z6y1l6SF9QfvMjj4m0ewxza0T/et
hJ9Qhs9B1WyLOeND3UAme3XTlqPdaq/CD08xA1wj3Fdusjc4zYc7OlF6TvC7FMRrodZHOqOFHLxc
s+ymegy82COZKk3nqWD9shViNTAOIeJvy6PHmQaPhMqpkBElRRfg+ALhqTU8YYHS0CeY/JX9EDdH
3mZmn02oPlGPsY8ZjLvpwbMSy1bWHZG//px749nT0SE13kVocowprUSfofXl8R4gG4Ka+gxXw1gR
xIQdsi35t87sLV+nPYwN8Ery4wor/QIu6TMgqg2JIhgutcn/ZEnLq2WgrNIa/YbvDs1ISNnm3pmh
FSjHEAATrMT2RseXJYkr7GbWyuft1zgGCfSI7XHQvS6wu/ePRg57YZ0rccW016zzvqPE8sKz019G
UlUsiJqkXnIGwlzMKgQUPgLxmsK6cxe8AjWcoWqdfFIuH4mRVW6Wry5UZy8zJQDc20T6pxniwNzM
e0m2tyZntQvTehm2Dezu9c9gvSrsUNUAAL7HhPIydQ1ombbK+8jfY6B+RLDUni3pXo1trXNaSsJq
TxA4xGy1w7KkQWChSlKY/6O0hs2pW7/zX1wN0xF6o2D5O2bL26/uFdly8R8T2/3kZ2XXwENxe7XT
egUJ+wZpGpSBOY6d6muSLj8Qs/yCfrC8Ye32PLTr65qRP7EEWyWe4jOcDb29G4enFaeotI13GH21
MxFj5ZzED0mTPnq8v07I44VtDD+MJnrPhvQzNvEbfKCBg0Q4LCo2dR4lB8DSwOEmperV+P3BNP1R
9wyu21rviEx+1qDHKz2deocKFfmHYUuht5yfs244tC46Y0dxbQDpcN3fmnwAUyLZT8h4hONMclJc
0SIIvAOnSHBG9uI9sNFQQxTqQJh1D/lKzyYYji2NL6Eawbak61o0iX6PqSv7fD4NLENeygKiLZ2K
TardMHgHz9iwGPj4NAz6RYbz/bepwfFQJ+QpyBpjMuID+n4vzQZAQgFmi59jw2pJbsRzhx4N8zJ2
NS5rVjSeOiYhdvvLekSU1Rlf+ZXr9DE0bdXkXr1s9EFaXAEZzx65tHuPyJJlDHBanncFhgCs64b4
xQNBrAQ3Ad8Rer5Zzzewn3dwW9y3mPpRcAUrO9JGFQr/g2DesR+Cvmzd+JVC6YLiXRDSlvm07JF/
XqQC086G7Z+Y/5PCf09Wdgmj/sXz56d4W5AqtKz4W7I5tuv0J4ztbvq1Son6N0+oiq1evYYLenQE
dBdhgIkaOrBDb+ZSS1bPyVyvSVRRgDhYnNJ7qAyaHdkcRJ/cZuo+ttz9zfIVE3F/hofHKV78kzZI
O12zHx9TXAFzmKiYNC3sOt9Mkqbl0KcI9PJreH6hbLJ3j0Q/y2z+zBYcF9VGr9ks4nJr8m/qKa9w
ECOcGrJ21cjRxTiIR9ZNXGTni4Lo/BTCaLTuw+ioFrKTqditW/y6SlGOFN+/DG59ov6xmB4b05w4
ikyvABvG6Q3U1Dob/h85tnz4MjyRhZYUmpvG236Cfqow6V8CdBRakMo14QMjmB8c9ODR5k7GDD/r
CLyo75prDsiiCaGEZZ8jWkbj82kXUn2kvXtayR8EHb5ib4O2OqsSbg64PopZrvcpsHHpcf4hlV+E
ozszJKnGU4SQxND+RSzEY+J1kLgyfVLBUAsBeyb3i09SJrPSaZmWGlhzKemM3YizUwWn+CPgr8+W
ilprxKP2efa0JKyU3uR2Kd3uMMN+gVUGfJ02eWCL91/QDgvGsOEp9+kl8ztSGcWeY4EJsF+7HXwt
q2QDAh/NyTVbt481ie+5AEgCgGLX4wyUcsV0sTjgi7AJABgxRKc0mI8Cg3Nshz0ZDLidFGMKHPL9
FNAEFOC3X1Xk6FSF1vBpW1tQTdZixvID6RZXvpEPyYJPNsK3Mzc7tpgqYOO+STrEU2rwBKwf7QUN
T1MW1NmSY8sy7WCh9tAliQaok15SLDPqjk2VaecvDhec0cS3VqJ/tU4dF0KrFsvJaZleRtIfN241
XlB40icW7jLGLIfFqk89RoC0VXjQFnY3rc/qhUw332J7pZpLaJ7myQAF3MgRujB4FMSPXt+8uzWp
VT7twEB/iLEr6nVlqDz3JqvD3w+aRDtoKc9THx1GlVVB6v2BMc/Jk8shmNl1WRxHirOG3UX0RFK/
4hGcYdbMO6IdRqS4y00ZTT1e1N4Xuylsd2Z7MeGMP9NzxmRYu777aUT2NwH1uhqi/pcs1K47ktGx
xFgwlFjHHVssZOAAi8MqCa/UgP4t2ZCbEcRwn22BHhK6wq0QM0rXiroZkHwFB/+wUFR8ZzK7bfny
FW3pY2RQYzoRPDqaI8BOftu0xQZNnLD6xjuI1yvMcNrVq49146rmu7LXGe/xKtmza8i/1k52hyaT
Fx0YTVDMw2PCTXsqSc0xK+YYB1Y8e2/74wUT3pix8jwCUrWlP77jgOsVQoMUbDIB42TxM178uuev
kvn7jmSHJsJpyjBNNW4PRLJUaV53WxcUFGLnpsEg27efSKo5WEmqKcwq5iUO6wn4I3fGHyrmsO8K
B8dv0wZipFqAz9ohSA6xwMAWRNiizAFdHmZOJsBIBn3YkI5XxRqzA1lmPasV1gZZMk07NQ7tIxhP
rAj4/DWzRFYwmGZloAAQdr4/fGB5xWFNboKq06St/Li1V59ouA/5QJ/oGL5pzoYy6FntR/1P540n
NHoHFOc6dZ+LdDCeS/bzsH3rNihToBms35uUHXVegRgLsjgF8gpNhEH9DlKJVgP655ac1hF5nCo/
BUDygJlfuYE978hsOS3kMMv0KJHPJAQaoKGb0EnraR93MEUJDPaVc7HMmJKDcR/PYx2nKw6sfx+w
haJ432kvr3bEVB6m2Cc5JOfYu///8XO+GhjITRHcy8RQCU+eB3AV0sBNUKJ3R+wFixaG4syqD0e9
/fyr3Eeq0QZpWk8QbN41f33Y0RZIl730i30L2+2a/q6cMZtQ+0ZScPK0KqAKPcmEYbegygwDl/c1
O0RPuAgmBsEVD+vS9OQgo6zEIIXq3B28Nj2lc/DKSfKV5ON1aFUN7GPvDSkwYph60xugHPHVjKkp
kxwhFnqZakHyXTuTA7Sc+NKCCvvXHaZbWGL1J0Way4JFDInEY8eAbegd+CnYW3T0B9Y1x7THjtDY
a+SjejL8dh59UYyUDTCfdAIpF3KCeNmLDiASEKAcPILWS+5D9zy6vyMGi3ZoyxRg4dTdBdAh7IYQ
eLq8iWQu7fA9NelfppKDHdOHYDHPAdU7M23fzMy7cAbdYm7qjfKoaGX/vtDmD51nIEvfdEaR65un
1I37RXWH0MCgAxBDOwQCnR1O8sT+5fI6+M3e4nqZFvuVjOYK96wKXG40pmlfDhrxO0NC9qnzrzBk
LLYMU0WenrAsOVph93P2jM9djWJ9mkOslTgwH/th07U2v6eZ5Ced2hsoVOeRRS8eUX8CiPg3bBGN
C89tHFwE5hQ3q30Mc7CQo2cE5g0404j1DFP0S8/Gqg1deAoMe/BZUy9ZVvkSKHPP/kbaB/GhPckc
F6c3P/BoPQugE9YgPrfTKci2wLy97Uy37LNjSfHLHsm95uDlSFpf/L8TD840+PG37ki25GzRYEug
gWIFH0GlC+ATiVqYzu94G75z8F4GjjUw6R+69WiTO1abfzjszaiari2cm+Ww3tdQn7f2lANByTZe
rL+bRkr2DZYFaw44zsnwODJvr9PpHurwGS678KAGYpq59HMwzZfsaAzEPxkACwzH/vcR2f6zy+Rf
VKhq6exuBK9qxZ0J09CyAyY+Nf5HntqLpd05aPkf5NaDFoWdSeK6t2TsXgkyHUvbNteONqgP3p+8
ifHuudOI3a+0uMpAwd39Llh4vEwF5DBIzGTnZtmqeEtuTTJiCBn3AXYmQoznkdJjLEWVTRaoHRZK
HE9zaC74eu44QpduWX+6pEPniHDjSfkvA1wj0kD/LEQDh1p17ZLxPScSOKD7M+PJCKS1GqaQpZBu
f2mMC4wTuRYJfVW/uF48/Q0Yxb7P1kJNh4ZQXUaW7B3a40IC7MBfLR3UyHbyHkO13LEHrtsoeEzz
d6SZ1yFW551dX4IFsp455fUAGGzLgP0C8OUIt/TxZHOM/7PDvlsGkOZM/EVu4zEg846HT9SKDxgz
lKl8dH5Ywe7xJBYEVAuKm3+rPKprucJkaR2RBj9UCXW7RPJzGIIfm51sG2COUfSG9/CMXcohDYdn
0YanNUUAeYPbJbc7MFBKuskHL9mKEIthHT8r6h506skSAGKGHCEfqYt7FXj/DSgNwEeQ7NF8L1F0
X1p38dXrPONqxfwx2ubuTx1kc1gUtNvN87fDNve3eZX/8jU8YlVQKNBS6NSVCHcDnR+AZAeLD4Yu
uAUiPE/An0X3NcOaFPg4FBNYJthw+kK/d8LhknAUFee0iV7DYN5rYk5Ce48+2Y7I23xJzFKEYsPE
/BB5Q71ogKMqfUz1cuCDK7rmaOk9RrVkqClgkujtZ+v6ct62nQb7Vg7JnkPL7nfncXnBjXHCbfFD
HauJ9IrMf26y/NDM/UWvcz3qaQdk+Hmz077vFnT63NQ63l682O05XGfa0BwTK3bwMoA1H64LLLYz
tCHB/Nd58RXCjUrM2WMEHAROXkWvPxK1VsAWSxgSXdcxPsYTLRid6yUSHx02KNEEAxgYQUcmL7ot
qoghcKTxYEgk6lgGOw6LM79rq+D/k9uC1D4/fzae/809b9/16JQTiXcTkt0zjPZ2nAFDV+4+T83F
IG0LWRwYqj1M4GFUo/BVuoFyd5k1YE3vMkb5qxnzq+XjG6CW/5aRXSJkmQKnPrbeL12xxQHAUr7e
4pMQWDhqv+b53XPRW9i0565z+98hx5fNPiW6XHtdQia0w9KjGgMPcPE3SMNlluNtn8Kf2dKzBvbp
ec+wEwKvQLp71K+nCDwJGJs9DSRuiqBtby6dLyaRj7qNam7EpR1BoR7D/353IkgluLsoeF2C4YAo
kz0ZQ0jRLLb2sEkVqoYO6NiBBST6oW5TUm0xOwVNf5roB13EDZcc9n0NeDsDusf4EXKq3a9xPD72
axg1T0Av/8HvXIM/BERtoahHQ1R3wAHU0u9SNpXUPa89Lqc4nFHPQMVw7eeCRfa4yjNBhO6EzmCi
M0TSoBzUyAgsEawFMhVcZPH9rtLCVek9w0q0x16macOXSMwIafcxSWCB3tmH2EeWKDeI38K7m/wl
HEHU2BiDuBDXOaACHwnqCmwNqSvCE+Cm45UDI4z1LaWXnn+qiYHoBQUl/humYGGiJIV0/CCIIagd
Et+3oD2Fm0MxywEohNiBte6hn8K30YNlZwdWAyKVkaO2XsY2K9Pk3HsEs+jdEowb/n/dmt6mLqph
uvED698bHFN2DQKSpdhwxZuLiz6jFsx9sdTtJoqV0iLkP1autRcY7EN/MMcVmdJfTct3K00vySJK
bzJVPymAYPzaoSHP8ivCMkuORNrK7+IC8UMXiw53AIWxIKh2RkwnihErSyEBa4/U5zCZEkWj8E7F
5LxOb0bDyEh3TdER+xervQgXw3Kbu/Az0biRNzve0Ar/G0RfzwwXQoZGoMgidLGJsh9drO+RB/8X
CZVShvc6oJ/JABZbzBW6omQsLYxA8rgrAGqVoc97OKS2tQvs42LEc4/ABat/EWuxizxQXoKGndaJ
vyr809ApP6y9vDA8UAcCn2/bX1JLB49TWeg0q/T0xOinbP7J2C+j3yVenGHvH4HthLJiEeKNX3/d
xz3/fajr69IE7xzoewHPje9Y+Tl+yoz9TEIOnKGZMvJj8NfXjJC7itW/JsjeY/sC7MGvyUr3tPV3
fcxfAby98+xhGcSPWdfnod9P67YT+m8eNv8ituwIhiHZ/IE13j/fDZc8AOtvDD5Mk/8HfWghgzP8
SUrd0W/kJh2GpPmMU032vmGoUwyklJzlAG9mgUut/6ajuDCKRmzw1hudePOULSt9179HUvTmuWnC
7BCw3yRT2E4AIiZNnSGG+9FIr68arPGrYUCPqDfi17KdsnMsMzh+SSOqqAVZwwh0hX7Dw1ItuS4p
rMEPw8IxA0ZGYobGfL/6pKv8UKhCpGbDKKHYefVjVeSDUeUShAqcaYRuMp59uCX52FY4tGLz9p4S
fHl98Itqk/GpV6PY0XT9cHHQggyGZaC3QIk5LGlUNCt7tgreZ4Nn0TEQdd2WxO5VBBR0ak0P6tNy
5taz/2PsTLYjVbI1/Sq5zrjIS9/UupkDd7yTq3cpFIoJS1LoAEZjYAYY8PT1+amsJu+qQY3yREbI
JbkDtvffngJsf1tQBrm3Ik5ulMPXflrxaByob3KJkFq2cBS4F7gSiJKLMl6mgcyK5uBhWuLneCoj
kNTGYwjrd4hDHaxiTolAsXUPcbHehh0GK0eQEDHK6TDp8KPitGPWpEkuymk5R1sMe5MDD7afaJrT
sWJ8L306BLru2MA50WrmPLpV8jQF4NdBeKwIy9qSZ1pQjQqzHo+XuB2Pnc23IEyvK919GKuUxr+T
CfOPGKwkAhIROnu0LNjTRfXP4ejdJmq8clfWS12W57WPUihwpsdo+BTcALOLu7N2QXbMJvLbe16a
yDTe0zzzyg2KSXVC//uJccDeqrWYd2vDemucyd8WcQPhN6ttkNkEfcUnPp7fnivDA6rzUxvWT0Z0
hylanoDK2p1Cpp56AW5thB4ArFW3D9z6NmK6vTKbL2bB9FDNbyXpMkeBBpGGnhqlXDyeGgxzkLFd
sCVM45MOzPCxaSTQV6bIcZwQrA6iSlceR2VcnWiUPcc2whJd6N/UFuHqY42mP7B+cYbqu1znO1Hr
fR4Mz6NrX+xY/vbX5XoAAY1RXzWSMNJ9hZ41k85XnFpbpp3yf2VxyLgRWDc+SZmbseyxy07Nt1OG
DlJBE220ZCaQLcRuW3HlZvFH5jeC9XU9ucWChqAe5hPBPA9dWNwJ2f1ece0Dco6fvK9f1NrY27WO
Dvyfj0jlfl3xLXkdSFpxhaDUtuh1CR5Cvu4SkWcxQncYFWcbjALT1hSGsENhfjnDSi41Osd1/aj8
1QVNGvc9nrc0ybJ7Kas7t+Qxx/5SbqamrPfjuFYIK/O9zvoBHULCduWwcbtCLyl5Dv3W59baiEF+
DJl7Wbm5W25sPsW1RADPzViQIXsaPfBgo/ISOhD9W+tn42YO7W+wg3m36BY9ZSZ/JJ2+tsjDH2VC
kvY61LuB3KZNRauosyTUwCTTd9mitOlNhEh7KB+cqK/TqUFjQefrUTfzN/u/OSrtWjSvTU9VHB4h
u1mMqpOFQHFbdCbVV5jTry3weaQhTW/dwH191H686/iPjTCoV8zM4OnjFUDoc0cuor2h5BCtyGQz
dF9pfeM6t0FXeOnaToaHgovCmL05EjxwvcraQ/Dsi8nmdK4DtuR8OGRL9yLn+oPJDFikcw41/SAk
lDBaTvm917O7USGyMaiktx18b0ekzD7Mstd1CR+GNvxqyX5VWqZ13T5OqvvVD8gfpQUTSQtSWgq2
G9e9dKjK0oRLLTU6oKCjyKyNP8tz32T3fjLeqtk9C+UcPX+MQJffaZS29/USXmilfp3ia149xcrt
Mn5VY/GwjMOpFdGdEOI2aHp4H2GOfuE8qhIkxHXrA9nHD4Pj/9JN/raa6Qd+5rfCnvU2sr0zZOne
Hixg5uS3u0zeqTB6ThcXpLcUznhc4wnQaD14hf0Nq7URwXpI2uCkwppbhuamReZ9Spw0UkWdP0Yt
0Xq4i7aZP550t6B0d9U7+5eXWkGkQbn6j66Cf7IFz0mIMTwwzbMQ18HwahLF/41uXHFxiEA9tFWM
Eh0SknRXO60iThxiV+FZxD0yZeY5DAZbdyg1q7pPqntrfhYoqTfeot7dPC5Sqrue8xlsLoqGnAf4
FO1z1TfbRXr9TpHnyXXqwxwNl96Nb4aZuvhrm8uumrgAZbbAUq6ozob2PV/yR1OPN5lUXxMc11yV
fqoR8oJREQ2f9W22Lzq0zzYdJaScnPFQPThx9+dqg88vEWbkyWKIctyqOHXS3Gn+ftJQH9o7ZV24
HEPNvdlniHZKXEND1ubIpAU4kgBat9rhvNRJl5aBfjDhcOPl82nljkePc6Bx7eoNmM6NFza72ZF9
ikaOnl+Y8cCKn4V0fzueLlKyiTm9hcUYmkHDAYYiVgo5o+XEc3apBh5ObVBtwV5L0u6j54LogE2/
5keRcE1qWJ8M0Q+yqd1SztOu0Mm7toK3yKnhFLK7iBM2Ku2npClvKB9knbJqGF2JKheo/ZlGtbPR
CBGImuUZxpBeD/IJzBAwpwcHmmHijV/+6pFgrOzaVp5/YoIqt7PLEwuEGy2me2IKh4ydx/IyxETj
kPL102ndGb1OuBv51ZurTncZyV0WtPldF0MRLhZVAJPY40D1gDH1cNRJgZnSleo2tyeW7w5xzhSF
AmtVFj2O3hgdVdZdI7yfXNd39k4bviYitk9YiZZ0HULSUV3JQlc63I9tb6dD4wsE4Kz1CkXEo432
YovSttoLB/i3XhHbyX7B5I8apJ/pGTDKOhod5jw+s1cXyrMT4a9uBuiPveIHFge6X2ty/evqB+Kp
Z1vVpwKt2OiwDHnoAooF+V38NETWyxq7j1Pk/0gQGAZw/NoIaGnjMmi40d2wri/TEJ2XhrrLUFz1
6dfKdq8SqWvx+O6UA99a2L+GzpxGJIteH/3szfIeJa4N3qiXfVOVbBCkYB9LCpsQmuTMZ80C2+F4
0y42rtmqpLudPPclzCM6FJR8h0a4n0B8cYCYbDdN9qUqmPu6MHhdpb7gLDn5rT5ZEfSgXo/XbVLI
8sUqrPupzV+LIrzLEouFfTjjx7p11UOCwmzrKrT7nTyTH4WyrbZ4DDflVvvl3tbAxmq+C9uWPttm
/sAolQj1StvEEW72Bs/Qcyu5v5LuPIXWrXDVqx0xLY2gG3bF0OqGMgOsyh7XYPk5oE/aKr+FQFPR
DKswpHxC7OX+lqsyPyNR7FPc/69DzbReZecClk8H8jZGWclKmzP6e8VTQP+S7QVvbeF8ocE4Dl5x
nmR/DwEM5Cmn7RQPnxJoNbVc62FOapSs4g1FxrZuaf6qdnUxvxaO+Cn7AaTXPc4k+QMuiBvSQG+l
tj8DocN9ZucvowxvUQfs+LAhZpgNBRoTNYGvgNVmSbB3I53KFS3YXEdnS78PE9q/fKrPFFUVVKl4
W7s04WZwbYeprvlBuPqbZ4U3NSIXfEFv/uKm9NA8GEYGsNSYuwVCvmnGmEdqKYAVfIgz7YWHZmAZ
w8lYeC0bn3jLrjIDX95MVfJCovJBJcVOO8Fza9coeINfYkV3hzj9JNi6Iys4Jtb84qOrM0GTOh26
XTQx2lnXHX1e+AoidLr+2Sz5ETvLg7XmoA7tz6wJjr4fMO58yR4Si9xqxOJr+TYN/gfYR7Rp5uGT
U/nS2Dy+E1SsYfCso3gno+iRxMDfGgU2xKL1zUy4G8lubpz4WblAQ00BpahhiHfDQC6zmZEN5ZiC
Kik2S/nLruv6hV3qtWcN4SiEA/fFtoisx7qO70U1oXW0L1j6ngFQ0/7qoHLol9sLdvhNjxvt5wD5
TWYnzIKTIVvgSQi/TNC04LJKLPcw1T0TqkcI+Mqgsmrza+jDg2+tTFLW+jNyOHm6pHi6xtDmMyOM
EywFvgA2gQUiZhHqLZ+RVdkNI/n0p8cpuQ1niPW+b45Fl93Nur7IRJ5VYq/wUgPbKeVDgPijSIdq
BK5pCICN3OgY0PcVe7RjJYkNqW03N9bsTxs4gRtTlRBpnWvt8qk9z5EFq7MMP3Op3iLleQeqhg9W
zdkQ4mbFgHbqGU87OaZ96G1LOhQ2qA8LDHZjtZv89YfJ7AgmfS6OTbW43Ayue2ZlewlsCbGLlxPD
ULlNVlTjcvqFCfvRkBFuTXx5W3rjUeCIPEwieynD6CbrmHeT4q4byfHyx+nIw+xV10D60XKjoZN7
z91dAXS3yAG70BQay5x9pFCsn6nsfKgFfrGkSONygZBNQJuCHhpftsu9EPHOCtS5VaysQbXxlbXD
Q+IChZQni0hbREKYb6okng6WRxCavajHpVvgcxkmk3k5oqg+hAkHRdLI59GaLcS94twWC9JB3seu
sBMue1NvnN6MCFmLV4aqrTN4u8lZ3h1mMlSC3PZegstk6q3lhEwO7xtcOUUBuDoCg1KvgYntRPPs
LJ7htnWfKMM8WkX4tTjlaVJwQWSWb2FjDbMCv1thwvoQxwoH3sjtz8rczc6BWkfEANCt6chNSZV4
2lXVTTdH97BmOzxyKX5YMuudn3Pf7ggwqHa+4PizOwbrtV/0JkEwkWbFLGH4TbctqqzeJV3COhha
zAgiuwmgOkeEo+ngxPsyg9DzQ4J5i0tDaxHHlmZW9GJgY3f2P8OZA8QfwDadiStq5bJxfYXPtZTP
BBujCSZVHnjYi81u8LhVRowz87AJVR9ul8q/7yh6O1hZ/IwhkqOoRvFgjyh/RLf+znvcT2WmXpRV
xVtEqWBzecEWMpVPWRDco/8+iKLkdEOCBKijD37FYTsOrAslAU3tMLGPN8urdJPvDlnMdmycO1k0
Ry8P+HHkjmTnTRHw2IgULXDBUwhSuJUV63rkj7D9xQv2pC9/ii5D51/cJnpNmGk3LqOC56tjOPkP
0ZUeZKN5NqJ+TyznZYm8z6QKFrw22XnFxcQG3r+PBlNA2M2P0UwFm3B74LbJPGrMwWDTxYJ/bG4Y
t3iy070s0i4qgDEz8TOc+bGuqiKsfeks5Zeb8L1s580Lmp/5AES+ZrLY5Rnq9djf2yYcN76bfTKX
rxs3yvRBUp6+oQqNv1Pv6AfIICreHT/bxjo+QpL5hyQLwSZWx6Qga0yivXkrLe/V9MtNnTUgve5z
5Es+bJvxWLHuLJrH0ByGD9oHC+0R5STZCv4OFDzO3wrlb7sKJDiOzSFgv5Ho1OP25MB0B4u2eyff
ZzXAqts9s/gyBCfR2eCSEOhHs2K6i0vv1jfJ0ZlZFtzoMfMtwPeQ16iKHWPQWSA3w/uZluyIDJnO
0WrzU2L6h5zsEeCwDCPlOn6Bk4hbLEXynOjkd2lXHabOCr38fI/06kCVk4MRyyKorirwAaMCbKzs
5+QjjsOFsG6HUr11o/7Vl8sdOct0ICnR7iO3AxSzy99uLvW+8piiYDmNbZ8pAh92dijjrU9yttsg
R0YwzkLUrpwoPXPuIJ4pUeZ9NuWuIZOPBKwy7VoFSeAX06aclLXVOWnbfTbvV8TMmEHgmC3k9jzf
MeNkFhzmMLJhLf2XXXrDFX5h+cKmTv0t+JDX3uax/sxdxEJJLHm1iHbysuDYmFCF96F9yyJ2tB1E
ClY/7bqm+ZWP4cDEzDBQiRnyzbIPfhaWhEZWdHQtJbdDz9JlOW1+VzTJi0eSLHxawBaLKxPzn2Xv
QRnKLU1jiHmqSG8tBeVm9wU0W47cClJlifDW2Ms2CNAf6NLnfqpU9GWWukqB7XjqRyCriztjxQxM
gDorbuJ9Kxuxc6ry0yObZ2tl5LyHUvSHVtJGNS/zZ8/etwdAfIlt/zYMfdb5rPLIg+Pz6An2/HBi
0thme0Ws63t/Apn5MEAY8lrL3DZhNacl8nse/KXZDnXco69F0gXec+wsDsgyy5IvVxQxVKHOX7m2
EHAk1rIdo3a3epwhVo8kJVIUi9UVHK+YIO4s64FW+G9/Cb1zNbLcBf3M8dUjm/P9cjzKpkR+oMBB
YDi7PT0A1ZYDrnniKDOpU3VPvXCWrVABdYmiJMMAnPKHrvznAA/WfeT67U8aeuKtlTBA26bL79t6
oTirc8Z91NMQz6Wp8KX4L1DJoCAz54qpAysdfPWE0qbbZ56cUzucGn5AZqBOc4XMuTA8joJc3KDO
Q7lN/Oa0oaMHAUhN/4FeyztyK6OXMAvybwe+7pmkVq7rWc/JXq2ee8zasUg9o8BmW5wIvcRXFZTu
SD2PHezbAfHUKMlJiIuxO3a1Nz3RDcvqwnW0A/X+5rjVuyBeMafo4pNLxZwkKPxjPgTLPssGecwW
iZLWabz9qvwPf0A7qQoQPtw4X/S7LWjLUAmMBirdDRuumRBdVzcWw1OzVssW9QO6aspnqImcTf5n
HdXW71FPM5p6X8XnMBAqZdRV7xIg79hIf0rjnFpJaMrR+wHwOzBllIhOnCHrz7jBncdirPX9EFXx
h794Ee/02qOVsCzxQlhI8zYXfnNb4ptmzmgsNDdWrndFg1p7o73i+tTh9D4QqDYfJdf/HZcEuxWP
GoaeiDJMD+ajkXwoi3YsSjBVBEfVLXdr4XMjIG5kNlPouZawuAlaN7sbV6TltXdVnfT5Vdk9VEeH
1qhdHVTmgDADeU0xxe7O88LgW84ICkqJBniyA0Oa4tRRlzKWaZur8BxpsIC1qpZ34ygY7pAxxU9w
7y/zQpyEEgZ5eZuzGvSO865QXQJFJfhJPVufGqXQK5Qh3tiYidO23fhRC6D4rIjdo1cjMZhb5/re
Fcszf7LOtl47xJwU4jTI9kiTRgDme9zVhu3/aJouPFSKt7Ouw/ZrdIbgM54as68oqDwMaz69tGA4
D2HM6cxbll04v9s7+A8e4EphcNWaFQgWZDcS633fX7lsMdPY27vW1SKXFLdxayfnvsiJ49S6JCUg
r/dTmcSnvEzsHamT7FkID9Okn4bbSox4+NdpuMlMU90NfT//mQ1AOo2Fix3VS/0QDfggMt3qc9hQ
5tSFZUxbjDM/8KFZN57lW6g8uujey9HuJJgTdl5ZOcwtDY5n0N7zsogBa9/qXMhPCG5EX66vg3AY
ccFH0qIX6wPSZPh0BtiTK23qa6aYx0DrmTPB30DtE4+XbLWdg5O7Et0dO+3oZW8I7ZBOEtzSnaUw
1t5uieBQEuo3mHx7WykM7nbd2ZyXQfzD45O6jHMRwH07vGt+Bn2G0X2LwXy8o3Q+O1S4qfY4nAq6
wbvsxuEJjvFU6L2dLc5OuBlLCj7wu7xLxkcfH/ZOR8Y5Ol5NAWjZlyeyqmpcY3O5Z75fDmOVtz/a
LIYNQBS6b1XhnfxeiwcjMq7tq5SzxihCaI/HHe9lbAt6lrtxdaMD6Q8ZBSDwdNrMv/srr2eqobvV
eR5t8CGGKU3pyTmpuV+bjDRhR4NY0ycq7gz0JtmJs2AZ9Qb/VvWBf0B+3B+tACCxHpYxrUyIOKEM
7Hv2kRWdcED/q4gafAx1ufdRqmCHF/IBaflTXPrqMjpiPsGHwz6gtM9Scr+QzWIwTpmSVL2dnB41
fw1/s8Mxx+E2ooce9/Ma4Q+Mqga634wJ2hi7xhS/g6vtH4Mmb3E/jqK+a2PEmFyldeoUmfjos7Z/
FhRaHvBjGlukkImmIVyBR033VYM1bEy2qJPsvOS0+H2wI+1oWioALtlghsqaGlC7tLNHZZXdXTnN
3sh1NDWHifj1bDtmFqVKA97jDGq3WH7MYR08WxwiYmcZFYz8mDb7+whAgUPfnlyQPjrXsVj5ofqp
46xK0jaLMBqLfLJpvaq0e5+3GQ76nqkOSN+Jpp2jx3gBn50Y6WM64EJWraockDgpBoSc5+7zKpM2
PkZSWMkm7sb+QqZL9Y6z2DGnzGubYs9FmiAtdaM6ukWEUFk/JlRh/r1nkYDxREdhg5FwpfD+oQxq
r6mRCPA53ZAqoxg//VWMSMqUCRQqDSaaXdvBRn2NtJLliFwSxYlWiHki+cAE89WSZKJXGYxNsCuW
RuQ3pVeDgUTxNU9Sd54J9zleAp42OK9eK6fIP7KuUeMuMFXyTDIWorOlC1CJDcPVjIgMdk22jUeN
JHsTe2S4EVzh/cZT3YVUVqbJpo0XsS3HCn0ea82MCd/u12WjhrxVcL3LYKzvqclNiChA+8V9NFZA
0RWNTvKSr9e2KxKUq/guzp0KeDWP3Xfc0m0qhzberXbFe2sjOOh2U6P6DkhoKsdT7uty3eIOIUzK
uNgJd6ivieeIZ8kHyjhTe3slSr6W9MjRPfNg6brtmnX577yJ+E8v5mhI45Fn6qHq++sXUZYJRurO
rbqlRmuUqamvs5EldB9fSO8wLx7b6ss8t1zMIhyo0JXdsnqbqfA72P2mgD4X/A+PgmBGMqVzwo/2
BnEK3VWNdggFQwkodj5hSyyy83gVZOU+cJIV41o7ycbY+cnKElnfRMwLqInmEDPDFGPAfSi4Sq6p
IJ5fH/LBBCSbea75sqN5LXf/jcRfHnGdjWcrzNK4xoxQffbRxWcUK3Cma7q58yFOffx7FrEBmbou
5MHabIqamCQiLgT4QoQsHcgJ82PSNqdprRDdBtsSDiygcrLJYOvwyP6VpfcfX/N/z7/loyQkS7b6
n//Jn794P1SZF8N/+eM/78ovJbX8c/jP65f973/271/0z4fuu70M6vt7uPvo/uu//Lcv5PX/9f3T
j+Hj3/6w4+AblqfxWy3P33qsh7++CT/p9V/+//7l377/epWXpfv+xx8fvzlz01IPqvwa/vjXX51+
/+MPLwoTcsn+4//+Dv/66/uPhq98luqjbD7+H1/z/aGHf/xhBfHfKckiBzxiuHfCKCHqznz/9Veh
//eYOt4kcmkscyDSSblrKZYq/vFH8HeS/AKar2IyxG2HlqM//qYlRSi8ovN3cr6vL0kyXkgtchD/
8b9+vH/7qP7PR/e3lmwEWbaD/scflLpccy//52d6/RURqfMyNnluseNFfkxK9b8HyOUzi3PYKLn1
a4JAt6Mq/OQKpDWXHu/zG5Cr+BCRjv7U2DRuxmIKDzO+1n7es6sC9IBvbtSYZ3BQwPNUfI/tqeVa
XrBGo32LawRlG4nI9c6lZMvbzp41fenZz57m0Z/QLq4FTFmQ90+6HevblgcKYSaL/+042fDGMJ99
O+0Y3ctSWbeGg4hbonGYcbSWSA8LeJNRhd1dVon+nbiA6r4MgvZCiGjfbntiwM6ofcgXmRybZAJ3
jpKfVhdNN0idlhtSSfp3D9fJnVt44joKDS/kVPw1pc8eosm+xvkayXwPw9Y+NplbIcBupudC9tYx
Lk1y5mQp7hI15ZdyEOFtPHv5k+bJ8FXkJvvKjSdfmkERo0N83/hzFhRgomSR50WRocNhmU03cpnG
u8AqNKxbLccnkgeng2ctcNkeGcIsz1EMQhbrvtzXyWCj0CrqXRnEzdFtWyiw2m/rZ4HBfCPjSe7J
C/AgFMf60Fpd9StpVvoOVnAQcKfhEktl78OmVLvG69zbKI+Gl7Uoqn20VOuxI6JgX3LgPVcZ6O1E
/tshgWfeUkBu9hjz48/JdvRlKKbhQ5OrnOZrpF4wGvnItqzKugiWtQ5hXF9fFimRIAmZwGbIMaAT
u63M80pq3d62S/tVkX50Y8qy45wAECiRRoBz2JmfTqqN3wSsXtrIAPNCLgr0/0OIJ1LjyW0qjNuE
GoQIlIP4fY3AoGw3s2/7OB6PFCKUNzl3FgbGkWPR8gAQHXt99f0QiXcflh11oLGLQylLwhPCAZ7L
sZwe9RAmB79eSqSRlnVax9B5NO6scTZlw7G2CjZaJn5yFj2aZGsR5g/StexbIsPY4EmCwBIT57dL
eFVHihirUjfYxyTkgHbGJDbXVJvy2PqGBD+22+2MySvVGWRssLqWl07h2Bwpucdyrcmjyul1hxqZ
+cJWTdUjkm/MF2F4T8pM/g6iHN4SVaHScMY032M2emUj1M+DL0Zmb2I82FJJqEO9ZS34tws7Qw4L
2eA+r5DY7hOi7wwYjZzz6RHYPFMYR5f+wtpdvKFs7S/+iMBjU41eeZbWYr5RzJdnu8UYYQ+D/1qr
JX9YSb06EBFQPNm29l9tL+KfdPlwsq0kvs9Jl9nareRkzWGODjYO/BkbeSJupslVO1sN3S4eXfWT
BIoOTHUu3jTiJrSzHr5qZZvvubPapxY7/MFo0KTOQWXGbm8foq6efiOpl7tBqulI0af9guGyuOdY
xQ9gLTxSnDoGA7DEI3aX+tmGA3iypcuvwy1I31/Br1IxWmyh6tobXcnrBHP9TSW46BsVae2Nov7o
fl11Dn88a+BtZewfJqYEiUi67GFt1wV9uG6TZz9RfGiL9PGSiFUyavVquUd1px8Y5eSunHSRb6nA
RSftVaOdiqEMHy2JGLPPVRUhns7xD81zU13aDtEVTquCjAQrRmo5VdOL7Y3+PihM907EgD7m7ppc
WDIEfle3eczIlblfrBh4PQZ9OMvahaBxO971GFvbbYeupQfV5aGTtJdlXO27TENq1LqXJ2+Y2Qam
0sN1R7Jmjgm+QDidt2K8R9ok6rQxOmabcbWzcYCtn4bQWz5B3dryFGhhpwFy7Iuv0INnmdbQUwKe
rgys3ehbyzkoVxojMlIrdzhgJTMX3t0fJMSpjzW2wJjFYHl3ZI4hAckUxlt/dUBDFc7UouKx1opg
yykaHTgGxnNlqW4vC5U/27kHUlo4vXNS1gSeiCLZf+6qqebAbyDrlq5/DqaRn3+tpgfHl6x8mRM0
j0ziKIShnnhJB2ooDmR8atnjbkLq1l6wwhM1kGcVWsKyUvAjY/wg58qFssSQVxZqJs1uwXfc9PnX
Eogoh8Piso9ZYSiLVd2W7zg/YFrn+uhjnCu1IB6hBTi6yCWz38aOAAZWc1CmyB5uO8IGMMKQsfKN
L43kHB/RXBldYXSDEiqZZHIUA0rwWvrLp8NafvSSITpiXRaPbGjdnTNAJ0kUeC9mBe1VsoYBuo6J
rkZ9wGlrn9amAD9tEx4wEekMuY3UVcGCo/UiCCKzSnEyk+2mnpvBF2PuuoR+Fd3A+sV7bzT1CbaT
YAslepQZi/+TEh/k6wYtcGe6OuXwiG6U0vNNUuMYypbCu/P7pT1li3knJ2DYFB1ewHienIMtlST1
rAv3ralhPevQTZdxSe6DIRxRA5ObOeEweMh7DQzUOCvZXLAbv4OGTYvow5AiS7derLPXxBZu994/
N2uXHLKMfWu7ZJzeegjC/YzS5wBt77+sSZDzpPLdbdINU7YJI49nBempaSdX82A5frhj8zcsEV1v
bWmuHh9iGYmDAbP9KMuQyBSbAy+5UqTSU/XBHUmcW4qovHcXU8ECReOmjtsVtRZyMGBjgQ8kse5j
ByjLJUgBwakcCLLhNlC2A/MSIooroXW2ZVvPNzihdYPRJAwvWvQ+l940rqdcrbjmZiH12yqLaTd0
9JZEOR0XHb3lqBBdRMBOWBwylpNT1/buXsY4h61RjqeQBxQm1cjh980d5xFlMMF9wZgfrCgP7wvP
ZE8l9WFHVPtcmBkFRrjhSZE9QAtML6tTei+j6mdYjaIE6wE2xBuRubcwewsaTjXvJ8T4OMhMP2fg
8H1hNgZo5wYRNGQPIpsTV1h2V46DRSFt3l2mhdQTI3nKkpYqiH2VgLKtls4dojuD+rNeV9RnlLjX
SLoIaGzJVz1Nmge2NeTJ10w2E13Ls5bHSDg1Sk80nCdPkCy6mYek0ZsKwO/B5gf6xaPK3czE56Y1
69q+RRb1tGpVbAOdgOUX8S/oKHNcB7k+kX8GuMjscD/PkXfvJSOS4ZUj4sZW7oz330r+LOx2Peja
6o6JLK0z7rfoEK4LGs5ZO5cmQHKSDOTKJSAQzMXCJLf0ovWXaUhYNGN/NHvPLUAbnDAjATIRELlo
oLrtX/+5Cg/NKQ9r990QH/4WowfF9AB98SibLjsan9M0ZsY4aI8nGXJEerVjIfLfVsxWaWpwSDlg
j6mGCllB77Ao26tfEurDmVehjSPopa5ZZGPMsbdxc90fTdZhJ+NV2tQrHf6zcoP4XvXxVftFQJnO
KyLFrJkj+nrox4Rh/PQHSRqEgxoIombOrrL4MZxPreHqiB1z3Yt7iX2y5GCXV9+6NjZfz1B3yJPr
/ktIAS53/ljFxIzEKuSbVdo6s6Qlt6tUMYEgfIVaVbdrK94lJtz6OV50cmt3/HgRpoSDHTbs3trI
4gk5Jm+XZuLwUf8/ID/iTRC8NOAC332ScCH4gH+SgmReKM8w38pWxVPsk+/HGdfeRMQAEa+q+f0N
gmwUJTUF0j7M6icdGaBOISp25HGSV2Nn+gADiQ8ymiwkLT6W1R4HnHSYWWz8AU/oLvjgGM6yB9Ji
Y5KVMMGBnpCs4zfddu4IzvNjfrIVJGAvS17mr38XI5x5qqCSDnElcSU6oQcKbabHFqQJ2tJd6Meg
wzdLpWzso+mj3E5tH+Nz5fAJ50x657hW/UU414GsYu+1yUu4107ByQSTv1P1/2DvPJbjxpZu/Sp/
3HmdgDfTAsqSFEUnUZpUUA7eezz9/TZPn1YRxCnc1j+9g47obkpMbJc7d+bKtTTtybOS9DgiMkk0
kQ+fGt84vWShHu+0JiUMgk7wRdJiQjjJtD5YdgNqaZUxM5XOyKuRT65g9dqB9/c/U3ukqbzM43ve
oOmxs1nFzkisjWTl3XZVVOnxdUNFCpejR+HssSOBtUlDaI2rTNKeynJFnKgx0WUgFlUTn1/kbI2e
jY5Wk3Xz75+KwxTZqwqHiKQLZUBGDF83O8JnM0cDe6jyCqLWU8+3SlluX5sJ+4fOAO0p5GF7p8K8
cRvh7ft1BKXMi8aEfUMcRGR88tL/XGoqAWAXGd0jevDdhiZX6yYEssbK5znZpagwSFhB5YplEd6y
AYgV2XeUdWqRoYoCNpkFbz3AIMCaaxiLfJ7W8Nl85pYj50PcTQBcaQ3L08mExWY/wDphl31wq1H5
HTdZIZT9rGAkP0X8fyLll1YATL3IBrOotMad3tYFHLVE6Z5epEctDOCa70JGUZGh/lEpMsf61aG0
CNU4rd+xJDE0PeXAolbVStbXZssYXo9cBuHGCFo+T/YBtM6PXSX2eKPlDuKj/KJswOlomcQI9Jy8
lxR1BM3i2EKFwJYZ+ONWnJDt0sqcN0RUsl9eN3c5sDEry6SMZIqjqQaxtB8VJud1SayQg9tleAdv
yPtvEUBT5/XgZlDu3UuqL9K0Xs1kAGhiC0oG2bzKjMWZrwU4n/ef8G94jKoqmMpX99ipkPhGK5Vd
XtnKl6hN8oGXQ8aXvYb/WmYKT1wqZYfeN3zTjlY22JB0drSnE1BkErs3kkL/Dth2+6TjZsgxIhgR
bSOUMT9Ip4rXeFYX9FbAfsrk+TXydZveKuRHAE5gV+M6tMor0molbTc2wBaTFuSfMsqkm5pZ4Yrl
nPjXlEag3VIVo9r5aIXfxmh0c3l7MJvsAgF+3kiZKn0yA4rs7nAqzE+4Xfry9P4kRS9FPpYtYHvO
3Q300gLgqfE3YbPsicyjCqBejhblVbkqxqOsaR1dM6cR6g6laInfTANy9EzxKS121LSfRjuhtMC7
E6xLl3mB23fD6ht8pMohsohXpbBqaCzOpJDncFR8oru1+dRJXXLdgFI+ap6W3IYw1WxVrwyABvqq
92uMxtbVylj6YOk9vKLNKnu2M1v5Vspp/+lkydKhUENzG3pWf/S0saLTXoYZbKQt8uPAbXRrSXSQ
8uxIdqUfatSSV7DotPBX3NZUyWRg13F3j3L2K0eNXkI9qEpHS1pZBzmSzbtOlq0vYF/D3i0ko9ja
PJL2igapgtXDNVJGRXyEsRqSsmaAKVZfxTdkSbPjSvO7I5Lw3SfeNtpDXSTkhMjz4x3itgZ0HnTd
L9ojAUGnavpJsUrOiNmZj+wuKALHBgJUIULrsjNOMLLVKcws0WiRVi9B4+rVal+Eef0DtS3ywKso
20k5fUNW2tIj6HkwSa5qcH0wCrjxaEVQufiUEkt4RWnQGIHxJn69ohXMqqKfsUnx+fok3Ukjb6u9
3BUQ4tWn7jHsgNxRL6wUsgjyif0blitxL9mDuOYSWfgZJZYEdqhc0RtEOPaSArBvt2Fo4uhSvPKj
B08nuQhTYKxSpbbUvWeUuNGaZxTUXRJlGEupwpc25xpdFY1lHlZGoH4JK5yNGpU+NcBUJNuLtFE6
KIvLfdc2qytaoDjglpFXw4dB1rsG+HhIaBJVAWcZTgH1y8pKSay8foVVV7jmKGs4sK9XtymuytRo
OX5Rim/kIyiiOFat4bNWXpu1+2oEULgpO0p/bilQ0LTaCX/fkac0BRdfW3HcNTBnaAWIW4g/iZtI
rZ6JSZum/5aGyDygXYDzszqUIaju8N9174/WXlHlgP3IQwVgRp7S9BVQuJMhVadfOQ6kfTmO/bgv
xR0ngf8j3Z8xC6FNYOXpZDI8iyvndZyp0hEoNF16bE+G3K4jonk6hbt6ddXK+MzXfEormuwrOymN
HYUG6+b1f8KNKyoteXqsV32/8cqmpTgKB2TZgqpHkLwBN9QAgfDN05GtDP7eyoifCuhbnzqDFoQU
wYqb8MSbraLs8l1DS8AJa0na5XqqXWmpT99yrZLUYlaOVpUbm6jTlF9mNIBBP1WS962EsIAeOcv4
JDU8StpuOD14tWbAFhY2m7GmC7kqM3szhLDbm/CAXRty17iV5fW8+0/UPRMkKLZmDnUM9WC2nSkD
h1YLqFhPlXoNbH0FCD8uUA6EIx0G8RHIJxQzdgeXjrQ6VdvBS6IdNXqYpUoOXeCdumMethTfAqj9
XQio6C2M2d1VhBZ82hOUlOUYvsh62T8nshp8GvuEtpwV93TG6/y0QcydXVKOJ2qZvTHaPMBgxOl4
RvenQ2YNynMLd/e6rDwtcsOuOH2y47Gs9kWdnx5Wftx/hC6l+dDQzga0PfZ0Csc2lw5dDydgvVEt
GbcggIj8OeSccq4Kvf+3EvL/r8z8H8W0hK7zhcpMkP3Pj5//c3xJfwZldl6g+euv/lWg0aR/CYEh
zeSSNWhp0ZG9+atAo1GgQZRcIWOp6qr++qO/CjQrRfoXcqiqUPs1EdFEufx3hUZR/4WAoq1YNuAm
STb/WYVmooOjS9SO0FrSZYID+lSFoXMFrqii8zHxLDa78a1gF7YAYM8m5q+a0JsakJCjPasA6Tq/
11QNxbDobhGqwm9NAGNDTkF0COs+PJlxdwTlDmH7sNVDGsHN4geX/NHTo10eeHcLtieqQn/Ztk1J
UyVwaOak+qRFfUnSFHyCsus/esYa5oTuPt5GPyNH/Wqs1V+0M6lPkILtLxueTitjBumAWTrOZRJZ
4rvOhM0gN65NzaeZmmzy2sx+lO3tZQMT8S8xsHMD+kTDioJFIJxl4chWepCqdJNHzR3Fsmph9ZSZ
1Ts3ZEzEhsORXLCdhWIGx219UDaV0+/Tq+TJdnonf1HWiFPtTJdkwUbZmwuah/LM+pmyJKEPqOu6
QXfB23mkuBeHemtAjtEEm87PyeNoMCsP61gEZIBZM1t0XXzu6a3xeFCTZNplfUFtH04Z+mzscUnI
VJ6oh73OPCz1CkqM9FlKlvj52dLWUYsfjgSC706PSew71m50kz2Etu5pmw48OsFgO+Yx3sRP2j8T
Af3LtslEQHZlQT7/1rbXtDI0SXrhUFE1Nu2pOW2p/Wvu5b0lz+1eWf7bjKgPnw+xr9Hz0ZO0crS7
7kXZeEfbya5N1rvf1E7kNp/DBeE3Zckizvfcolfz4Oh93FDnyM+o5MAK66SoR3wqnMdTtg12xlp2
ih+Dax7FF3SywyRkW+/B/rEw9tnlVah+Uxu3DCATb7/ENgO9zekIdPrv6WPeEJI6JEENV3quX3p0
FRz/q7XNd/mR5P/SLMydNfm37alILlWsgrNAo3QH7bZjP1hHAJLH8vZbcgOb3UN7dMLRYegv4V18
E3xeGPmcSzm3Pjlr4dDno26v4Bw/2s/Gy3ADjYRLhtLprpvH9sbYr9zTwoiFl5pcDTRhs5NlxdYk
brO3k10qclGTQKLtyDA3/miAO7Y/RDU9agWvdhpUBEdch+zD5aHOjvTM7GSNQWvmFDjwaaX2idbh
KnrSmo+XTcw6LtVSAGYYKGBPNQZb2dKGKPErp1FhnajWQfBpBR1OgJ+6bGh+LH8bMidTmHWrQuk6
zip9olcnGwmBU3YXr8KFKZs9FlTAZJXmVvrAJxda6JctDXis1GownLJ56JtfHfhfzfiZKU+XRzS7
Kc5MTXwBpMH0u8XC++y8fbWr993W30v7JW3g+btFV6AWJM2pAE95u/miXCu7TDhy46ba8MDd0UAe
XfH8PMKfDWF1uTa5X7YIbagLDlaM4N2217k/mE5TIgZ7axmGLzMw6GUEiQsxTffBrn4JZFYbUsE/
PaX2kpbvfxmqCDdlGQ2QqUPnid60XZ+VTrUZNua22oEY3p0O4nBDirez3cbpPpsLo5w9AjDTK7Zk
acD+J+tIKymoP5sQBZ5dp6U4l8SiFvkxCx8vbxhZnNd383lmaTKfYDqzsZZp5AUKC3uKo9GG/AwD
ndPCqbOG7k1a8FvTQ4fingKuCXQU/wC/mjiQOAPML2k4kAweyqyy10X8FA7Pl4elTUY1NaK+3SVp
a5BoS6nfCvW61XNifv3f/X5h/yyQATnITpFg6StxvNBBBDDSXbYw3QGvI6DjkwiYABw42VsLdawV
YRyOjRNlH4ryQ54Qfdv7LluQVp1djd9m9EmIOmS5rJmN0jg0Y/ysVPkTbMnHXMteLo9m6gIZDTJF
ClGXbDKg10j5bL5a3086+rRbKPvaQ2bDS4yDgmyqS6Vdp99cNvYa2Z7v6VdrMkRUlsT7ULMnWyxC
0DPXaBRzpLvWVRwARd9Cly4sh1zSh+5aWdO9dLhsUxF3xTubPC5l1ZYNnq0Tj3hqwNqoJ6/lHME0
+it9lK+JxJxsR0Z9n2+DzcmFeXh0VPo3tzWN4u4f7BiVy+XvL5j4DABLPaVto3ZSoj9TPxqIJw5f
k+bz5ZHObExV7EgLUByR9PQ2S6wInRnYN5zI7m97mo83tomumBQC/M1af+EYvHO/r2t5Zm4yr34h
+Zol5jXFz25oZ3zuXdRj3dNBxJUwKErbzA3cbGGU7+L4qd3JbEJNXoaDhV0StGhk3Ijr9OSCktC3
8J9uoVJx5YU9NDuzOtk91bR0U9cmZzHUyrJLrRASg7o7mJ2/peS1i20VEcaFCOud138dnck7hUYg
Tdh7611KyjM0f3BCzIdxq2/lvXbwDo0ruck2cJcusxlnrKqSpfCeBxULcPetMbWGBWbsJKjs6D0E
dAod0IIXe/ewFONRAdASM/L40KdSy0hImr0pxiPinvqW3hZak65MDny/sa4iF+IeSHjd1Fl6d4hv
nx57VbZ0wLpMJ6Dgt2NTqjiqOw8FzH8HXGQ6NzTXL+ZEZPF7LtmZXDj1UJVqXjGH6TXiNuvmp+9+
h3Xrk7GFTNsxHy+f8ZlbAb9Je6IiEWOZ9mRUGSUHyfRLobyWbf2SsWUdDe+Bc9nM3MY4NzMZlFx2
iVcqvBdJ1n1qY3ofwPl8+RMbOglBSdM0LoW3C9R649CaOmpDcqHeqXRmARHaXDahCB80XRwi0r9t
TO4baPANPaDywSYIP5qH9lk7Kk4CvcLa+kSc41hf5F2w0+80tv6PeEOL0wZuqA0w1c3yaZvdKudf
M1k8+ig0GW3NyqldY3faoQzy4TuAq0PtoNroLh2A2TXUFUVCVkSRrOm9Vw10TcNTWDkFHbWHIuyq
gx82fzUyvOljOE+Ezm5IsliaDqzeVgzx87P4oZMbguRa46XmKw/0dQQQdIKBHORyIVB5l00RnkTk
y/5jSTjpM0tpNAxo3ppwzB2gNXsO7ov7bpO7+bWBxsJTcFcfaI9z0Hi8BsGJzvPKori0Rjnxo/Un
p+PsSyY3n91YdAhJLf1higX8GIpEBDku71x5Lmo5H+3kHjCTRtHlBsY/QV1mFtpt1Z6O0dALPQjI
x6CHfzzJ9ucKjE7X2ltUvhaycrMLa2DEtGmmkKaOOxO8T37Ha8COe/D6wRf0eHcnpHYvD3R2lxp0
Z5CX4pLQJvunjFpo8CpYKLMuACTrgVgv2z+4vnVL5SIySbdyIN7unMHoYcPIxdvbu/F8QXnbHPzy
JZdPC7fd3GCYKiwxcZakT9xNn9dqEtkjbQvIVmQnigMIpF+eL1nEGlOXZsgSqAedAoysT5zI6CFC
xEngATXQNlxrVnssdQFXzrWGtvzOfxnaSl9XtMiSyIg3ej9KdwvfIDbfu2+w+ATFpqoIL+PbCQXM
NBo9ZXTH+opOh44yt1vstG4davtglxzUDWzbN/6VJ6+rz6f7pSlQFsxPn0ZFHcKVgMqGU26tXX9t
vNw0+2IjUTZwo42yCY5k+B68XXY4PYAdWJPUlta0C0hb3RFpgSVHq4gpfzcd3IQEUUCDbGuyhzO5
4I8HPkzqd+YBQMqj70Qb42g9pQdaVp/I+lqu/bVzazS0nR4JTNRrHP9oLhyl2cjY0mB54cxC1Trd
53GkVnAj8vb1D3RVDJvgCp6OjXXdQxj5XXHzXXyz9LSZ8xJnJl9365lTXlWGr6OXBjFp6W0b/4eZ
wlXde0vecO5gUR1UTVmjO5rky9sNlwB0PkFDBYUohYlgr3/u93RoHqAwdD233S0/2ebGxXNRI9FD
7MiyvjVoRTaPKZMd7nnGduV/sf1+rSP0tnCQ5rz8mZnp63tU5VyPYsxAoLOBvc/Jnrxd+CHdDPul
KsvCiF6fyWcrRQNTHcKSA92v/gOZUXqbYJ9sVksr9f4sUMJlmUzKvDI5yMnEKXKpx6lCOBwe4o83
j8i77aTb+B4VyS1NzP/cGQprFu8K7g+THqm3yxRGZjoMOta0XfwRyruNyKtmj+HRX8hcvJ89m9Sm
TJJEPK/l19DubPaGIRbV5pIkwoB4+SkOEJXqvgZwHV/eETO+5K0hcRLODNVd12WqbqK5s5G3KNZu
6m3yMmzQg16Ht4BZnWGLiBwyY67p6EdasNaw+CxN63sH+/YjJtNqwNoZU6RHYJ6PsF5W6XrcjvhW
f4sElfIEpNypN8pWlCR34e7yDCzN9CTMK2tV1ejhb5ABHteeAd41fhrDT5eNzIRXYoSWKN3z+yx9
MkLgC7ICZQDi1cfkPt+ij7SGUPdZJKCWqubzA/ptajogiB5WAAaRGw6tNfLuWl0g6b3g+5eMTELS
3qZdM0G5GjhC+tmSgBGFJQ3vln+1MHFzW8OwwX6Q+lZINwmPdrY/0cJME5iVhCdu6WJEu5AGqLVI
VNRXdKF9l4/KVttaW/tTdqsvJUeE83h70YIdobOOBw2oDh7Ab42fUBnsvDQRxmu0Zh11m28r+sZc
BA/cxqVp7jFfQ+gHHHQbUC5fcG7vX5M2fcQGG4cNSKZN+L6zsQ/w90mt35DxgpdNadN1rX0dEVsZ
oItVqy+XZ/r9lYcxXVIIJ0yFjmaxEGfG4OlsKyjBYT4frwQzd4oG4mULc3vm3MLEVfuovII591Ff
RrdnFYCybaCJTszNZTMCY/Ru1c7sTGOEyJNtGsoYSVqEq3qNUi2imXQtwYhNL8OYSuj/5FK5ySBq
gSBdg7Z2zNIfXVHaW6Id2FV0ub1uQqUDRRefgD8Odo9qplJ1hxhR93RhXmay1G+m/tV5nE09kEHg
bIOY+gNEtq50A8m3AwmxazyXPNWXI8iFlXhNCp4Z1HK19tpkxe0CeZ0cQtkFo0RcxwvhxswTWgyM
kJ2niSQZ08OrerUqNzIr3qIzura37QHpxh3U/jv9Jn6wN8FPtGuoxfv7mjjZfrQzDhKiQQsu/jV6
mp7j8+9QJns7hJm8CeCrgwjuztsnx/obrYf33W5EaAoBwzWp6117D2C8eqDoqy/Mw6z3B8cEUZvG
K0qeRneRkfZtbwaAYl3Jye7lq+BG38mb6nb5Lp09xr9NTSO8rNFir0kwZdO6TbZ1Y43Gw+UDNmtC
1OwI/CWQcxOvmCpZB9stF0zUANFt0YsbFm6X+SN8ZmJyh9VAiGU9FPF3iRrLB80pHG9jb6qv2c7e
1JvkIxoRvLAUl17eZUDFTKkBhB171mS5SOfaE/N0LCD7qZ8gxHmAG44Envotpc4g77TvaGevCzJo
cM99uzytM6l4rPKOB3FuGxYYlbe7tKJbKFZsRAH86/xgOOr+dBBRQvtJ2y+nq+eczhtrk1U0AvRX
T0CwXwO/Otik25b+rW1JnBVeJfk62f6KbyxpwTnP7B2s8qLSOQ+kyicnEeXZMGmhHoIe5atC8762
kBGZubHBRqqSQXpH5yqbVE6qtB7hMWDlUHK8rnbRrj+udsreWkhWiQ0wcSgUdYnZZMBNlqZOhqGV
RpuTE2gdL5PpY/kxrGzHqA7t6tflPTE7XXhP3aSSKCAwb7eE4nXSKoC7jpoXckXt15W/v2xgftOd
WZgEcp5lQl2Qsem6o3I0t8Wu3I93yUF3oJo45O6Ctdl5AytL3Z9V0qfv6pheUiMeyVxou+RDRl82
tRloEI1bSD/c/A6GwIN8WB2WXlOzu8KS2BK6wCRPz3Mq1WVrRZiN5Dv79CXLH5v+4Kcf7eJj312p
gbleGOf7pBkDPDM4mdWR3HLU+jnrdm0ds6NwHavdeJM6S9ivmRzMW0uTsM3uS62tUXrgikW0+KVa
I57z+rjw9/qxv/EW0WazW5ItDwxbwH70ydBoZoS0RcEgPHEDzb8KUpELs7dkYjImv88LVKLx/qeb
+NE6Dj+zp8gxbzp3uJZfImq80bfLFmf3BxgBUAnkOE11YjC3pQyKNRFoc+k5LXAwN4lWyDHUCux8
clm6fpJIdytPre4btOOX8puzAz6zP4mMCz0faXrkmJfP7Vb5he6fM34u94iyKPS5OxDG3S69uWdC
QPCvPG8okYKLmC5j10XpKQ8sTEYSaicIJNYeLSAFAj+X53ZubOeGJnMrj1BlBSPUujqSwChQR7Ir
N7V72cg7gLWNRzm3MpnBujTQgkpRFgihZb+vgQ5/t79LG5peN7aj74yHArLvZ+U5+SFSGfFi9Xd2
Orlw+A5obFTRoXD+evI8qbSVpGXLyl9ihARi7xkCusuDnAsjDZlrAAwQ+EFpimaxK5MuAIlwWiML
nXNfR9fFAbj25g/HQxEb3AzXHLD/t+OxpcE3Sm/sHESn3FN+31Vfektb2BpzySdDlMr/Y2XywPWT
pstMjWCVbqNj6qb+euWke6FD5jQuZMWnfbshh+4030j0b417CPyzKwGUvzyxs4vHixfuLw3CLmvy
GXkH7/lKY7BJAyOuARMWNA3m9rKROR+j2jSpkNw1qQxN/Ga9svxaDYma4wPdl/t6L14A4XHxrSM+
dhqasDlMavaGoSuvAImzt11em3DlJthBdHlLy/TO3IyvwG9KAFyvS35kNlYmTanDdUa60p6i6TX/
hIDRCvJI60Y7omOZ7JHOOdjVWr+BdWFb3cZ36VNz5e8uT6cyF0qc2xWLejbOKG3y0Yxt8nbH0066
65+7DQLmVGSj3eu/bUHNuOrO+xhc+/cinBEpYVFmX7qCxcK9n/DfEzA5+q3WW+VQ4LzhW9gZCKVr
9o/QSBzYUZwcxcDL457bq+fDnmyjCEYghNqIPO3yBN2LQk+veDJEFmrNly0truzEc6sSmkC+2En1
c3zwxk36w3dC1zgEB/WIyB5aF45wPv+82g0o9GxDTVz5ajC7SBswa4PtpaF1bdZLGZe5SSSfZ0my
QhHYUCevhJxcpT3EvBK0mhaBUFXgEqaR+wPs4kuo4dc6x3R7nNuaJDDpYD9VMiwtJHcUGD9deZts
qieNpoT01jrApvUsufRJ/+o3bFDXRtDRubyOS4OduHLIa7y2DBlsGarPEKZ/gUHlSTXbhTf73D1/
Ps6JExUiHCONrq2Tnw4edHdW/nB5HEsGxM/PDjzAAZYtZSINUrBGGDp1+3jZwuxMUW0hUfPaCjCZ
qcgO+6odCG0VQKrkdbvCgcHlWxymg/u/szSZrBw2Zs8aRYIBGZlTtoLQ+aX+I18h2r0oFYm2r2ku
qGyVvqlZfaeGaVdKIWRCqKQHkHB5MLOphHM7ky0uS4wC0n9SCbTtHrRNcYOk3elHe1S+Q8Dm+seT
490W+wWrs/vhbHST1QoztS7zgv0QHgiYd0hafxHtY+hFNK6yNX+WT0t36+z+OLM4WbWiJiyD2Qqx
gUjaK/qHFDkGNVl6PC5ZmexzmFo0uRSJmdTvXAiXqf6R+f/fjkV8xdlpMq3aKwINK0mLFlZjoPWH
0Ntfzc3/Fa01m1443xqTy7FHHAQSLuFpd+Zzd3M6ILN0bDclDY/pzdJNvDRzk7sx1PTQhzeYfUhH
+LrI0196NnyCiXhc2PHzhjRbFGYBE5qT+yNovBTOL7YeEoZBp1HXvs+T75f395KNyaE6FQE8AFCj
OjV0ETDkfWsHaQuR/UKheS56IbEEwa14y9uviMazfXDSQtiFYs6uaX6Dh5L2EgXek2TXw/ackGL9
g0FZZM0ESNCgGvp213VAKpqiZeJy6WPS3YXmlSkvVAxnMJi2QVbuPzbsyeJoPF3MTOeUrh6QtHdy
wmC0Em61L9YP8yl40m7F40LeeM/pTXljHkRP1HDU3XYL4cKCj5pdw7NPmaxh1+WolAwqVV9Z3Qfl
CU1to+ZxmMhPl+d1Ng10PuiJM7SroEmg5RYpE1qINxFNBgikqmSdBAJJPSwnyWc3ztnYJs6wzRFX
rn1OdhSUO3+189GaPMWh2zffB6RkLo9v1tefGZv4xD4eaGqwqJDJyDCqwwO8Pu5lCzNg2bfbRqzl
2UHwlAicc06hudpkKZifeLtyCrdqnNOtsgUxe7P06pyBqr+1OPGNQ2b6BaKc4gJrr6mKQh+AGNzR
3mjrGESOi9rLdnDRlV98svwX0zoYWt6i2rsXbxhnerjqyLCZD9n6q+ZER7FnrC+QJ4IP1p/C4wPS
fwtTPH8afhudLCLUnicVZWtYig37U5etrgxFgeEGFYfLSzn30gY18/fgJivJb/UC6g8CIa9uEfk6
NFtaffZL0Jn5A/DbzGT5Wnga2mDgyFW5lcPnBE8bMvCnwEQJxvoaS9ISHGB+/mwI5wUVBh2Pb3do
mjXWSq0xaAT1Tq3QP46SzanRnMvTt2Rm4rRCWR983+ZGaKv6V9Ir2jrp0huGs0C+MPuCh4Pj7/FM
fFamwOybKjhq5U5+FtCK8uDd09Gzba/yh+hJ/txeodW6Kw7dAanXcN9cezzjT/fh12rhzpgPU84+
ZeLM/FquQMCKy5YCreKkrnyFNibYJ3UT3y0BdMQ+f/ciJFQU/CNwIEyxXVDPBoXZcO6zLPxOxx3c
hvLCxTN7BM5MTI5a1SbD0LfiDmzD5zoi3TQEWzMooGFCgwiv4CqRtC2VPyonGWeGJ2evLsseXiJe
geHB2mmbfu9dj85p7dFv4LlLL9uliZycwKoKCMSRloEitzlIHnoOwRIqZvb5bsJ6Ag5PAwNkT5Ig
XdC2kaJyGlJ7jYafu3pudt4GVfctvN5Ot/PuoMuCsdaF6kj9qa/W1dWf4IBek7A0AJMZgQDn7cHv
VdsrROjkmKG0CUkRaD4Mfz08qCs4PPxfl8//7HNO5Hz/Y25yLpG9DuKyIwEDcQWxRLKR9/7WcEGS
Ab/7f7uQxEpNjwQZS1h+RO8U2dG3I9RUs6TyQFyoQ9GGFl8DN35ZIEXuLUE4504G+CaV1hF6tZAy
e2vJR1EkVPpOvPHTbT6YdygpuTVifWb5U6E2Ia3GnbQYns3dFedWJ7sohvOYsifjqzYgiVbN2rsX
/vuBcClZV6rTuegbeV/QB72F0m/p4ngtq76b3rNBT8LuVmJuwb8IHJuA/drb1W0AQdwrjE6jM0hz
6Ke5io6+K9HOTnNJtpU38lPy0f+Q31e33X7ppTabWzRB0VJzg6PpXVNz1bdxpJ1ssmJQB30vDzCF
O720phE4cvo7k0ZdgTX9bHZQKi+EB7PBD02VKnBrHj10tb3dAoiHB0UUUSuqXSvZGL9MaGdQcT+0
VwJuoTyXL8ND9YC/dC8frLmL9dzuZBMoHQDRMadGZIzFbTSUV20vlFrtx8tm5rziuZnJYo+Uoloj
pJgZNsU2GsuNZW8vW5h9bZyZmNIZ9ZAVdMimvOIiS7d/hk5+p+7FjamsttFj9VjvFtuqxRX8bg//
XrVp+17QeVCGF7yl4mu80s6+VazX/ouTq34YP6Bvd0jatXdQntNNekMR9/lHvlvCEcyuIIwFNDsD
apOn/TZdWA5hlbFzYBVEjL1yY9V7ktqlQt/sCp6ZmUQjBvSe2lAzvX7q7/MqegnVeAEnM4ewEoXE
v4civuHsuSP3BhSVJdM5lOvwsdg0G29PrOymVyveH/pOHyg8K27E62Pp2p6fRUDBkgqzFzXot6Zb
PcAbDhZv1SpAJzhxlPHTUP3zRkHRYfzbyiQ4iGoE7CuZSSygkxIE+3Xy64+SNLRoK9DL0YKgqpOh
lCOP+lWmd47XJ9Avrw5m3N9ZluVePnCzM3ZmZjIWqTWrmoCNZpTEvx8lGNOr/GfqDQvnesYMm5oC
tugns8Eqvl2YEQq7bMxVQJJd79T+lZzoD7bqLZSxZ25gU7ZAvJv4Xko9E//UBInnr1Tm7D+N0v8O
LJYSnGJOJv7i3Mz0taRoWhv5NoNpCesr73MK/X3bx2sI4f/x4rwxNJk120vJ5reMx9Tv++ARUcxw
qdNqdmF+T9nU7zTyUMANzliCcL/KDrSBrKNYXrgXZ2IUxiG66wA9GshXvV39KgLg7MsYGVfx9jSa
n2F7rVH81reRcaocdQy+XZ64+RX6bXCyq0NPHiPOVOfond3eBpIcb5LGK5xA5f6XtLI6XLY3P4u/
7U3ufa8qTmjeacxitM+8B6OR1rG01GI1Z4R+BZo+YTlQaRt4O4uQekuhkmAEPZ1NXPaucaJVUvrn
WVvYE35bmQwF8u+Cnkis1KV2o8Nlq51gaW3Co61uPW3hoT73IHhjbRK4BL2dQH6LNS/ZRB/A+17R
8ret9wpiUs26gyyi3Q37YuFczdyCMCmwEW2Zsgpghrcz6Ue1BtM5Vn1Vvu6RIS+VJUzG3GKdm5hM
Y6/TJxOENviTurhJoydYcR+7eGGtZsdBXx9NtCZwjCmFguav9BSdTRDZZnGlVfpekZb4QuYCMsGR
RjZP0ngfTrviIxiex/qEDzJuILL8RO+Wu3K0tfeYHTzwM8ugh7n44Y3FyeqcanAIaWJwJd2U15oj
HwyA9dlRpGy07+OGSPrW3unOMlhnrqngjeXJosE5CP1wg2XvRX4G7tW78cf8UG5FBFPtlE1IEdB0
ZN+pvtOYH3wM99qVD+5jEfkiDE1vmPNJnxwLNQ+0Wg/YPdXGW22U+lsSOBF5Y3uT76mngfQZv/ro
hV7D9+YqC7fo7KE8tz65RldJQYzaMg3+AUjBC/rPtKhWbnlFhc3RHfUJtM9CGLK06NO6l943Bezc
2OyONGEpG0HAo5McMB31WJKxBmL0wQOu2O2XYsY57BvisSaoeMI6/R3vQxVSarCNpIeZb3zSvf5H
aw73Q53fNUr7ReqVLSKnW88et7lqHuV8KaEmtvO7tT4zP9nuthJAbZ72vVMV38fToWuQM/PX7bAQ
ls9uqTMzk73t6Ulm+YXXO17Na1T+2Mswr9UQxULU2hvVwnrOur8za5MNPNRGZ3haDCNpCUl8hkb0
Tk7shXTy0pAm+xSJtJVvpVHvJChjaPVpE4zNulB++mgWFnqxvXzHzzrb30Oa7lCTtPhJG5nA1FK/
dihTDepSeWHOBF2ctIUQ9kPwMEmP1aGS+UEmgjFUZ6qTA7/t7vIg5tbl3MLk/TdaTd6uBiyoJX0Y
5VM2PJz0lz+wQQsGXcQWmc1plTSykjAuJWwkRs+zAhEnLXVWyGpdNvNussiyKBZMb1zlTNeUFKaA
lN6wVuWAiYe8/65VS/iq93U7LOgSI0AgFQZUaxJ+x41eQkiCY+iRG/01uqnb7xGaQgjwmbodrfr/
OL8yMThZf1Mr7aGU2dApUlZd7jmN9Y9ZDjBBNZfHkSAJfdf4afqBr3s5Y8oUCWmJ2h07+hiXKuXv
ttnEili7sxSAFbQJcrJp70igzNvVbYeYhGIueLR5I7alAkaVoQ8RPz8z4telBZifobTh9Wh/b/Rw
baKbfHmXva/fvA7lt5WJe9Yzr0FTNO+5DPODoPutX1v60Lmh7PBnq/Pb2MRJR3nbncZauE3tp6nf
ROb3cOkeEJ73zXXDeGj5QUMTDwM2Y7I0uZboYRoVnMyyN34Cq4tcqIhUpJJShBbHTG0Oq16SIesB
1355LucW7Nz0ZMGSFYIkaCmy9yxpHcY5ymba2u/1PzFDSlyCDJJsvDW5e8pTlvqSUfdOLJd7KZD9
dZGkn0OtWHi8zA7HUiDPIKEB2f9kOL7gbPVO2Cmqa9m8X4UP1rjwUHkXG7BYcIWI7n5TIcKf7IfG
qv3Ma1mscjRfvKS4TlInra10jQzfws0wYwquCwH0IP0IiGYyawGC4X6CDIjjr6DbqVVzn9XJU+XH
u3KVLth6j86H10WkAgTfLUoJ0/bzLBwGTfYbluhaXetreSu7DQgu8H3Oylsbrr6jOvrh9CDKe/Qg
oJe+Xu5TnFk/Uq20G9G1NdP/b0RmVykGIw6h+qqbq4Ai27gw0lkbYLlgsAGXhAz4Wx8Ffs0eV2KP
RI11ZZvwtFvNR0TE/i9pX7Ydt5Ik+UU4B0BgfcWaK5PJXXzBIUUKawCxYP/6NtzpnktBOcxR9VOd
KpXkGQgPD3cPc7Pw+5N1afPA7oL+GiAIC8L0dzPjNLp2ZcDMwCZvLH8oDXTl77Ts83szl1bz1czK
R0pXDJM1YdtaUEtb6isxd13519y98I2vRlZZ3cxT2SYEPg+JSK9rn0T3RlJ+JaxfWckapj1nA6V9
i1BElSG06ZlqYM1u7r//XBcylK8rIav8oazRIk9zZPa8TRVwi+eDfq8ZirjiY3+W6MsX0zG3A+gJ
SvR1G6CkKR1VC43VaTf9mkKCWYWSe2i1n5Uzf8BUUkT+ltUcBxcRFook0OW2TQxr/+5wBGNEzAQQ
APrCxT1kqTyX01fNGa8s7cJl9ZuZ1RdEGqRJZfFrklHPyj4Vo9yYwwyCT+617ptO2JVG3p+172ph
qxTMGCX0ySrsWYm89U3cTkdQxEhQCVQ3bA+8ykMdgqUBuvXfu8pFf/zyPVd5OW1rqMlRmKUmtHSz
Gxd5U9KevzeynJzV1f/b11xd/R2DsF07w4jNt/aMR1Cx0Lvt8uK9Ejkosgu/ltfg6JfyJxgFtBnt
eDT/1yxKhdNbEEOD0YXaPN3zHd7D75INPDPSnyEO8v0Sl0D35xL/r7V1kVZXFu+SfIlQPWZ/0weA
aSFx9kbUzmvNa32Si+f736Wtqf3nDjg3DG+ipH5STmY0HZvHdl/toX4ckyd0Zn6Uz9+v7rKX/Lu6
lXP2VkrEomHmK5Duq7tP0b0nw1+PAf1zAv41snLF2ZYqlHdxtOeiC7LsBm8QUHPJriRpl30RHB4A
K2HYd50BcFe6fWLACtA8u4W6o4sgHRJfQ9Jd/mL/mlm5PDRAbWsE8YpPW7Tpyqgb7IAW0ffbctnp
/jWy/IgvhYiuTszJlijVSeKV6uw1/UPrQBMt21vpj+9tXbzpkbMs1ACuCgq5322ZhQut+xTfzZqg
vZtU8qkGnNrRct+usisO/o+Wyh+n6Yuxlb/ZeJDmtoKLpT5w6QncJJsypHF1wkPuqXmAVHQZezLg
2ybAVMZdwSEP6V9rDV7cQkhgWXg1RBq85nWoCiuBKjpWPGA8lU4vg/E5Dpvvv+rFk/zFxsrnGwX6
9A2fUXfNfKuOQAmN7pVq9f/xMUGDrxIIPPwhZ5ElplONio1zZVnVHUHnSgkb2rTNASKcSfuop+n0
6jYO9OaoPr07YMF6LCT0V7aQbR2KuOMWAB6E8h6qkjQdRw+smcpuNJv2MHAFT5HUbcVmpEw/4GZW
sqAxXHvnGknzt/NYS4QAEzGe8iwQSKy5q6bGzXQDIrp+gawmze4ceuWiunwLf7GwnIIvJ0o0tciE
itS8fZkqr39YXh1cvDoAP5Rv1SjFdCDoB8LvneBP9M4/6wIhFspGkE7aq2AxGxBSxLJwjs1lmk4E
y9QnjX9SI5hu0Wb4NRyGUxG6P7qrrJAXEx2Axv7H9CqEOKQH7eaAk1aBehuYqVh7dwBbeq72/KD5
1WY8Tnv7FtqT1+ex/wRMLctekFLoCegqhrl+/9hQw0whi4pl89A+OTG0Jjb5Md/lcfbmgJKmCLu9
iK/hYi+capC1Q13PsBf2s3XOyiEIyosS/FAJKIC1ytxIRb/lqXElNF842AuLCgIHupHmH6yKSVaZ
YB8vJ+T5xaNdscfOra446yUTBM+xoNcEPfcfmC/ao0tou3xCjV5CyeSz++tRD3C/fzWwqrr0nNQY
xpb4VAbGfsfXtHqj9ZW899J2IGnHh8KotfEHw7ZW95BM7sbJ73LdU9qNDS2aqvi4csAuXF7OVyur
laQ0V2VuYSUyrLf0Tn9bpup+Zsuz0nBogAhKbsANE3xv9drSlkzkSyxhOdV1Zi9Gm4+MbWsbvHrd
lVbQnyQRyx5hLB7oLbA7gTX5dyMJoXWFEc/pH5R3n3jQk77TdwuXoLMFibKMuogf5NaKDCglpcF0
7cXw4iK/2F+c9MsiU7MiCbgvJl/vkmAoGs9lH+o1J7mQ5+AoLVUmwHKAIKyKPjzQUa2x4IRCNFUE
AeJjM9/kkMsGl9YAaR+wOV+5l/+kV8N3/Wpyle4kqW4n7txMvrsptlRG6YbsS1C8GQ99WN+BFlL1
XMxcAct2BqLEvOKwy1db5T+/WV9FRktnUDLWYJ0ItwYyr3kqU+eK61yzsfKcysrmhDZ08lXbDsHs
E5JrLexLvgG+Vws0odDiwGTA775RFNBEJpAH9rvmVp0Mbyqo314dXLx0tr9aWa3DrkydKIRNfjHs
c2SGJnlVjScxXIE8XKgbsCX/Lmbl6LZdq4IZMPM/EC8SL9jxa4MUl95+YAc6N6B+0aAluZyFLwdK
qYeEjU6GAx2hDWXturjxra15LCrPjSFsGJH/IALjAkZWjyAMyZTVwjppSFZ1BGmGocdQYD3mGZqj
hnrF3f6cOlhO1Bc7i7d8Wdg06K06JfiAEPm+lc9k+3+IC6VfnnPuge9aAcKi2RYbiFurm1//AUPk
6gescjs3Vc0uaXKU53VJvQ51k1ez5Nj05O77wP8PIOqP4wsE5bKBqM7Iag8dbRobybDUwWeBHtdb
+14cHL8DuCDzyX7ccrC4lQeyG3d8q7zOIQ36EMR/8TUpu4tn/MsPWd974MR03RkpgmOrflvcz87L
90u9lLpCbhTVNDpyyF3XKbmA++A5DOlUHw0hieoIc5LtVsbp47hn4eyrwYhO+ui5P6zwe9OX1/av
5dV26pgdrqDggo8MkmPGwahz7WRctIDGNoH0DlKUNRd8DqVdO1Uq3G3gCmkeyXBNMpZcCipIoaDs
uTAH4uHo9zORzBAVytgMslIQUk/mAy66MJc34AT3CxVQ7LwLeAKa1r7ddk1oSBop/a2uqJ5TVBsu
Hzs7iwifI26QU6uzzTSlnjmfWPI5jjluy3f0SveNpXm0e3CGH3yw7jNMJ4AEJXDFKetKb6pv6/J5
Eh16CPdz+/P7Pbq8vqW+BWp5ef/9fX2Dpc2ICPC/hRtvYXfqovz2OpD+0kZB6MMEUsxAhHbWn3EE
49+gI4lUuiI0BA+4eSVIXrIAui0CEhdod6Kf+PtC1ErreNt0k4/R0yiR9d3gXitMLt1jIPODQgum
eP7EEKdu2kyQrJ/8sv4orcbjoNxpIDzJr/QDLpVdYA0EB/SiNoNtWUWnWWF0HlKkbMvkjBaIxKuj
+dnBbC7UAM5TUGwgPBGq/0mm+NXsyhcqF4OliQmzXH/ocJS08dGxr5RElzIOC6UsOKmQc6Cc+H2b
EluU5aAuNkCiaoMVsX1R6yuJwGUbJrzAxLA/mKV/t1HprTmlI2w0/MYybsf8qIsrr68XTTiArEPL
ZQGHrZLPqpKWxHPX5OeoGZj1kQFlArDl92fzUq/DwUOoCrV4sD78Iern4vWmNw2UDuA9CgqG8Slt
03uARz+JOiTLrAQFL+G1qujSSQICBKU/0RZK2NXn65ns6tnG50PjyKMYfc+na43kxZPW1+9XEytP
MwamIxWAiUQhHINwzUZoQLaVqtglEzkxov+U4losv2Z05XptOzitaLFnE6RJ8p75jT15OfDYuXZr
GnVcyNfv9++Sk0ACHY+vEBIGB9vqQ07UUWqtXkISe9DHHxp7ItrL9yYu7tUXE6sPmRjGfyOdGPlF
6c3cXQNmXIp56EhC6QePiGB3W9b4JSd0xlooVQIXpJ5SQTaAM892D1eCwsWU2sYgJiDXDmYx11Zy
rg15yfEuI0MA17kHueUMYod43PMxFZd501UJ4YvO8MXiKjexoeyhpRM8MMveelN67vjLBRdCPnGv
GM9kePh+ny5+xi/mVq6g6HrNHShd+bP9Xquf2gg1SRHKaxfHJXfA8BHBvUHANGaszPSTi+drsZyr
YwouvIN4WNooViADmnjQmN5f76Fcal5joPJfm2sXdIbGKhhsyjC7XXqU6lO2XZQ05i16s5GDfQTh
/o39mJxUA9JE6VXx9YutgK8/YXWyra4gxtzgJxhxf2DBjAFErw6WvrAMFCjNYFQAw67C49H/B6vF
UiOvY9kX4+uRH0fhmBBcmkiLVsQy09p89h4HGRRGAh+vEhAuidJ31lYXz2QYJGUtlqrHxk71jafy
rd8Cgg6m8mUenOzMyksiGyD45L2+yll50b9AVQsKXsiEAqbzezQQlZxnuWQI7lCEQjM8pXn/+4Oy
jICj3ww5vz+KazQgKVMqdfIZRgTFbAZDUvmcYlL4WnS+uJYvllZ+O0lFm8d8wjXHxXua0OfJvrZb
10ys/FIry5QNBCYS+V7IG4Nt/lcfaz0Ra7PJVYYJYVNTXolyIvmD7bwM16DHl0Llly1Z5zodcWXr
zliFxsVjbZX7sYTCqDOf27L90bX6Ftn2lUB2KVx+NbnqS8lJy6qOI9O2wBHft0ebdGFlPST/SRoH
FKAJMTsDDR1jdQuwnmSGweFtavLciEelw6SecWWTLjnBVxurmEy7WcvBGYFOIXU8t529GXqH3/vB
pUQDlwuE/wA1BAH46liqZVqLzkQRR8zPmj03+k01XtmRi6v4YmL58y95gNqZQ00YXA1Jt69W7w5j
/8tFrDKNRCMKNRvsuaR4UC4e6uRepNvvP9SfYzx4ikGLcOGygciVsZ5pbIySaxAqgmMds4fqw8D0
jh01u6XbM0Rxs2s3eOgNjUOxET6/pVF7zqO/b/ksvwEUSNALWNxu5RD5aLvossEh3IptnFLdo/EX
f7/OP3cLwomoUDH7BRFda10BEWWivVJkqm+nb8bwUNTPf//vY5BaxzQCwWzZ+omu6Ayt4UKbfdfI
fLA9evnVd94lNv5+0YFMjSxE0AA0oPOy+krjIDDA5vQznk0Aw/NacM+i+ej3Xr1xTnPYBPMOXblo
aj1ouFwlGP4zAME6KkiQIyxKfGt8PyCvOq0KMftZ3+36og35pARkPLfaNbjhBYgeTNkO+ntLIwto
4d9PlpJinHuaVSw0cs6AeNVRVoORuvq1SD2ZT/pGqt7fl3iwiQwXU+QOZm7X+zfWHFkEAT6zR8N/
7Cjg1lcK5Isf8IuFVbzoklnNzM4BDY9LI128GUUeO8aviqbB9674Z+zDUiDVhYYJXtfwxPb75zML
U+WKaNHHNH5ow5PZIHjkP7+3oV8wAh+AMgsSH+hfrp+3dO5M0PuzZr/51R4g8hEkppccQV0Z0hv0
i9FU7TcO2HGibNMIyFJ6cFAotDt+fjXZvfZTVgmgNZPZTOdx9qWtbmsCzc+mDPomurLi5Xitjt9v
K17dwJlZ664oTAiYR2PuGXfAYp+U0/iSj/8NfVDvQZa+A/whSiJMDACNrb5Q6oMsaxEEv7LJF4IB
fg3aLGThCcBQx++brNl1B/lxe0aCvwisKCGJ5VbfXJvevxA2l+cP/PsIamCmXKUDFVFz6nI4rWIW
xzGX+/rvJewAB/hiYn1Vc8UYOgZGFj/lTw3qpATYnL8XNl8ZWX0uYmVpOU4GJjKttrtJWemEqTrX
V3zkoov8+7XWU1ZNJea0tZjqW+Jusnuv7CaU0egd4wW2od4VhyTmRSf4Ym+VsLt2phozFSrU28yH
VAFrks5Vb87GY0V561PSEq9i8kE4+UaS6mgRffQMCoVAwxzPA7UPXaVteMKOFQeaRcj7Mam2k64/
uC4UP7LC9TAAGVczPQKx/zim46bOsh/cKJknTGffGK0eZSPdYCLsyFgW1IKg8z+5XqaqQc4sD0iS
ONHVd70RLwlanX6mY1DXVZVgbvsuUPmsRY3C7nWR6P6slRGZ+hihP5KzuLetuQrTQtTQglQjmgz3
o+aepQWu5maqd01nvmjOUgz1muvVGLzAtIYe9DY95gNqJVaAYpkMlX0EMYR6UkxjK8kABT+KX6oa
zTOVyk5pqeKlc3ZWKdmRrMSfAB7YaXq4PEFNdDikWcl8ixfMpzUNjdqJOK93Fql3Sq4Pvj72J1Am
7AFrfG3buQga3XnvauUsc+2uBOG4N3bdo0GKH21ZbDu1jXjW7EGgc1OrNfeZQHk8uXed7iShaJIt
VfPDrJiZLzKF+cbQP2qy/6CZ/tES5aPL2F3iyvOoN4e8VjBVJ9TN4KYbrZ2jyZ77Jyjj3eqNqXv1
rN3y0qIezxIlMFVMleWOdjOQeQew2HNnJXjrkqUNjYyhCaAI9KLm86vl8nORMRGWKrWgZS0f2FjH
swLMc6YPakyb/nZiGObU7PZlBm4zSSyPFNAaMIZH3uFKq+YbR21LT4IjhRF2D8FY0CsREzc5aCYh
sNf5I530CDCqR6ieUg+lLw+rsvlQVecTYLajaUBrNbXU0dN0dz9lmvTmUpwWJftGDi3ef+xwAvl+
WCf9TV/2W3dINxgFfYB4aWQp4k5lbWTw/qAk5RGq2HHbzw85UVNMFUwxmVSwW9Wi8LPUdTy03mNZ
z5WHzrzwsty6w0tDiMcZBxDB8TanPIIua5BwXd/QZr5nbDzjhepZTdMNq6GBbbUVoJa5fC1s5wRx
i33HyC4duqju5/mQMFdBzjndlz0/qFq7Mw164LqdeU5fPmZjmeLRxMT/AqEINZNe0epI6jIW4e89
SVneGNUU9FW9rZ3hIRtHNxrdPPVqCBx4bZl8NJl9rnThhK0pD8Bf/HBHPaiL6bbLjVeXJfe2WXsk
Y1BT7LvISOhbbTgfFstsLxfOXT/bN+WoDB7R6jGkhkhjuyhmb2zNmJfFgRIIXoEfsQCgle/mWtsW
Kr9RRuhDmfZJzulJKApa7rRFLjO/G2Xx3rd4JZ6tfVfIyUup/ixZfVOYHVTwxiglxUGaae6lxHyR
mfKzl/bHTPkPG7QPI7bAS9Qp6pv8nHTmvs+MEjz2IlYyNbR5sbEcdkid2vA6FxJwhrIRc3UvIKDj
VTjansMrPMmX80dljAfDHV77WrH93uw/FAd5AaTSwe42y62sGtcnXHc9N7X2rWVBf3CcIn3uA1dP
36eiiCfDhU7lfCdwTURqbxEvcfldmVqfhXQhKsHERwF3npp0K2q8R2oD+OOhDZbr29Kl285EYj4V
29R9GDSr8atWMSBrQk/Eqn2tMs6SZRuXN2GeaxEUKiIIBAXZrHoSPGsN4NcDQ7PXHoNZscGI0R3r
/HVOhhOXlm/qTVQKK9ThWZrkJ7MavcaxY16MG05aX+KjCag8t/i/N30oTRuHqQtnZ0P0xyljT6Wi
7TQOnobR3WqJgXFjZCjKj2kAbSLexe9q8ma7JW4uASEYQ9+U2Io6E4/lDC6F8qRK4ydowLYpMM68
AdYjxRq565Vj0257XhyNBJiqtC5+uEiACn6yXXObyfZBb0EPP+ph1TqbrC3uihwcv4ztNQjkWnYV
6wQxoO08mSiPVU2jHOOWjSylR+0HxZFBh9EZbTyWQJQKPni1CsoTzfW5tilmElgN417Pcp+O4OQx
cK/MaGCxxLPJrYEDMoKyDGWlRTFswM6zipHuqQ0wzK+bxwmJnAvmerqvsnPV5B5CfTQldlxogcuL
oHCP0/CYyVdTzbyxloHdYJ4Lf6GEdEBW+nN9yPsRkd7wZshYOvYcJnYeshTzeXaH55S7Boirfkox
J3Boi1sEraibhJ+Sh7o52O6Ri6cmBfICtibrNcvMrdsNgMafKJHxmNQeV09ud9vhz8e0xM2e+U5G
YjF9jHKb5amv5/czZm04f7NhuIMgGOd3vNF2GJ9TJi1oFDXo1I2pbF3ncZHB0MoqUKYSygpAF9Zy
XwwsLKnrac6pNjiACUnUpwTNnzeTnc0ckVvkEA83A1vq4EAIneoNlaqHIqazH3sX0Uiey/6EgiQc
0zYo8iM135uMnAl/Fn2s4CKiKd9Y4gPU4xHwV5idhEhMZwMHoYSlu7eyVyQIXlp+FCMOUwsSD/ps
2c9GD8GENAc2+9PGiSvU9wYSvCXjATVk0Ot1INjt0GxHHpMOb38W84ntCfI005chBXX/BJnZJwVf
dOnO6oGS3rEERNL5T2sKC7FTxRAOYIHMJuYlenYj6MF1wQCp713zg1tgD8qrrUtvBNnZSTDZ2zRB
+FI2BshyrX2GSWcCGqM+JqbjqTVUrpSgz0yczMpzMvVApRNQ9oHKHeIw9UYp3gVejBy12lP0JYV8
tAZoAyXnBmvXp5ixIqrqKiC4k+n4OBvVxsJtOEsaFI65rUBAoU1Ra0VlbgZphg5+8ZDkW0VBzgNy
KKYhS6mjkSH1ccY8aNz7rDhJ3Hhds7ctPCiO9zK/cconvf81isHL9TtRxIaYvNlmsXBfm/EpKc5E
2ZX9fknG4Kq+Xmu+43JfdctAT2+segtH9QZsuuoonsaPWXdwc7xwYGOG8mgPz9Qp0NlzcEBeQMLs
9tS3x03XbXT5PKpnMkuvBiatwO/Rkb+Mz2l6OwxVaGtNWEs0BNOPwX4dcn4qhB4K89kpP7vBCjI7
FmqcJTE1IqoERtvucqDAZoLrVH8pLO65ZoRfoLCHdtgwURwMwn06VBvFNTcT+2QtgE3kM4GNUngj
7katCLXiVcOAdYIgr1qASeLWh0SCA4wtcRAJAg2koACjmPZjp4ZlkfsEwLY23Y/9LbMPqns/1i/I
zax5S5wNZx2SnPeSHCut9bh9b2inyTQ9hQ2ekkybHOLZssNriAP5bDDVEWEEWfmi4NxAQNCTLgkN
NfFUeWvQh6TbSb2OBVCxoB0At9E+t/GFVDMu2fw0szoAQQaCtIL4VUZlU/qOel/0byzfGC2JsmHH
QRSr37pEiXmjellXeHN9R7PXrumCNK/PBn5OauXeXKQRZNXeE6Z7Vo4Al5mhzOxD6tZBJRAB4ffW
66C/y/ykiV8FAoKjP9jpbQXu21Fx8W49BPgLvspwoUxYQGJtU0OJy/y5m/nOqUQgC/GC2zvQIK43
4cpNXkCmFvdd49X2xh6LW3yO0Xkf+UuiqFGTqFA1f8+yLFCGYat2NLTdxMuZGc6DG9sZjfUEWX5T
+VPTgRy73EhmeO5g+F1526rnonym894Zx1Alny7/RbtxZ/QRL7aNtXMaBbS9G8aeMvFgsp/GEKa1
ivsspEpM8jDpmZeJGNziQY1rWMGEo4ZbjTm6N3THOX803W1jBjOeMeDq2fjLGW8Ll/liiGjzy1HG
GJwOmzZ5E272CqZKLUXocjYzuS/HEysxxkKWKKqAqmdim4K+kvFJKmDOVLaVcVc4c4BscKNpzHNr
ayOgnw2fPdBKeEaune26vkmYE0it2KGY9QpL+BPvNpqibVRccPmonbiZ7yFcsRuU16S5G8tXVNmx
3raIoLg8BETBrBSsxdDZ5m4VpFUeIjZ3nY02isAlNAWmwuKKYcjcdgILtF/p/azfufV7mZ06ST0k
6b7D0AWZqnAsjpB2jnPrQXd+FMWd4f5QJjOYILKgjhkixfNQ1F6SAU3e/kw1Iy5csN0WzyJLoXKx
79OtgQkZkhEkPVU8lthXbRB+L6EIId2ozWkoiiYyqiFWEiCyFOTUZRnwBsUTTpk66cGsltuOFHeV
kJ5s69gAamISzHdqE1b5ndN/KnUSjhLAsoQGbVrsEpOE0BHfG2MXSF0Pu8W9ULCV426grQdiqY0s
wPTXV76WH2Tq+En21jiab1Z3iYGkria+A3GsYc49jARsuxb5hAOXx9fRMQhYKBYg5uSmVfW3fKio
19Z9MKoizJwynrokJEWctfV9ySok/+4jdzCyoqtxgrJ3Nq2DSZz92Dy1Reo55exXHOTd3a1eDKE5
pKHRMT+d3YBW5rHvBDh0i8gsxiAHJUo6AbyRVueMarFV3WgdrqEGXcB/sGBbTcmxJ6p2lDWGMHDh
CPRwZ1l7oDrxkqIKRjfxM82Mmjx9cRMR2AoISXH5DXJA0qSGHa3j1GwCIiq/ZG6UOko0tog5yZkt
2wKo6gQ2ZTUvwtkisTtbgSimyDGaoO9zSGF3ARtPghBUETeZGKNOPjONn3rjRWAlYwOHkwooUeHJ
Hd/VXe01uh63oNsmVLwXyRiPGniDy63M4ZWoTZ38xkLKCqZRr0srz3THWCR4tmC3spi8BiAQxUl/
SLX3pAaSVfSYWAcUL67LooCwIl4iyRTZTMYqfcKET2japa/pzFPmcutOHOEwQYRJbrjZHPGfm0TR
AKc3A9PG1TDRE3jB0ZW+dXodbYeDnQKZRrPAqMHJQJwTbhQxmBvwU0Au7iXR6WFO5ElFUq5qLwrk
aYv0E/klSIkRE3aCu8FoHdAwRjXY4h+aDw4HOYew31tE5yKtoxQPZgr7WfNP0UBKSog4Nz9sDrg1
qmsyHKl7o08FYiOPZimOloEh9wrqCBCBf2hStHVKFAZpNkZOpkQFTe51Z9C8mhtRkSY7tME1nFvz
vmhFpECMJmmcHdGUM7HT02DQUEXGOkvtlObzT1oNexAxIRZYyIO0YWO66b1qKZ8KsMSd2wea0fzs
UkBsu2KA7qgCR25bw8Ng5i0T6pYmc2SZRUg6tjed+kdV9ZlHeRqDaXNXOZWXtWowUxrXdMkerSKU
KIIbVm4Y1sxt0LDUyV4BqNRpult3gnxBlvhUcmBkCpVsR214FFn+xkrDDSQzdzyjp3ksN0XuHItW
C0g/xrrQIytJAykl0lnyBIr0u8mg4HNk1s9Jz/1Zn15zTQNyrtuQ5Q+0SvF6rXjTSvhUR9leNAZq
9upIE/sZL4+oDRzl2ShwFOxEgp3RzZ7xzObVMvt0U608uGYJnDE0pnwEUMQfoew6vbrFy+gJ6LLE
m/R6hCiHBVGQJH1MC3uTMWNZE1bcqDxWNOs+acuzaRfbUpdP1djigc5ACdkaTRYmqn1DHa0Gb3ca
Qzj7xzwbqEDb8t6ukBLJVDT4cDmqQki4SIkEyujKGj3YsoqYIt1Ay1FUm73rWRTNA0UjrySdYszd
b5sFfdkPG7VOD1mNsnuokhdum6dkbra1QR/zgpU70vbntievk+LcDqQ5l51swsmy7KBz3U0lavQX
rXM7lJhSHEga6szqYu6Y9Kh3qhbYqeAgD+uTsFPVNAJByqOtd+iEmA8YUoago35jNe0OBd67orCd
HMnOsdhNZcFjhQXeckpt31CqZyqq+yEF4EBoz8qUPakmvR2c6SfJ1VvFAs1p5ejyyIHCDJgmHjNW
w215CR6cGRm8aTcby0WTMleaz8xOeaA0JYYARHsEVUkf4/1KB1yuqlwkJvO565cWp5vxUEMV7qkN
uCyRgARtXqNAMpTCH1y78bJs1gO1sMcIYOOn0ugeoZ4QOCN42NO0tj0zHz/b3sZ/G8ivmk9dMFap
BIMyGoBlL8Oua7IZBUvmnKVN+h3J3T6W44RRH5m5N07bqHgw6+s8HtoBMqqQErhjLgbywrqZ9C40
S9c8SpKYz13NlYexIfJXAxIgjwkHQAZmj+e5FW5QNsyMKmZPoWzldGfUlIR8MOaNsK0aXSBV+Jaq
mAAYW+RcVnrzZiZGGc2sGM71jJsAeJZ8X+ag6WvQenrFw578ZVe5puA88OZNHZL3jqjcy/qprYH/
skmMCRyOeVKzGp5aa1bf+rpQ0dMxlQ/VzbIHHIs8Um2WB12B0sFoUF5lDp0DfWIs4LJFXcUdKyYS
ZET+mAnipUZp7HqqORjBrZTI6OoywfUn0M0wSQXlRzZjSsWa2g3YdrWYJAx9hcQg28QsKjSIczso
NZVuSWJpqNqpiz81S1Qv0FFWdG4fslKgcUSTKqhT04ppWyyUcWhbSU1STIjWRh5kSV9HneoWmwST
g9vcNM6tWrXnKm9bK8SNnw9vip6KX1wzimMhWDoiOZxL1FmsrUzx2IPE+79I+7LlSnVs2185Ue/U
QYBA3DhVEZdudbaXezvzhXCmbUTfd/r6O3DtXbmMuYuzsx6zsScCaWo2Y44RH/W2Tw96KIaNOULr
tcwpIucCWglN5nMvI1pmKb2hPiOFAMNfrKWbIGxQN48UYXcBD11oalf2xGB6rWm8vBkrVOsUQSs7
D8LOHQo/fC2MPr/OTSLtMQyVFVaCQ7XRw0L1mIzbG/OBHUocoVTtI5EKT5IH3e61YthFZeojLNER
1o49QFetHO70iR5kzCTiKUFag4VXBG6RI1dsQgLioqLkjqqimCX1Sv8iq7H+iDJU9QCOWb0G9UaF
n1FYq2hePNb+lTTqzTZodfTxoZZWXYVtVCAa4clVWvnxN0x7BBjqBoT8mzGWBTJmEFHKRhxdJphi
7iBxb7YRWruxNKgOi5mEmKcqupBs0efCGIPUE0wbRNqYffeHCnvMzzozvzUwJh54DNEo28U4hIWj
spxUbhkXUW2B1q+VbdC6mKrNEyGhVAeRN6tNaiIsQ47UC2RfqB0A+WQnVYWD346+2zNgpDsjkC95
ydpL2hr+j1yRwtbqagI4pFqXXgZS012nBdHRz3LiamaluVpgGtsR0EkL2jIo6lVRH9sIImWU/obO
jWKForPV4v4wSvmyVlLpyFJfRe1J7xDbAWzTBcUTguLxUAsJExxF6T8paMZYFBrrQxveguO6tnLs
XDcPQK9fIku0JoQImPbVxED6gEH6q7obagxfGZKbSGl+iLWObBWd6x5RI33ro8m+CaQRKb/adT8U
3mK4RuCSMqpa3kq+zL7VZhvslTan8DkGPeg10y1TF8blIEem22rgTIrQvnLqDpHY2EeQFcAZuW8H
RbKrUDfu0cqX0VpukAkOLS58hA2e3hva3mx0VKl7ER9RZx63XdmBAszoRL1tB8nfS0Nr7AdMGBy5
mnJXjCL9Gaayv2m52R/6sTcvOiMPrkiBqqXfGjS0IMDb3QV9IWGgONbcrktwqKFdgqA/eBLNtHEI
o3biV+UPv1IgJx101UWi9L2X96r/TsIgummL2HzTGRNbUXXjMTSa+kpAmQNw27SPrK6v2Ub2R3MT
gafYE5EGPS40O8BlO0aM3LUmTx8APaHW1Po/VFVCrxKzTq71USYbZkpEsxGuB17NNcT8jY6hfxq0
lyU4p44tBgFRUYvGTVCi2JbQsnNQ046vai3KnwHTD550GThKywed7Y0+SiANBtXjhcgSVGtJVnos
jpFzRSrPrtIxkDaJxMWDJqESU3QMEmnwKG4DZ4VIvEVHCrOVQEXjMrpuRUN2pINHL9VyM0Lcba+y
eqitEQDnox6iyQPi5/Ga4O295DiK39ArBu85dFkdE/vfAYFXvvO1wj8OY9y6kMOQG1vuDXpbqwQ1
dMwiHeUy8O2Wy3wPXGR8rUHjJYc4j1Q9NQmpbX8Quj2i0IJBX3QJi7zrj0Nu3CUDqG7RzO/JI+W+
EBbl1ajvexzI8CbyZX2LDk6Ze2MYyNLVSJM43BeZrFjoOHTvkdDM3IqM0JctLU7Ut6APUIUMUG2y
ImA8joPCECkFWo5MBurqDssIeSdxxGNULyN5tGq9Kt47o2WPvDCU67rL0E5pq6ngLanMnqKyawWM
8+hc0EYzbdGpKKQGUexiIrC/4ALVDC4NNN4iPu51lJi0Hm2kkHSHnlLjso+ZMYCdbmjfi14AEqR2
AAglBrI4jWN7yRzTmoYQ7FZDKekWbYBuL+WohePize0wyZsXqdZMUJdI5nvZmLpF1IrbjdoiK6lz
lW4LjZTbClD/vYJCgqMQKXBruW98cOEo2o5L4M2UB7hCu4rb4VG0EbkY2RjdCtHT1542si1qBYhs
EvtOTor60Ji16jR84I7Q49xB5lKgZ2AErlzlEXKL2PRahUZbLqsBigU4r17eRRCwSKQhdVCg1C1/
9NNNWcjVMTAH3QJSM7kNghbNtcFHsUCojeEpflzc1z1qrxYdwEOfslJzVS7VDzQLpqzTqLYVZ2BX
b0TglXKLCLXrc7SXaN0zR42z0pKFNh6TlhguGgmRm8gVsC2N0EcrVQYVOfio7gUbxnyKD307joSO
6yas6VEPOvVZLWkR2XmbVReg5O1ttM5R5uvigr8mxA/QqNcU5SCB9+GWoksBteSt0pBLrse3iTE8
ZNJwX6Y6YoBUhWdntScX+R1iNw8INUDQAhBSZEiCzMJ8NUfUk/SwRNlWR01SDX6awZA7odTfNZKM
hUfoFyuSdCuVOqjdqu5GHzrN0WpSIIZJEVMo/a4VtNukBXsm5gDG/j6h6CBmpqO3odgHKXLbXkNU
KpniBtwdqOjW7zUz3rrGbGwww254n0V2F+ZHtKp1F8IntoiBoDEG4cR+gyqtQPksww7PZeXQJIg0
zfbndOtbfRC9JlJ+b4r2Um+yl4KNo5WQULPyUHtoQ/W9oAO1IiX6DjKYylZrFDTlVslccAR7ch0H
O78rkYh18Qa8FK9g0YeOns5dHpG7pBxdohrwPS1zzYiarkBA4okKTQjUCO6zMrpmab5Vco1YpM6P
GVWvUS3VnZD4wm0JXkGDTICw+EfO/D0dSYDOLK6NfIjfh5KCZTmRvicgDbFzNbjI/BSdkCLJNwOn
upX57HWsISfWglpUq+5Ujv2jRBzE7YNxXwTmtuXQFeA+QTIalq8AElyVHBrScGwoWfvSfdmrGXop
yguNtWfK9cSqBb/V0IhzexO3ahc0xDNFsa26fqfVoWmHhKUW6YLNACpogGJAoBLSdzOmpmcO3C0H
lIB1yfBKht6+kXWBVUvBnifaaMkBQKJx85alDXTJqF+gXodDLPeVB3rPbar5PyrSPLNE+lGJcRLv
Nm8MLTchiiADAyZR5iBbfPTlFqexk51smMRYYyE5vBRQZA2FuvUzH1FQCL7BoRVXZm2kbpN0PkKs
+AH8WsI1tcDYCIUeRx33mmDiOiQo7Q7Sj0ELHmJ0lPsKSRfXULQJjSDb4vRjd2YoUnRJeK1m47dU
ky5wK6GqWvY/+iZ87BIGZEio/IjH7on0pmI1xfjCuXYt6wn+WxDcFZJsWCVpKnQ2TNQSGN92rN6D
rk1xUKxBv1xQG9HSLu2RTqdxUrsA6Owrudogs7/y+fCSV8PPBjm9yw0tcdsABX+gDtF9BwsGS9uj
n2C8NZb5K3aVDtgAka1cLe6qOMsfBRiMLG4gyWAgaDOi9DpSmKdp9Y8RfAspKiWRau78sLZbP95T
FrhqTpxiJJeCxyH42nsUT1mBbljUXqo5eFEg79GlKHRqIvpeduUuVoMU5asU1Uw/9qjfO4VUbtpK
2YRluuXmtyRAUYBU6U0klRmy1G9C0t0gLw5D1bggZthJdf0UITWv1XGjlc0THRkiVmyQPJ1YDurk
IaCG5AQjnPHkHmPWeormX2vc/K76T4nRX8mjbrMgu0xTxQ2ITlAZEQO2NDiEUexESnE9VDiQ9YD6
VVtYejzVmAvpqGf6g6j4U4T6n0NrMAITNysNC/23tzhjlWPGkgdBEBPFYPoSF2F2EeES9WX6LaWP
Rv3SxChu6sr1SIfE7jByRfBaYwPeKa0e/aG0gWG25LKzKtRi8xrdUFUxHlnb9Jsiqp5iARskQ/u9
UV77tP/p+/TK0MfQaVr/Nimq73IZRpZU+ai1+hp4sXvZDagPgTcZRUZFqM+ShE56UqKnKOO75wZI
KROi2moy/qjlxI2K8NZoO2pBQQWCTWm/U7P+jWB+2GpbHzupT+CcjHedA7TPDRQTWgNIMBAcW1Qb
r0Se3rGaBV4lUCgktVI7SHQuwNP+HiGIAqTEf0aScuiQJUFUC/0hEzmtbXDxplS0xa8OXxpc4oRA
3asBIQ2CdOzj+iHyUZeiTatAJhDQLD3xe6sz0BYiLN/4SJesUR0uQTQMcTmpVKy8D64itQbwyK9V
C2Cjq6II9hD+RQFJXNcQxAwGYxP3QYUd4wsn4b7pjqZySI34CEdHAfYAF6JCxX0UytRlvvKSizZw
hBE+phHyHMxwoy4ehHyL2krthdr4EFQojxVC8z2m1m+xAU7ApCedUwQh8EuSGm/aDJNu5ohYFPfH
mzKSuwolBAdvFXW6aCT2mLDXpgl+BKOa2G1r7uImk9Bwq8hB74RvQ0N4bQLgg/X0C+j0BOE3IQBP
hgxyLYmkwSyRXzoo2E1UDHDOoZPYqoWS1qbbcRsSI27p9I65Jwdo3aoXwT459M/5vfhe2NIuaOzf
YQNWJjZ5AEIn+h7Ip35+rCFA/shlIVCbxHyFBIgQuj1DzVbwlBO69MvqT8zMILek5RMx9yhAjv+s
ojyFoNJSyFUngpVJi0Ug5Ymh2bhIhfxZLVUV59rXt5h4BLbmwhSIe/g+jTE1VzGviv86HvzTO5zh
wQnrQQEAAkRUXlLUux4UQ3gUmavEV4CiC8PzEyv2pPMOmjZVU2bgV7MDp5hMwdjALo1j72ovXuwG
e9M2voMxH5IhGF/ZdtEKQHkBOQwOChn6XpgrQf1v9krb2CdUAuutnUYVsCEJHNbzeQDsAu5bpRMC
HSOy4Gg3ZthkDUBbI0WUYY/xExR0s4xb/prm0uIqTmzMZi7k1iiLWiZQnC2imxiwXtb/9ckukHXg
q3xMqCog1vh8lnKhxaXIsQywNSCzBIanR/fTv/CNb7/xvqCXoaL8xGSMOXw2xFG61FsJo4rcMDZI
CDdmjWK+PLjnzSwc2mmy+99mZvtaRhLQhdP0p8k1K4yeWwXZSH0TpiucBouf5sTObFeruLS6gE3T
UX5/44/ld2YAUHR+LerX4dLp4/xazGyPmaAbQPkVH6dC1b20McJ7zzB/gxp+haFahkYK/K//Cvkt
zHVAUfZydJrbbN8c1E12ld1inH7SbjSd/HdeMsbPoYbMME2vzRavMamjSonnGjiwc8ODTCjuXGap
axqY0y+auWCVnhiavQCa+yETHabcJDRvSySWhXppZiscmctGoJilgZYHHAszI6aMUZKeY2dW2DKZ
bALY9ND2a0T6a1ZmZ7lsxNR+wlIQmwC5lDY3TWOCFjYPH8/vmjVDM1j+GDSSYCrg4zliPZ5/h1iA
ldI1Gsw1K7PQoM6KFEwEWE4QHIV2EOElD1c4bReuRXz8f3+XDyK/k+ij6sHN8zHIPu478D8Fl5PU
gLxdGwr++D1fNxk0iCf9GKqzWTihqT0vAFWFZ9oZmis4GF5CN74sDsox/4m61uhqiqVtEXVZ5l2E
EaK1aZoP9ulzTzBzwoYmh0bIQ8wQNT1BMyWUn+tWC/eo5ZPnvCyVfadW1CuAWbwUhYwnQQ4KrKIc
2MZIeyeP0Y33Zf6GuiI6kEK9pujibuoxax00BhDOU+BWgpQ0l2kBtJ8/kmorYSrREw2DYC7ccWqb
+JfNWCX8Eo3J5FmLFW2LgssAHE1LbyMoPwJzNSAl5pV0n4IWxI6lvtwmuc4eilTPPYCLMWnUSlBP
ZrWxU1MV2mCiJIecFTnibnQuwzovPBLxfuq5tXZGY8j2ErDkSiU6hR0omJ4g3VQAJhHVl9mQy+iH
RxWgdJRcZjpvnBH9eExBaKarF5VwZWXoqVUHNVAtHaUuQPqaR6rSvxSZIu25nPX7OkhKpwWrqvcb
5wzCtQR1b8hJzrdnpumiS3qKWWXhv5YyuSiGwgswtvAbZnSK6XvFZNA8m+1OCY2fImjhnQgguQqg
M7WsQ6tHrNw1i/fZiZnZFiRaWKlpD5eeF+8ETWUdpdbzC1ngeMNtpiNY0kF9Rtl8yJGgcz/GGWKy
Buw5WeUAKstupDttr9ml7e8qZP8/htvscVIMnHgx2gskmrjYLMXCH3fnn2Z5vb8eZhYn+IXsM1Sk
wWuQo23QJY2txeT+vI3p4vhyrMHyZkLwQUfgO3P5nLUlHyUMFtcVIMHS0dTAMmL+yIqVC2zNzszj
FwkY/YcRU/NCM45V6t9QFnvDILk6zsX5JS365JMlzdx+UcpqFMc6wsXstTF+onVqxM9Rtyeq7Bjd
j2btDli8ZgxwfLHpAID15nPU6LdEB+OgivlwKN1ErT65IMiZ/GV5OhW6B+DRMKiBaVJlPobe5tCm
A50dBvY7INUkMeyKVvoxpuMVrYojk9eix6Vl6cgZIIhlyAynYrYsqZblmGNZfucDH/4iUI+oq2zl
xJGlTX5qZrYBR5n7vZ4r2IBu/tI/Gp7Ymnbv6T/57XTEAmfNWS0aBH0zRkNxcWOi/vO6aKQ0CL/x
Hg3cKlR7FsP2/P5b2uqTWt2fBmbeMBxoD+FoGOD1VJZAtYZmeQtoeLSV+3iFY2Fps58am/lEyvJA
GabXB8JcEDT+OeW6FoAsZshIIUHApqNT+0WdSmpjheRFJOzogqCu/Z458IeO743PxJ7m6oEnhoLd
moDZ8rf6ZXW2B5OmG8pIDQQaewz0Tn5+7VfyirtY3oEnS5vtwCABVLsE8ByE5dNsNvq5TvckNhi3
/aZY3DUxkn1+g6ytauYLIU7a6yOdTnIC4E4SWuZa5WT6DXOvfvq1Zi7QpzpPoFwvMHsZepL2UBHM
TIyvJQ8uE97YmIRzzi9pQZcF3gkj0CY4JFBLmdPKRA0wPU2PL9WjM+cEPoqwEFNEyx+TBSCmlN0S
gG9O032Jca1BCvcYnOaW0g6/cc/oBoOKGjilp6nsz6c7GGkXaGAcss08sBsQ/HNMQXbqhiq9dX7J
izE54AhY8RQyQDbys6mUQyYhBOTFRn+suIg0W7MTb7Biuyagz9KPCnB29kRklV8r25K443YtKF90
0SdPMDv8peJnPDd63HRKvgmKy5Sojhr9PL/Oxd16YkT9vEwweZR+UyCGjBvhxkq8i0y+wiK8to7p
EU6yKAMzA70y0d2IttlFKbsaGDpmwxpH5tpKZnsDXi0jXYYwtU8IkGAKWFhv/rN3NfNX8Pp9PfKp
6FB1tt+A8GFNpXJyRl9ONk4YJSCWhcLezHeMcT1W5cQnmnQEuLPSiYEDajGiQgNP53Rljy9eZSY1
GK5JeGF5th6AG0UENj9EoIgLMazfbKOSXam8RMGKDu/nX97y0n4Zm/lh38yNPELj2jYBaavQjyfN
G9oyjg+IqLSmxrq45U5WNnuPmjlKPps4ReUKqiNDHXmAvwEFRRrv/KoWrxfw0QBSh5gN1N+zXWeU
pINYMrw9ujI7KbfUbfAGAoddvRt3lZ1tgN9duV+W1nZqcfbVAPzXBwAyJinbNy18bmOEi2ucax+M
Q/ONeGpk9rX4ANSrr8L3KDf9O7/uWhtrw3Q2uAPRr0Zj6r069KClcZrNGuXGAscp8lnEICpiLIxc
zZmB01DUfsIQ4dO7+Kq/wmj9jsoY97TUDajGD7GDaf4dW6soLu3PU6szf59x1ugDg78HdyEIGqij
mI9xeS/3ppeuBd/TJ/r6dn+tcObZC21goTnxjvIk3DM/tVNy1+vFJsMxXNmfk//+Ygo0AfrUhTBA
AfnZ+daV5gPBgghy8MpHxR4vuwN1dQsACW9iilWvz9tb3JwEmrQoShBNZjNzbdHmxZgirZBL85iC
SUKpAKMz6u15M8pSCGSc2Jkd8LbFeFRjYFnBS7HLP6K4ztP2g1MKC4PKTmiTfXfQHe2ObkanQqqB
aaO9CqZksNJsyx/nH2d5y548ziwiU7RKjoCpnAQAtI2+F46xDffcoVcqAs12x7z0SFfe9LLn+WVz
zhLVU5Y24C1DbnAD3ke33vhOt6dXpQMg6T71jGuxYnFx154YnJ0QP5DqNi7hE7oG9CXoB5aGuU8q
4vp/ncQdHgCTAx/sdeigzV5n32VglmC4aJv6MomeC4yUrnywpcTqxMKcorMxUrlta4Q9tSslNts3
x+BQ2rktMKR2iO3BJphNdwYX40w2Ep81Xu2lWOXU/OxVFhTYN+jDw9mYvteg0qjEw0rtevEk/nqH
84ICKdPe6MPpJAqBUUut2oDuhVmhvEb6s5gcnC5mFkK2Iiw1Q8Vi+j3bqE64B9yauv4RM9qef/XX
ZVamvQF3RkCWh/mJWYJfUgAS9R67UB/1CVRrjbRZ2R2Lr06FtpEx1eOJOfs6dYVmcVIhepASYCmU
7yXaWID1rlhZPE4nVpTPnjlKlDgARBrRFxqEYBu1Aehwxu6g1Zvzm33RV54Ymn2fFNjIvAJe2U4D
4WYop/fptgGozRS1m5rFhgEfft7isj88MTkL+VVFqmk6IuSXtpj45C6yJxeVH1c/Qq0UHAc2uZSc
NRbFJSpHXHG/vtv0XU8SjTKjmI+YPCIqu3vj2L6In+M7fRYOmpQYkMfggVUFVvSINwE58YcBlIFQ
u91hVHQlRFs+EidPMovRCO8H4KGmW1cQtqGcY/CJD+EuK1MUVKqWbExJ5wc0yiQH6Cf5GKmkvO86
XbvsIvo7NTFDBf8CnkhHKXP2XvqoGXqDINxoMWWlgPNiGNeY1JcDxhMbsxVHWgGKG1xHqFSFt5Jp
dRcYQ7aTI3dMO3vHCO5j7vGDvF1TYPj/bDVj4lRHVAZNk88fnVaBbqRTh7q3+T3Qz3Dn4RYAesew
o0cFsyIXCTTB0xXwyqIDR5T6p9VZ/KEFJVeVEfdHD4KVkgwW1Vdu2+m5vwRuJxZmdyAaWKUKrjCk
ggo4WEDPYNCbJqysblQx371yWSz6InQf0UxC2RQSCZ9fop/3cp4kuCx0NF6azp8wyF7WhxjMrVd8
w+LN+8vUPGwJDa7VYIZCHtiCy2PIh9s+0+BmI7ErqQ+uKQW8HJg8BrT39rxXWnTrJ5Znbl1Js8aM
QnyzVFQe5n33CZEdiJau1GwXt8Yk2ckMvEh9LrrKYwquNAW3x6jl1iju9XoNWkSmJ53vDYDPQEiI
XgHUs2d3YI8pGi5CZEgAZTwWXroRm+B6El8MnFVXtrQ1Tm3N3lpCic/GDlujt2Ub7Y987+/AMbST
bEwFg41fddNj+2PN7NJLPLU6uxwxviz0kiCghmO0Q6S441oxZ2k3AAUEaZipTfCFzzXHBK8U6uhi
dsBshgO/lllwVADxPr/plo4xkzGMBZUbwFXmvlepqdb5QSLAN1TbWvNdb+/DKLINEOVwHnvnjS2v
6ZexmRNmIynGXKCM74vCabKbUClAU/t63siixz1d0szjZiD7GYdAQoH7OLQbxVZcssWsv0X24QU7
smf1sVotCqytbOZvm7YtWRHj7BYEBBANqEnehu7+/MLWPtXMCVZJifs4T1FWByuARVrjupDNR7nQ
70sSRCBcWRMsXHKFJy9yXlUvg0AAdzF1XXbNbiKMrdxJ1nqt0bxmZnaCcwh0E4opIBtg2p9yl9sB
4XYZ/ezqieMMDBZ+BeKU9/MvczEYO13c7ASHBFwUKuZjbX7RuuAzUbnbXScONsqutKcEPXrEZBB2
EbEzd0qy+MZ0xFu79deCscW9QxSdyBqhsjz3ljUI6MZITHe1DZpejIcAsqbvCje4JzYUBezRghb1
mgNbPiUEkC5dZQyUyrNT0qRU5FrxERCZ2/JxuE/uiq1mMctw2bG+Bgmbw1Zu8eWF/jI5OyQF1QJW
dlPhLAR2vFWTiyiNvgGAvj3/bZftgGAZTSFkYnNUwcBlWigUdiShvGAKcesrHWYnY+r8Z3Zm6xEk
h/JDiy0Epkwx/AzDF9lYOfPa0k1Kfi1lduZR5tRZl5kjqBbii0rpLM1s3POrWLxAAe6BDCrBAPZc
UbMBuisvwOdtN3m4M6r+EBEOPshgU9JopT22+GEU0wDDO9PQyJ3tOTlSSm6UExN0hzlnEluKilsb
rFjnV7RoRoMGFbJvqpv67JopUq2jUggzBqvui5Y/5gO70Gn1eN7M0otD9Re0+FM3RJ5XMFgk5Fr2
c7SHc2ZTTDL68iMLoYmIMZL/zNIsQ26gqGWqYzktqDnIGEoCkNyJldLT5LXwd7HVfrqqaUeeJKk4
OwgSMOqIRClSnPzFfJ78keQONmYZlZ/Fo+xELnd/p5loMk1DKAIOty9YsbqvZWCsCzERVlhaotjS
kG/kca0YtLA1sDEIRUfR0DEeMduBeuELvQNSz+41aoK2NE2/gaa3tzMI5RV//avBFsI3wJtUTH3P
tmHq+wN4ZDFAUOePATFsf2yAOMUESPFwfnssOAlNJkj1QJBvoO08u0B7Da1xcHeBBDxO7VDDZKO8
cnCXLUDDHhMRyBzmqBWjTYcgUWChV43E0xsD5NV1dfM7y/hlZLYMuYoAGE+xy9XiW0wOdXt3/vcv
fnvCgCmCuigwZzN3nWVJXKOWCY5xzrc8AdPOoLp1UK6k3mtmZi4bBB4mOJfw2WUQY0rdm0jvzGBt
ZuS8ESLPMqwc2MrGkAwcF+hylT4FRdDNVKw5/8YWIjPko8CU6bgewCgw+yJtD7HSLISIwAcrWwLS
JC3FCLEZp9dSlDyFE2l6xgxXQ8XuvOWlCtUn07PwDJi22B9AdGXHj9p+gmXFtr/FVClUCn5LEUv5
ZG3mYGUpy4CygDXocpc29eoNc8RG+ZldUbtAj/T84hYuDg3KD0QBzQa4qY3ZRgwzE3QQDXaIAfqm
il8FIKxtyDZfU65ctgM06YTah870tIlOXHk+aErBWtyDOTgYW6ndjUWDgZLCHUBxcH5Ji/sRN8Of
pma+bqizNsKMNyqXoOw2lZ0JgvGhX3EQi+theHXTuBSR51UgAfEoHYwXOFkgxB4D3U7AYhFJtc3B
f31+PYsOD9NYiIwVhF/ze4ICo6SbPXyRX0+M2ektaKd2500sb/ETG7Nt0FQdKtzTrZ5dNBeqI7bF
FrzPCPnB9rxZyzIWj/KJsZlXwgxTrTcBwQeSGs8MriiDDI2/6SuIAuj3YW86Vbw5v8DpLp1VgXCd
YzgS8AMIYczRzGZXlrk66ZwYaQnqvz7qLEU2Xkozu2Q6GACCVlq5phY3yInF6auebPiilTtFguKb
nWebUQXJ7UFKD3W+hhpd3BwnZmbnSgIXPmZwGVJH6TLv7/Vm5aJa+v0AcIIphSA3g67p52WoGbj2
TOgAAEFWWWn3pHd/PRFDseeXgdl7Eph/6EctkUEEC4rU9BkkZE5YroXh0/6df39CIBulE2S3WMzn
ZTDfHEfMkkzwSXqvd7HVQzlVgwTBmD3UBoa0/DWLS8ErFvbL5OzWGBU9ByMoLqxJhlhCJh24kgsK
ZElYiYVx+atmA5LsyKX357f6UrP7k+HZJ6tBRMBF+mEYQyrjI3hP7eAyyC0QmFQW8yI3ulyr8S+l
8J+Mzj4j2NqUODGjafg4uudgD7zV7eLI75p964wOyIfJ/6LStbrU2e7nQZLwoMLuVFtgfCSwACjB
DloeTh+BchWcvJXYs/S68JF2yYcETJg+WLNyUF6df+dLVw5AHBiwkyHshaj08/Zq4FoGEFwiUUmL
XdU/x+BsN9BBPm+FTJHUl118YmbmpVWWhr6YzBQCpOQDdTIS2x15KtPqwKXrGHweTESuKb2eNzx9
vJldALZQwiCIvYwv87ngUpLAaIXXnJqdJQ9PKl3xMgvOEhcppImQCKENMD+eQxdAMgP6NAC8RQ4g
uuC1UEE9AiqQ5Mf5pSjT7v+ylmnaeOrxaWgaff5UeUHqzB8QrZp3bBPtJhLWVyiwufGDfAfGimEL
TnoIMmVuV1qKl7ihU2+Lh7UUc+E+ophFxpGZBLDR8v/8FNyQaMNj+KOEQnSg6a1WkyYu4bTnF+bv
QPwwkwF2SUMhYL+cTyVhOC2twb8r22Xxs2i3uQJuULbSyvn4JV9erAkyfnhz9FrmVyxoqIkhlTAC
Rmg3eAGNSPLNOKB8GFkh9ModzBgMU2PTRRXVUvbDW2KvFRLnHxfiVpASmeajp+4m/bJRwd+Z0B50
fGj2VBfGETmCXW+0b6Bzd0F+ADXd9IK4dD/JbAFyuCm9flt55zfYbCt/eYSZIyQ1k8e2yMCvL656
fteqT2F1rKECdt4Mmd1oX+zMXF9cEUWSBa9xvch2/0icyJPs+DBtZN3p3PhadScgly5ba6DD+WjY
F9PTKzgJbcI+5lRoeMvJTt4MUO3Nofhgm26+0R0QODrUHm4bt4cAX+KOB0j4YHYlsouLdaHB+ab7
8igzx+urOQbTIUlhk7v4sXMkK3UJGGedeA+W2G8T5ByslpscNKq3yoUOVup1NcDlD46hQmQciCzm
vivQqybQQlBJGSA/DI37UnZV8KmEw/X5L/5Rez85YP9aKzwGcmANDU19FjYrwCAnxbSzoh3bK3vt
tvNGt72KXekqtBs3OoL8tHEVD4JbGqKN9fbm7Jb74wFQjGIUeEV0Az9/d2NkXVWGZQ3e/vAyiPUX
7MAdS/IH0g8bz4zfCvBmuU+m6N+LhO1pO4INSm6259/DLHv411NMvhtpsoni3Ow1QL4vi0Ve1Tbo
vpwY3C3+e4rB9pTWVtm95uVVOL6ftzjvIc9NftzLJxs+y8XQgS65+jhr9VUNvVPtWF2BzNfJ/1Wx
+e+fw/8J3kCFmoxBntX//B/8+SfgnVUY8Gb2x39ehj+rvIYY4v9MP/bv//b5h/55LN6yu6Z6e2su
X4r5//z0g/j9f9h3XpqXT39wsyZsxpv2rRpv3+o2aT6M4Emn//m//cf/evv4LffQxPjH315e0zBz
wrqpwp/N3/74p93rP/6GwhA2zH+fGvjjX69eUvzg/01egvyl/vojby9184+/SSr9OyYjp5nC/u1f
f8H+Pg3zQrQSvenp6OFkZmDx5PjP7O8QJAaUF3OcMhLnj5Z1Dd2c6d+I/HdcT5Bcn24qzPOh+Pbn
Q336Pr++139lbXqdh1lTYxmz4AioAlOdJhBMaoL28su8T+qbMSv9Aeyoz+17/8JtkNbvwl3y1HvG
PnyOvTX/OzuGXwzOPH/DJVBzJzDYqeUB3GcYwI71bWXGin3y/v9Y6unSZoaAXwFqEGwvAERTvLAP
HNPJtm9l3qqDCFMr0WsvM4zvZtNAHilYOdCAYsBxnHo2BCbg0JvOMup6kPSdefEqAKfS/2PvTJYb
x7lt/So37pwV7ACSw8tGlGTJvZ12ThjOrEySYE+CYPNO5ynOi51FZzUyrBAj7z89URE1qCa3AKLZ
2M23QE2rXAssyuRWUXsxLe2w832hTODuZnrC5kNtFxpgRt2IktoWyIcd0QSjIah6hunZaTo3u451
VXbTgziEYotZsBDJXDiSECXcxKpACek86V6Sjk/4nwABpGQ2Hvs0AeyTViCT9mi0z+YGEMWIY41n
yRiiCsgAJzXlBGAS0J1BYR/vo6Gjm7qqRshyNbT3maJ27Qbv8HIryrzbOW0PLjwRoGZxZ7xnVoJL
qeF6YoCTZZFntPVrN8VAUt80q+gQ8znNH9FPH18Bd0pftCYqwXmzx/pBVUh9JdrO3LUVXq2aPbIk
QClNLPYtimJ/EpD+0aSnWvE2HxswzloDnp0OrOdb3BdO50dsgM9e5rbl+Ewdy63aVcmfCM6Pz62l
Td+cVlPQEgbd+EfKCv0QDQK9u0IoFZK/6WQ/RnFDfkBAgwEPq6LMN02L784skhrNXWX+akM1y+uS
ztipJTiYJi/QhNOo6ECwWxsscqOn1ywpIcxDe7t2SVbHJkS7Br0ACl4ft/qMT4V8dLcfWdPs+tTm
fsHi5CopCX001IGDh2aB6J8pGOfcjV4GbcHXCLDkzFVibRFsKvNDXDXRTTM6LfQ6x7JwUQYzgq0J
fTf0FfaafRTzOPxQNIiIeEY61WXQziZE8MxcHEncTqjRrroHZmTOg4I5RajDQeS/5iCCZcDWQyEL
wrbQvAC2AXDcJoY0X11DQwS3G1YoNd1pYfqDSJj6U6UIzzInbSNSRFSAmuzFUZCouq4Qmxo2rT45
qCwU1RZMJ7BmoTXqianuPfDUG7w5ksy6YXEDRn3SpC8dMuPXkKfLX/k0Ac6Y6lOvBCXiWRDDMttu
k6fZoy4giBElmv1AtYkkUF808i0vB+2WFFCEwNGlfYH4JeRKTKAmHrJhxGujqxsoHhRTtOlMCiZ5
ljqvXSbA2mzqGdqFoNs/mSZwxi74EBA7m2ztruJClB5lRCu8ljGgA4thfEa+kQViZhE03kqo2cMh
S3kAYCy9YglWKWBsRgcEIHWeBS+LeWGopc+WBmigOTblK7ppnZDXLNpPlTF/N83a+DFGbQZijq4n
fjejwQvEvAqxffGzi6r8VS11wGNnh/gUXA03xiXwVrASSYHI1NLb2KqGO0sZyxiLzIA4VpU6qTvY
hPRbQsbyvhSRcwVaGtmOujZBO9KpIK4IiqaCNsl2yI84GaPbjiRmewP1tzpGoiyjPzML2Q2tHqCi
A5UNdhdHbOHXKQoF59Fm5rcxLbRDX3S4b3OI59UGcLRQYyo08JBT452JZ4MSN7Y7JTeHl1YY4otQ
m+g7Ayl2Y8c0eSmmObnNtBFo/6Sg4H+2LWTvpoZCpUsXKUKY8TjyV9KXY3o1KgLnVmHjjwRgZILk
mS2KeAQDTQGl20rsEvGPEvxtMHf1COJLUFn6klHwVn0nGvFpuxxNKP5iB3xNe7avWGUCT63UFr9m
OloLAgtew5PeagvHFeV639KEDn+CtFb5NrBK9wyN3A9OX3WQwskhF7KD2kl1UJVi/oIkqn2ddRrE
x+O+tCdAaqMC1c20sW7BOM415FdHSP2MamI+QGqFHQxwffotyxZKCvCyCpRtCPEdM3ozq9kfM0d5
hJdBfU6m4jpGjeIeDyBzN04g9HuUdOZjPpfO2stWuuBxDaIbyETphv4ulG1JL7q+EmSKBFQ/YxSM
ubhGvrZjv7t81Z61gaAEEglooFXl1iPI6qIOuoENiMd4HOg6aw4vW5AiDr9GcWJBct6bvOrHzoQF
pXwVTD8YY4mgA/DYQPbGyW82dn+yJjnpk06EnizWuHGwmi8a/XJ5NMuvlTwG4B/+mS+5J0VUjS3w
EgApDirErhnHX6pEBNosoB/Iw9GICZRf2xWjKx+JSEFk3OfQD4eKqGtZfeoqtIfEZrqyED77XFhs
JwNbXKUTnwvV7/GUq7BBDLYx6wNB5ISz9rc9u49WpPATj4q2SiZYUdE1pOE4gw4pFDxWcmRrY5E2
jj1MXROlsDJrt62xM5Jjlq+A3T6FQd4358l8Sc5w4kDFRlUmQEwPOjq7mjvoWyIcMSLmpHjCW4IQ
9rdkdO1vMUiYlxfh2nqQ4iBRpVaiELANVZAgy2wXCjcrYZ61KVx29cly0M3BYHWOKTQt1H0nD3Vv
IDa6lmGUcxXydiXS4QC9I7UAoRx5Cc8O087lO81tPADPoAUJfLtLN60H9bhV/oPcCvHJsHROsNpo
x3bG+Lo9dEBvEY1trpMXNLJ68d58hByX/QD1OmiQz/5aU+DK1MoVpW2ucD1eTKedoH8OfRxD9RPe
FKRHnd/sQ/5rmBbcPQchdLxZP35GAR0JJbdgS0P7QzugzwdqktT4PXjALysU717U3qhoKZX2ghHp
6BvvoFvcJXdiPFQZ8yJAjC4vejnc9b7hTozIix7o7R6BVxxQgvHrcWpDzqqtZpjdTuu0laDy2W8E
Jg4eIHjfo9P/47yhxlho1FkkNWdxlbIQ5XQeysdXNtnZy+TEinRODTTXu3jEvGlgWgsgKV21t91Y
X/QTy0B10mObTeHlafwUufw1j/8OTfpYKKmvTKWHUTVEyV69mw/OJgfN2GWb4Wmh9NZv8SOExTUg
tSAy4CfDbi1FLSft/low//4G6VuCyoO3TIvfAG2I2+Gn8726N7bM12/tB3aNbT89Ake+vTzwT8E0
eeDSXmhap8pbscy2w5xd0nO19kZu5wGpa+Jqc1Mfh1KnQU1VSD3qquJxHeJAtjqKlZ9ybnWhZx5d
XtAJWVBnH1cXwAAAeBQ49VhfggxdAJNVhjkUAi+P+NyOOTUjzbIFUY6GGojXqEPvGni/C0hDNNFT
Pqore/PscXpqSppbQD20MaowIu7jsZffdm4W5FAnvAIwMJheIHhb3SI/6EPPVr+/PMq1yZSuEGOw
I1I1MJ3WUNXMNGNTt0DfdGUeXDZ07tY9HaN0ZZh2qvW9jumsbArFOP1Ws/OVg3TFhJwjtDTA5UW2
XIeO9SWFoGwysqf3UfxvnBdxXnTFnXzSJZL8IdAbdPV//1eb8ur/PLyVvPoY8H3/f/+K+OqI4i7Y
NZuC87YUz2NN/RX7NbU/ELGiSLejjxJN7zos/h371aw/gCJCnTrqXJcYr4V/93fsV9f+QFiYmoAU
GagCQiXh78R+pXWywL+oboIqjTcbiP5yZZaSsawHKRMyKUuUhBnY1as10MtyPnnpfLIh7askG3tj
6WDz7CdIgKI7GLQxSEC5yTcIr6qIqF2bqCYxPBYopk+4X60lVd8v2Qu/QHaU9LYwU2TTU2Q/irdp
9BfXMP3RfEfckwOMgd6M1UFLRyZBWT6INKZlaygVRJOGtMctO9VN0dadGx3JC3/UINvwXH1FLwxk
fLwxgBRe66lI0odreXnpFJMNy+/KjuQdF8B4u23xVJs3qnFAnMY9We3rYfVPNqRn5AhtR3XksNEN
T5CFcVuHedxcAxadHYmNLjoDjSe6ZS///uTlAF1GKJkMVecC+QoB5pn9VIR1LUx9jS0sXzrv40FJ
HXYhUGOmLZeIDXFhK3YDS+YRvSHQvNiZHtl2P5TrEXEz4vLn6bHcpzfg3D5enslzy+TU8rI/T8aY
RzEyPxksQzrRRSGrG+MZWyIYN61RaGRXCTlP9MqjWsRamG4o2pCmkxlDGkEwkuNmHYIp9RDy7Sqv
8DJvqW+CWJOpuuTHejmwvP1lu5LzUEE2r0RZA1RlEJz2p7LodynkAyGQMtjUK0193g7q1N1Exhwd
61IRm8tT/GkZLeNGzY9DVHDdUHD/cYqjzoQCoQXhl3a+dSiGbyHcyr9cNiK/P3/N7okV6UPOOL4b
W4cVyDs/Q0aSRRtQCBDZwwNeXFu2l71Cdhqs58GNV2zLZ/j7BJ+Ylj4srnlNGcSibMOfecvdOP3t
nShNofQJkcYmSa7BQgqIcmb0vmF1AdwY//Iknh0IqoRxV6KPDn0xH7/UKCbAtQyYQZYDcr2TO4vX
yxY+VwkvIzkxIX2mAfommgAMHWECSEOAZz9/o7fANR+ge3eFjM5lc9LSQ9YdNacmNhxk+1BGqUuX
QI8spxrHGvN0dGhxJ/VVIEaQullxmlfMyP0kgEvxfEwJ8yb1GKc/jfrPyHi7PJLF7T65QX+NhACK
61hAC386IWNNIWkZgZWVp/fIySW2jh7tmyz7moFVcNmUdCT+MoXaJ3D+UY346cU8ZIWeQ3AU6mmE
Irr/zLkFHfHerY3fq9v9ZEhaC4I3NjwslUF6MPXhJ18BNLMbS7Jy/qyNR9qeZU7jGgB05tF59MSQ
eIV57UCTt1Wd4PLMSfvn04CkbdooJqQfTVjKou4u04u7JFkLu66ZkJ5nqaL0DbNgAhqxEG77ysnK
Rzm30EwNhX4EQKjFJ/14BthtV0C5AP7E5EARF8xPbt3VI/XL7M+Br9Qjnds3p7bgZZ9evipDD45a
YjAN5K20UnMnxDGaTlvZnp8CJcsxYL5jHnEKGLYMlQarOhu1ymCeCkS+W5IgSXz1Z+LlPkq7IIX4
M711frJrxxv36a3q06vUX2ujku+n97UBRwqb10SZLxzSj2OFIPOcZkrK0B6hbNHgFAxv1T7+4Xgi
GA7K1zmAcFK4ShpevpZ8bJxaldb+0GZgV6CfxJv27NYMUG3g0ZtqB8C6T+8vL/5z2+zUlLT4+zpO
kPO3UoiZ2UHFeNjPjTeWgzdHPy9bki+RX3MJgObCTsH5bkprdFJSiA+icdTTbuzQ2lTHOOSBFcbe
0ua99ng5tyEWWuffxqRFOuhNA1n2KPUS2gYqMX0NwfNWfwRR6oavo9KWO1b6YiiawfrAewgBJXls
OnEmUrEug8SwO29AfTsi5e6ytwEovaXc/zefK8tcfrAnDU+geyLO+zHzVDpB/O4HQALQ4yMrW1Au
cfpkZhn2iZ8dOzG1uda+D8vWwqUnLQutr+NP9SA86tb3WC8rsblzW+7D0KQtN9Q2KsJ02JxC7peP
KDL9qjN3ThAQXZZK7Ed4j05Xa/1wsqP/a6xwNiAUAcYPYvUfx6qPkaEMM6a0+tkHOtS2/CZcMkmj
7fUb9M/ulhfvWknXuU2BuChFLxnObWSbpVc+6DiQp211NBYe9b0epHsSzOi/WkZaemv9V2dObhhz
LLQ2o6wf+hDSEDMLgoFQd0Bg9c8C1T4tpDpANHIvb/Qzlx2mEA3aNkHB6qeWm3wmVl5X/dLtV7tz
EbtTuuKPnrsaUAG4tAEvHdTofP84EIgL16rGKZb/Pt0W1/hUaLLhrnVnXS3po9FTwvkISaVdtbVu
083aPJ45NOG8I4quWehcQJXAR/MQm4amWa5gW3Db12MN8mW5VzTVfqZronPnPhnU0UzcQYuMmQxG
oGIQjkKK3HPG4Qup+RWP1bcUdW+Xv9nZEUHxi6JwkkIpTVqGaQ0BGKZiRGLSwSh/LvW3OhJ7J/5x
2Y4cU3rfZYQuSMJFWoQa0n1DyWi0Q5xk4OKYQIAmXvek3IP4cYMv9jRc/f+ck6fmpE3dl+jhFL2C
Oyc1XuYi2gI2ElZd4f+Hw5Lmz7YZ2N0cdtgueUy38xXUeoIWpfBISm+g+LzyuWS0669ptEy0usLb
BwNb8hBYDedOo4BW1D4NlSt9z0LDpaF5h4Nr3IDweu9cZXsliLblW7T0YgHfpLtF5BoAyWR+7K9h
SM4e24jc/fOLpA9b9C2bRwM5BzMKTLAat8aVvbO+Ruhu8TrUxrlQ3taC8i7emKtRQylW8mk2pK88
ZXhmG1Bex9HtaD7fDcclQmM+tqhwCarBQ11jEL2gLyJBfaBXfl2DB5078QhClgY1oVCCnNLH86Br
HQegSpZ5VpeGBC/wHs1ml1fYeRN45L8fPPr77XVyE3dQcsqsEUNM4ufYODTO3eU/Xw7m/ZrDdyoW
RAM+i8UZ4wCpJwMvCLPGGx83vYd29z3ZRqAQ8e3ogVjwbKIid7NWMXTuhCMnhqWFA2V1HBetxVB7
9jrar7p+21orLbnnF+eJDWmBMDq0JfQGFze+3Wk+yuXSQPFMpHpdY6/sbTAXmddu1pojz360E7PS
qQDFdJFmA8zyHjDg1PTGcXf5s51d+RDoRnEBgCJUDvZSOCxd09vLSyHeLnSseKeEPPxdgOT76lhc
TrgNFppQZLoH7vo6V2jEvPGFPapBdgUJjXmrBEsKQhVu8X18SldXxrnpowDPgXAOjw/Slx+3Vdqj
ZtWq0BLcm2D41a4KLOvl6Tuz9uCv42mH0JkDiZ9lek921ZxOPGEEGQ67e86BAhq01G3FSqnSmWGc
GpFhjq3hYCAJTaEH/ZzQq36tkfrc1gVvBcyahecAFJC0uqeu1aESrkK+G5Tm5WUVQulDf3T1Eiff
L2Wu6ib1a7b6yjrTd6caNvoEtCXnBkSgZDrrC4jdqcvzcRNvUVnrF2j6AmfbKx+genwoju2V9ZS/
oVTVLxQvOfaxWzzQleDHua9oYwOQBVKIkjBpneh1T9W501MPZXoH3FAhJIEflEgJfn+xgAmAbAdK
RsCokszMdaMZrW4DymbhsaVG7oDCWqhDrN3t59bLqR3pQCzbOdN4BzuW5qr3ReGjBGqbPLa3TWjv
ypul2c4IjedBd/NvznFYuu6O2rFeTYktqVT5UWuc/hDp4+K2t83JwA8xbpwD3/TB6FOPZB5CTMmm
3CrELR7HsMzd8rrwp223Ne/Y05qvfe5d9uFXyIdoLOKUjVhi1g38CpSPLCioyJ+v9Z2Osm/UyIym
u55/Ob+o/v3a0tGAtzXN0mXwiFB5DJ3Jaef4Tdms3OvamRP8ZHhA70lH0FJTL4iRYt+gg/yQ3vfX
w/2MsxyHq49L9+e06Xc6EkBufVyDQV8eI5E7GDU6mGOsYoyN/WAkm6i5ZWxcGeCyWqXIyIfxLYvs
5Ii1izineQYbOZhQJQPtWX1lySNv1njal7cNUSUnrEbCXijQjEA4v3dRS1S3K17E+dlyUJBAkfNH
uuXjSPSZixaHIc46FKxH6ABEMg7YupX5Oj+Mf61IpwxYPXXTMNwWY/1apsB0t7F/+Rw7F3PAJ/nX
hHTA0KnUtDSHCXoHxBm60N0FQL008M7H8m5NhmJtQNIpouRjVKgzpq2ovmWoB/5N8NjimnwYjXQ+
1OjQ0+dlwlQU4WKhuXyNiXx2CYMNjh5EZEN1ORVqO2NF0DkDuQyheQZPXN5/V/hrvFqOu0zFp71y
YkhaYYVwWCRSTNW4ENqig03wXKt+xlbu8a5euWfOL4MTa9JKEw2xwdbCsMww3tY38xVCe0813qwU
ST2EFS+vurO758SatOgGbcIzzYG1nh+6/DpvN91aNlnGqf5aCic2pKUW2zQXrQ0beljv1H1xbwao
rAR9hQRD2ITg0nltgGjNLZ7CidtsQFTdrN+bZxf8ya+QFqRRt6OhtfgV1qyBL6S6ep9vLk/m2Uvj
xIR0OU1dVxO1gwl02G+XmCwJzU27nohYzsxPC3JBTINYgR41mS6Z6nPdNiXskBvxToeygmxnu5O/
pCLWG83PztyJOekI70o+EwHUtDdVVzNSzPP3y9N2diOf/PnS/ppJW8VDoWA4ur5V8jpIiBVoHVo6
0hVLZ31yVH3/M3PS5kpRkE16jpkzQ21zRPYysMCBcuNw3C8e+VIWQ++LzVr0fG0GpV1mDngjOj0u
QcooNNFK14kfLs/h2X38LohK3muMJH8l15QoShi+UTJB31C/IXqP3ruvl42cdz2RNNeQJsJVK/va
LEKUJY2Qd1tKz9hhvJ1vzFD1jE0RZEG8b7d8jz45xJijB2g0oYHOTW/Wkn/nTmMHjVlwJUCJxWA/
3vc49BvKVIyUTIk7xHhbIQ9B8yMzDyJeK6Y6N62nxqQPZ/RZMWfLh4MmCFRTHwsDI3dWpvXsqjy1
Ih2QaKkejbKGFf4y7KE16Kt79Ft7xpUSTLccbYLPsSeO6yKmZ0e3wL6grmFBAE6yS2ucZWD84kjM
Dx17zsVhnF8uL5mz15mDSCgi2ODyUblqpOyGfLaXVzBScHY4hPFXByVaWu7qLlqBV5++52JKEPAC
GQ0EV7wJZed55BPn83LZ8O/Tnu77ULkur8jX6RX5xg1o3WFR+ZeHeH4W/7UoudJqlKuCoYPWM6vE
bacfNbQTanSHXrbyngWSD/3TgUmnMHe0AsJLcKi6YEECljftQQ3UpypEPfkdu49uVGiFIfN/2z+k
q/o0y+V4ybh0RE/cbB1lcUpIkl1VYMh2TrM1OPPrxPH7Bo/8cXJWAjQyXuvdbzgdsbTTo8GsRZTA
6LTnO2NLd8slt2igrfnCZ78gWheQ/kBNHRpLPx4pSdFOEEVZdnlahEPXu7EwA61c4zec3wum7Sz0
PjAC5WjxnJdLBg6OJEMDMgTrvahpcOnw4alqKGrE5vt5Qp2dxaa7hJJNhkYFl9I1NctzlxGqkf75
FdKZlujl4ERL/TDLnizjJm/uL6/UtT9fOlVKZRyMdPGC0Lf1FqXqc97bK2HxNROSL5fy+K83Xwf5
+Vh9qNkKqHfNgOTJkY5brNUwR3VXHYjCdijoXVveZy8yYNYg/gPVdMTIPq46ajI1bnu4Pb3XB3ZY
vNn7d5w2ktvICzWIMixE2/X47dnVDh7XUqkLYs976OPk6Y+mEOgp4RN5Nf1poD6I5lCMUOKV6N+5
lCKQLv+YkbPaPeNtnA1YBlFpPGfRFHBl3scmouF9sulYAv6hIq7Kxrh3cEO4qcGuizbyQIRYo9iv
DFiuwhJ1pwBFs7zf2skT8VeaCnCK19qKzu/ukwFLp0g3GygnoxjwLy05MFuvllQjwlTQtllL7J3z
mU9nV1o8+G4lCBj4iHH9s0Djks6eVUjN1PG0shPWJm/ZKSerJep6qrTgaHhCR1g1b1wyvQ1T5l8+
M85aQSEmUI2AHgO68tFK0yZZn84oQtLpCy9fTFAvptRYMXI2LA59z3+sSMeGptUOTxMshL/rZVt6
pMxPg/ohhqJa5sKFRblC0G+WLr/cAkjFLTM3Ai1OjTzn8T8bs3TGFNSotZmjFirPDmoFJww17Fb5
7bKR877l32O2VTmQmUH0XJlRK+fZxwU9Ggflxt4BNwFxT2N5naLIS9mAReNdtrssi08OgwONMWIh
AYBCiY8fVMeG+1XFy0gWZiPzEpMEl0186jVfCv8gI0Xwl4mHh1wFiNQRH0eCCdQBsemCRG+UsDJL
EnZ1HAEdmdImdvtOtTdkyjJIMaTc1yu0Lo8FVDPSpMQUQDwMyGi73i4tIK4pcu22HhqBxu7B3q78
3uUNJs0JCtFQBYyYFZTZ5YTI7FR8znJ8Cj2Mwl/SV82OQaVzLfF9Zjd9MCTd8FDPzIRVIjavznRY
CuntPvdjuMzu5RGZ73IZH4eEfi6U20DNEjUPSFF//MxTGjcDi8fCK2tdi70oTqcyAAEg113CzQix
nKnkDWTZbKfFfaOoD63e0dcJFxNALVamUy8RM7psrW60r+aetHcJmntBhUHEGwDU6KU1sFE8wxbd
Sz1H2TWkSmzilo7S7UrWQ9Q+RZrVtpv5bjSd2a1rYXgx+qVLdGSQ4S6lOFRSUKavewORbo0p5U9c
gHbvzjxGmNWy6b4ajcEfx95ZUC5Abne54vPG1PzBbqZtMjNg9PG3De8j4TEEKvzGHK3NWI6JhrD2
WGmu1uQG94bKhlCWo2UaeCGocfGNOUtv7JnbqBgtMuNZL/Rhgyr6Ygds0/S1UBpxhTQh3uq5ReOn
anB45Yqaa/ciL4yj7UzfnapHUryljd+BWBUafQqYY5lmN6B3Ia8XVzoaX1AMNw+m2GoU5SQayXs8
/ouhAy+gFdPOFGbzvVAF/qk2tiBxRPl0aG1oQmlqh4fZOKOxq+30gw4+jeLSyRrULc/b9qVT6uTP
Qcvr7dgm+j3vNSfUCrO7mbVW7VyFtc0bQSViFTRUGxHamIGUdxFgaV0rrwqPdkkE+tEI3U5T146F
PtMblCan1nWa1iqiZFHr8JA4ynQ7xtMs/DrLG0O4BIIMfN+yxrBCrcZm+mGB8tP5I4rYyIE4UT4c
mKGTPIgBEVIDAkVD56glTUI2jDRTczVbU6l3G7tRYjNBF/PcN4DkVUjJFdzaFMxpB5dxZrDAUAvj
RSjaHDbOzHw+4Zu54FlNOzWrm9SdOJROvV61SMgxfVdzkZEHBjAW8Ia2ve07Kw6MjA0hsdiwwUsw
u9PTMr9NioYeLWrnL+hKBH656Ut/WNzhohHmfWzm2j5CE9eGRIW2LTOS32pofw7QL9DfEqI0QR73
uguSV++4FcBqO95ZdqCnqf0aKcKg6OXqyipoS8d8bMYh3StkYhABrslGIV36w6IRplCnXed1rEo2
aarWu4wtxLXeytp7W2nMndpoZmChRP3PRNFbv7f6/jrHNh/BFlf0raE60N+dU3a0xqzxBxwNkYvc
JFCxU4erpJ6yR8MS2sYYCvPYa4odex0iDYlncWM0fXOah11eQE7FoJl+aKIhv0KV6eiljMylW1lN
MT5GDjfDOYsH67puo/4miRr2ohidfm0LoXt2NaFUqMxzoLmKZkv6eh7c0XD41yovnaA1s7ILgHNA
v0tvl5Aomiz9zSxn3e+yJHpWm1oT+4mMyZGllNVgLjn8CrEtnYWQzqu+FEMV77CNiiAdqmZb17qB
mbXIl0Iv07syUdjtUjBy101Kg7eZCnRcXtQqgAtZ321bKzau9b51bnEEUNfUqmpjWjG7jVToXxqF
A8a3IM6uYGp0TOZWeTDKqLjGWTQdlJjbOxrT9ADcB8RUo9rYdgMyuR0Owp9NLIaNOmg8bIw8Djto
GoURwMzHKZt5UGZqci/iHFi8eFS3wprykFcZ9Zs+5WHVmkmY96Q8JCn055kO6JZZ8wFTVEd8Z3NI
uVpO0e2TzARJxBLJRtfbPuhF2oeDZrM9m7GYy8mINkOqI2zCdaAessgBFDAyOvTXaWbX/axYNFsu
0ELWJuMsO0SlpdwPFhVh7ozTEwB4gJ/WJHPYBk/s+qaNBFhw6C8Nplpn6Ckr5zBVnNrPE57D/YrU
7GCrXXxMhxSwwV5pn1X0u8VQf6XA/k3zHAhm871ZTeWfYIWILxyKGX5X5/1+cKoknKxYyXHzm8mX
oXf6fRor3AQnzqaBMVF+25mN9apWPXKEg8kiv8rN/DGmGUrgeoPprgLx7qB0Iu3RALXQRb1B/1bX
KSjKlZ7RJ1Im42urFFCT1HVGSi+rKkdsWgJxnbjideanyZDcp4Aq+qY6sU1eTUbrRhogSBQyQrfD
/DrURRdyaK5/N9VyCMupgOIGZD21L3Fb59RP7TR6ggQD6pOSPCGPkKfVbnGaa2He1GrgqIi8oNI0
us4rI/dIH3V+SWaNB0qBJQhko67vYqbne0ietxuhlP2edk7Ze9pUI3wiRBHM2uAENWnLgEaTc2jR
O1Sjd9khO6ZFylFMg3OAP15dWUOr7kqDl98ckscbRW0AUVZLsi9Kkm4Se2LXDZBzBe4MUW7LNCpu
ajZpOzJY5h78gWRj1MT2eN6LbcXZGCo9tx5HGzcDrSB/zeYIgaOmOWqkhLQ96RTXoDmwwEtbwJAD
p1exvj5mVRm5Any7Q9tXYFIIvd/hFBi/khbIOE5i8iyqJAtpMttvKAdEZwbkVUKithRHGHZfNSbR
xuTzvJ9rQXdEmGLnMNsCpohC4Qydv9mzzafCZbPJ3FLriqCB2qBb5NjyY2pAtrYw2sDI+/w1iq3s
as7og4G7xzWTYoSoCc6MGHuYufhi5b6JKcrYUFwUKCpptlRxEBKfcxOlGmUDeE6U2VvDac2gBI9p
14sWTcCq0TWbGRWTP0pdQZ1iaefjG80T44gK9faomHbxY8ZeCIq6YsEwwoO1we3bU5UZv51R11Eo
jToSoFhBKZcj7LU5o3ZoFLkH7ZjNmFzpSrVNld8vDFisoAwPFUro4ZFfCDbelD2z48JTJ9Ud1Gv0
1a64p2de5DCB3kuUo78XYUneaVzFbVmVag4EOqTXdvF0zDdOMGw03BpXbL8WRjxTE/PR3vIoOnkr
T3ktuDZh4sgN+q6Nw+wyH2VyGwtNGQHa42PUaf5VSv2/4Ir/iyKfk+fIJ2zF//ve/jhlVbz/53+R
Kij9A9EtxLYsKH5gJdtoavqLVGEZfyAEsDwbHSSPwKyAkb9JFdYfGtrXwNYF9BVtEuhu+5dUoWl/
oNcWlG+8NC2gxdH39huUYvq+iU5eTotmFhamDfd0yf1B//vjWolHi2fOEKt+x0STv3WaMu3qbEBT
auVUVHHBuI73di/41oLve58UanFosrHdIkLcPsZzj3tFqVLrJokb68tQFIB9lx3qAxo65ChvH8YE
DlY28L1q1VkgSsqRZo+NdtMYSpRsmzLDKWNqdQedM0Bvk0aDsjuUGA4VunyQzHBY5zm4E45ol54O
Y8EsD7KCuq+O/XiwJ0p+zPbk3OZxo3wHNrJ4rtVp2Ne8wr2uTUaANnkr4NaQ7zooyd+iiqLbJVx0
Hm6bwjXgN+UeygIaH+2kBhrZTa4GykSLfWVi1Ac1E/phYH17x+yevI54GbwRgXJhz45a88swlSXO
Zzxt7mbH0DZOovNtBOEzF1MhbDwk4mZvVW226yHtfixao9/ErVq8ahnRvxej2W1ixRF3Q5aNN4Yh
st3MiHooDDPfTGqe7CaGK2zKR/0mrUZ+3UAUdjOqRvzckRIhB8cpBcrn0+zKACj1MLU8slxdGfWA
q4gVWW2BOji9KB6Iyq1AjZJ4D+SQuI6hBwEqu1rrHmKFU5jEOlRnzELfpH0yHWtazoFlAxrSTGLe
9WXsBCaWbxDNveU1cfFV/R/2vmRJUiNd91Xaeu9l4A44bIEIIiLnqbIyN1hVZonBwfEBcOBt7rPc
F7tfqKWjUkqny/que9NqUykrIjIA//9vJOp2WaktfDn62RZEY65LZEa60uE0on5b0CRkufIm3qcL
zGg57wIIK3re71DFvu09PXc4R424p3rz8nrRGm9gBT47EpNLFld7u9koE7xrT13is7etWdwJMVGq
RapqAgKUzAQZ1Ep/3pDSdIg0g3naNJgME3sF6s3HaSlETqN1Og3U6/O2kz6yQtyQrShxv5/AFR56
tUbZOHsahUxqvtUjOml62a04CIl3K1RT3eIlx73E17cvJWG7JVy95znc3HhXC6Tl3vi+a0d25Lod
mtc+HBMb7AjdSsNfeljktN6FgyHNvCMEM6bO8G/kTPLQDUxCmekTiKDShUpmEKRQowLQjfdrM69b
cxEJKA0BBSEv9jADtM5xcdRHMYbDI5Ge3AWVCPbl2vpPHeHqbqoG/zEWC+4Osa7HOGrGZ7lgF0sd
AmVukTaMZAqzsrcQmcEvuq7tLkaucOb8Oj52tlX7AVc1LFlCmgtQG/yyBOg1pBPWj8+9M/NpE9bs
bBds16FL6C2y2cQL6E+YGNWAscPNyoPONmC3m7abByVFCfXJquNruQhXpqESNdCPzjM3WFCJPim3
2XySW6DSYRQhz4BRsNe5E/NtqSZx2rotOE68VQfeJZLgIorcfhEzNoN5jQ5Yetc7M3XqiuITFhir
O+TbWYnGhVZu77Xu6JGhhucoMDw8YIqE12QKcHOqlb5q481PIUGCRsqpFVdChsOxoxEtMPrGj+G4
qZukCvtrPnnDrmladjvFJnlWs9ci1hZ49GdnElYdfNFwmaJzKJHpSqT+TiNGnmTvN3dIr5Z9FnrC
fENAe/PikFKFxNjBqgeOMJscRQBIQ9lE375LLFW47KbNA9OuQsRdsIXPhde1U14brCRIaQ5nkIK0
RQTu4BF7XfO6vu14J+6SGFh4Rw3XKao2hyuBwPE76vTCUuQogOTYahH1uVvcsB/ZKL4xacqj8kSz
q4msL0qv6Z6GoJovOsSmH+oKABQyuqIordoRljkFfMqGpb6mdHXtPqHEPHjlGj74W4iKtpWHXxEH
4iF4N2EnADvqtWObBmAWTkgcM8hf3+EaSo6sQSY9NLOsxamB+60Kmdw3ckquddXaz4zXQ2H0GADD
aUVSuDp0bwMJ/aNbN5PPja4ujWzJQS+q3KNwtL8BqFzng7L80MSqfAODaQqsO7AvNvgGM7z9CLhf
23rAVFgfn5JeTDmi+SUM42tT1I4zPMBpOB5hSBR7AUNfYat1GYC4MHwfo4IPrfXkwQqKmPnNiX1V
Rzj1LK3NrRnHmqdlZObrsffUxaTtdGO20H3BEhId/cGGXzQNAFy1SCC1Zd+MKW7c6rrRQ3AZA4PC
c6ym4hePtfyQODK8RngE3Cwz8hwz5ar4fFnKq3GVbj/icYRgBdNgakx69tiV4/jUkwRje9NPy8nV
tnvu+lnumkkAedwInYqG0vmhDUZ3q9fA7AOq/avQeuQA9CC4sqFW+zoJMy+RrQXeSOc2eZOIJA+P
+LP5BRJ+mcm69K4V8iqAwkiF9hYSB3tmCWApRXmZj8QGX6eBTUXftQp4pevwJA3IRWS8KccOFOGz
RAGAQCT4lU98IwFAj9HFWadnNKkPNNiKbUBURMZbRh4HPfp30IQgObyvepi2cEGtbzXEj7sVB9W3
EoDoL1PQujbtJfbglDVc7Ixah0M09N0bYt+XMUUeZXy3xbVKqWLdTY87K2dD2OWUkghn/uJfRdKi
YrcyOu/9bTolDVUFBoLqaCT1Ml/TGCmAczcVaO7SGRJbwkLr1Tvx2FUZnRL9zH2LyOupavaNrRNA
x0F4YXsVXWwIv9hTJsPHgM5lPicGi2Zdsn0zm35HW9NdM+KH1yrGlwR3XHlEqDpSd01ki5XitNgI
8fNKAGIUZur3Ub+qA/WUXzix+Z+jhDfXm+nnYi5XCjhJqwp7o8PWqlCGgZGt0ojmZrQfdpGKygvY
iGHI1kv47lm/zYOygcixscrcjECQ5Z4Sfu4X5gPxHLkMykAAKMUXv+QGugoU5nTfkeyQeCk6GQIG
Co7PD/AL0yoXfLxEMj12+WGrI1gbHfO/+UhOPW4WXdOtrfjRnwyOEacQnimAXKZ+6T0Pg8GKjdMf
keF+/OKs/uqjoeGVdzCotEgG3wsk+H5F+bbNQj0me1NHdBcvK55Zc7zmwAvGK9GgXqdG+e8lp8K7
LCug5Bjk+ucSJQFv0bzw3Wy5yJZ29va+iOIHoO7z7aj4cpXIvr0jzmJMKXu0DMYYaVOFQSldYkuu
jdiqPVT+1W20YT+MyjPmVtc0QdPmGBxVp8QhdJEB9BUtJ75ENaxjUZRHZkKyML5gedVRLb5xUsV5
I4Pq1KHc4TDH0KZxAMW3tV6GHQ7v6NJUCctX35uzQS1qp20EUqxvt4sxFjbXuFPx2Gfyxd/WZY9Q
mvaCdmbKeyXCq1aO437GB9gDOw32W5zAtq396Yh6YVU054y41dfDQQOvKGJVNaiEiIZ8iwQ7heCK
C6Ws97KO5fAd4WthkyaW+Adk3q85Iua6fJrKajcBqsbkA5K3aefTOUuyYETyfektyTGumX85Ru2y
s8Zv9kEdyVs+D97RVEio6td+2qFmYdo5HORZVQKcbR3h+RAFKDrTtjyJ0UcpVGXDrETqXxpzEaV1
h1lebB2kWhh1d64X1S6UwDFlV28Fwcl2NaxAPtH1p06bJRz3Gawei22SNBx8P427WD/gP0mOPgam
gzIgaCaJw5X4PUSWPivzKgKMHNiiEcCXY03FYzQMeAhOgbzATw87xvBwGUNcB6j5WQ4uah7KrY53
VRQ71DrIHEO2vVhwMJ8M0Ip8NhtSkGqd7GekMR0HAlB+jptgZ6wbYIRbfJuTWft3JErWh6CM6fHX
3fO/a/g/z3Zwehan/O9VQdn3r+b//p8fl/H/+aHfy4L4J2QbBKj0ROIyg3gTW/dvCzmiIwOKuw5p
zFBged658vj3hZx+QihCwDyPAsD5tVXoj4UcqZIhx75xTnEO0dyX/EfRkR91g7Dw42Ww34eoJ0Ik
5UfL3BwMrl45Wie6yznX4jg+QmP30DxhAEbGBQK/wQQ9zk8EArsfflW3/1r5/9Tq8xedG9DBCF7H
M4sNXRbscn+GAuokWeO1aoe0rbGSpGAt6EPfE/sUm9Yv4LJ8QfqLfa8aZ38JYbva2UirXRCBOxG8
TVCx0nkHtyzdve3AGchRxjvQRvhPaCS+9kFZX+AeY1erXtoJ96gMv6gejwoR9rJYTEC/SFoSZOCi
6AaLvq8eGnC6X+oq9o86CMcHNvZNMaFI4jC3YXCtUAks0nFFGk7Wkg2tYqiwLxHyDrJxZ+lInyLb
rvt48pBF1hh6OVY89na4QOZH4AP+E5IVcK6tjb4GIwh2Xq9TUWpD4UY3M91ztrQHqBbqZ4Xikkys
Xr+LVj3tJ93PLpVgRx4ZWbq917YgBKpquZrG2R+yBsUTqJZrBno9zFzfjFwQNMEkg93RSCM2WjZI
E9ZBOxdBFfG7lXjdEY0o1RuWAWpT9GtAjifNuLd+hVChxvi7ZRroI142vud1hc0ePWiwf8m+v+hp
0+342BOZgdZdnlS/de9yrRUOXKOXrNwgRfDRUnRHGrfk1qMr+tHRdISvpOPLrqW4spCqxgoIrUWT
N6j8xuYWb1uEuQpRomW9lrmkNayGztgdTg8sFQHsoxAnIPTTLc9gztbC25y+a5N2PSkM4ae5NC3w
Td1c6pGXRxv45Rfalcnt0jH7igAeDy0spp2ujbXBhUdLemllGxakDLfTZK29DUlQ53MlSYDwmgFt
hgr9VkiOjJJnKzZ2SIK+khhcXfeVYxZEDQwHHSYbulx5bYBOpTnqL9jij4dghMLG9yeNYRRN5n5m
USq95CR0rskaFPEcZqowBgRBpHsIq9GhCqQCxTt567wKf2erghe8kfCI7ahaMwWy1+YIKV1PPW3J
DkES+q5GPOSlHbzlgelq/TaBnXqMuGp0ynqxPC/R6GwG1hFHgOG0e3BVA/IXw3EpDiCpNbIbYe56
jbsILRwj1+W+gqKlxPurzCNjdXgZrT489tybGiQ+Jc1mzwPN4Nc7Bx6vGMMJjdUG1TMU1RADwKhx
jnALTxtxcJngP2nQHmHLl8V5VII1Ub7+Di6T85z1jb5HtxO9Nu67azhmEbT2XrFxcQiTXHwyvfLo
zEeDsenoXqrIPteeG+1xNFurUBtaq54flo2rLZujCQnzQ9fK9RbPzCG8RN+S2TXMBxG5oQGXMqb2
gVmqS1XWM2iL0iCFgZRVOeftjArUPf6/jBB6zhc4V0LFX0ZoVrFmMO1f1L4mSc7QrJbsQ+mCU025
tHhmzdX3ELhKtV830l351LJXtL3R4ZYt4YLr1JrxyQ4ae5FglSMpZAzjNfYvwB+yqsEFTyM6DHED
8vfOr21VdN4UosHJifY8LpfTLxumnbdAJPXBYcD4IpHs4PZYA+lh6WoXoN8rhnikreypAuCDSdcP
SY96drDPtzjvQeSUpYyv66XqrmXvhffLoOmXpGm6Lw7uExRmibn+PC/mzNLpbt8BcRx2zq5iTX2r
SQ1ahyBFJJ6GAAAEeqSuXdwPqU1K7wKM8BAXwSqa/qYVvfrW2ph9MYNgcUos598V1CZ7GXr6LmwD
cc+QkPpaI2nwgLcKmEDEs2A7ggakPJi5BQMc0PJ6NR6+iWEtsSystYH+rqWB+apAw/fpMJT+C/QZ
UKxt8SLaM4wSZuDgsNS2xvQI2RB9DD2TB9484xOeBQ2wtC81TDw5byq5rzDNw7IbuvEbtbZ9pEEp
b2gwkFsb6+7ufEiheald/FuEE5lHr57FniWK5QBD6QtGYo7H0zxbD0u0h1Aohov1NEalQSFPhYa4
uZPbU1wnzaPTPS9oracTi30IsBRqjK5Qb4Tbs0JpqtslTdm9OcWHlwW/8Dq1ixjA93rksuHR8NAZ
DYAF5KTd4Uus7nqsp1FKkJaDf8u9J4+A7w6xGdW5WKdtzXq59U+s6bp2B8KvuzLabeshaZRIdqMJ
onzgTXyaBwVATGB727C0+6pGSahHLkDrRndTt7aX0g9AhYsuAEoWE1WMNfRTd60akSZmUTz0ncs1
+e4tyn/Go1dfCc1xtpQwQBwHVDzpVINkuE007qqkREs7Z3rTOVkMoiBwnBRyqrpj6fX1nshEvVV0
id+j1UPkfhfMy3c+1c3DjDd9bUMP2xAm9QNOnbLCWtxWhfDKDcBn4j1WWIGv5EDUfVRV4luDKffZ
LTGqt1TC2Qm8Ajltsloe54mPiKGPIhmlTRS3F1Wj6+PsW5E7qDIZNjXdPsGs13wZpAPPyKS7LrHe
vOq5Z3ewJCcnw9qhYKVP39elqt/juDPoDejp8oX3yr+wDQJ/M2f88XNTTUixsoSNB9EH3ufWr1qe
+nVFhtTrufetd5O6UViw+tTq2A8LHH/uCV7E8WWm2jzJDbkXdx3Gv0fsoCF65ogHsfeEC5fulKzk
HRlHwNR02LAqqNKzT4SbUKfC+vS+D2qGDYo5uuQb7/3gmlkkdZz6eWlfndDztSmhwoI8OcLy5MUd
7gCuHutBLNCdDXobMp86cgGkTWcxr4YvuFgJXJ/zeg239LpejyD9DwQxIv0OusLIz4fR69/Nukyo
aptpdzVBODtAAQWLCu5pnwOk5VKdWoxG6xFflanwGJVVeGF6xG8Xg3KyTjeEJjxj0Wpwma5kYymK
GdApLgM5oTYN+OO3aqHL29JbbjPgW9zPF5KgfRzvZjwaugZPZLLdvbDz5mdkgvIgLRtbvSko5O6t
c/5udBiEkdtqB/SKLWr5tlWj26+lrt8iCeoIF+4qL9284HU3JPubDHEDiGaZFLIswWqjxzAl0F3C
NYeiyKuED+NPdLoftaN4eoCx4ziOzmnzaA398zyM/AYguAlGcQODQnDTjU//fuL+Cy9M4V5LYEqi
CGblEcy0f34Bjd/92SaEOQiZOkCa2GE8nCM5QhQ1FMnxZyFBf+GF8XoUjSn/WjHOoTp/fr3arl5r
a4RsnBuCk/HXRJgArzdeezSdC3M13fw8jOqvxR4fXvWD2lkBcPegecET49jfhxe/Zi8hF0bd08PP
8vL+Ygz8+Ak/fGUzRE3KT/BaeEoXAZ4RODLzJUfLX4LuokOcQ7u3G6ubdle+AXE4jCKFPPXnXax/
3aX+/KHpB1oVurKZhCHeSFCYIzCfAyvOsX0//8h/CWH89SMnjCOiJgxpFH0QF2DT5e1Y4ks9f2SZ
D0XSQ1dtL8f7swd32G1f2uAnN8bffqXMx04cod8a19SHT7espIxAPJ4/XX+t0ak9p2MKIeLjWPxM
Q/y3Fy07P0GQ54cH0MfPN+BcX9baoYbxzp2LDnZA/1BpPp+8vXfOjbkh+c9ulI+mBoQYUY8iy4ii
yQE7/4dfKdoHNzTGQrrNNoIExBnJZP2+/s1r8F+o5p9QAp3jeP93oOa+Gf5RmK/y/fs/3lH3MXU/
Yja//fRviE2QfOIQq0MBBCk5ox77Q0IR8k9IzU7AI587llG0ju/xfxAb/gkVzhSBKQGMHAgSxLPu
97IPxj6hSg+iC4A9Z1AJqoz/QELxwT6FTHU4C/AyuFIiGJ8/tv8lDnGao/OX/NxzatWSsc6kkXgl
+mlDOP0Pv6a/AWmCj3YmHEj4vACazv4RhBV9bHtPjBlVjckBUkh+00DkqidwJm0g43RYJig99uFQ
znZI46XiHtYqO8wJ2kInsgKzmE0FuWiGJQ67Ap9aaJyFKUFeQjGpAVAmAgvFl3WqLIwKZYRiBw6O
eaibHiW7YhWYm6Ul5iwxN95yS0c0Kj55Xegjek6uyxzFeNCqKtygjqjsgD0t7rYW8MLGMOgipqJ0
4w0RlXWPtPGhzE3E5K0HxD/UaQuZefCKUaC091S1cXzb0di77SE1v3TUAjVG5CcU3X4r0VMU0ZJ9
w68dJVGdrm4R5w/kZx7G6alrluSJSwhr0orFoII3btUlZlh1Z5mrvpt6MjIv58FnaaJrpFp6HlT/
eSVHNM9yEa/bvm6FeZO2FRuE/aqEEjewnsUi34SnxJciyKgr/VvQdaQuMMF53xSgxTkLSK0fN74s
jx3KM+8c5N1vG9XhZ3xybBpohSHvZ5F4nXmhZHeDngfUPNeh3lvSt7RooyD8vKxbMn+JlhZR7Stk
mkFKazIh6nzyEN0NwCGcgN901avq7HYpoakE2ASDOGgwdNGATveRWnbPp6b9SqcWfZ5+O4cuqwd8
FViLtALthiz4IZOk1CKVQMDCVE1zEuczZKpVWooy9lPKm8kBhhd0e8ToYEGjmRguhqGuhMrWfpP8
OTFkWnOG3mmoW8N1gXEbK1QqHb60bEk4gKmgtsU02/GbnskEYGOD1pKPtMFOXYt23REXt6+602eZ
hACMmU5JT8sjJI9mfsD6B+FxGQvgTus4xW8QrgdLivYvtHpsZSx11tV2onnCBfbUPholz5ga222/
OQIZPZbpjWZhtYKyiiLLWeqwnsZo/OZdl8sVWHEaV0GMRDTDmcD/qgDZhnMN+fOI/tsuJwlfgwwL
Rh1mG9MezZgPwraYnCEuR0FFx3EVx+A2V89FXmGYB/MCgBuIl4aAw0jRJgiHPGiQwtBLo811zQV8
iEEGo5kecfMSX+e4ePo+RcSGgUgvSHCtdKgaTrLFTho+BG+Bpp4YI55xIdFpr4JxaQ6t5/U2a0aO
fp8EtVdhZitXQWACQXYIsT7vxa6BSt4gkqYxA/TJq/+G+lWNw5qp6EVvJdTOnpbl95GzCihpSXqV
DcZ4iHnBogWiHKBWBNiCjmCM3IKUNseEm3LUIsLgYhdkZuy90ofaQcdtsvfJMpcH43pojssBgoYs
CkcYmEUNbXOOiPvlUTbDSDP0Q5NuF6OjfUpHf65BNfqjzVgZ1Xq/SjttaCJGgXLuNxUT+96zXO2o
i6owo0E7lelGz1SOC8CW44rcuubA/ADPJ3xd1Es9NbAH4wGzuvHGSHeZv0VNnQMRMQ62BKircmDB
W3ggxoHnWidx/out64djwsTYH8ALD+Q4NzASAXr1CYQpEirO3EF1W2VQcFGYYkncIX+6xlq7Q2aS
TBCimgCwWWrcqTuHgwEagrrp4Od27YBwdhshe6rlnpyhPTDj40IsNO1nSRTKYhCPQGAaKaP4sgUA
CwQlrCSK8KpwhMTczPJq41UEMy6SNRB0EdKB4Fkb+HDOAVC6n8UiTxCYc55WFlGM+eJEVN8H2gbJ
U9vNDKLfAWxkWgFJB1IDdeGUxqKe3CnpRhbsQm+g/h6qUU8/dckox/2o4Yz6EvBe2pt5HWSDymUC
ilLVS28OMXHEfPX4hqiurulDmcerdfWrmZBTcem3EGC9d5WaIN1FEHR1bQCUQnDH5QZOsIFsEvVQ
80Q9cTuQwdAb36H/4hTBrkGBTKBs8zpqzYRVG36cesqkJxDjAciulnknF4UOV5d0PGVetcWHc22U
OFEH0WSmGcVzS6qgeioFAb4o5NoFe0wZAIvwrIThRQOoe9ho1D6tvAwQn2Qm730LJyhJah0l7RFx
rZVKu7iBYLpOzvIfGI/0N9cNZyQTDPlNSVWQ8RCudQ3Y+aaEELHOmd3k9QAS6R1ZRqZOe0dXlhrP
Yz1AuyXYUqmBI13Af9EGDxGbzWcY4EeF3k8KGKjr18kU4Aa6HWEQeqdoXffCDKTTut2CZFzbHH4E
MMAM2/uwn6OQqjuEo3K2S+pkKXOd6MmitdfXmEMGZbC7QmxQAx1reB3CdChreyh5NzfvygfankLB
AdRirpWA+CFoRFcAsMPCPcqtgblmJt09JF0EWPo6+EFeIY88vIGvni+FbuL+XsxYa+8DNuIEqde4
+kpXmEvQZLi0waGbA5jJKimmALpKz1OIhK+1PJ8MSLCCTrEH2dUUs3Uk2E2TiZ6tSjp3FQ4zvGaB
qof+ukz65NvWwFdzNN3iqzteIoF0F2LS0emsoe+70M5w6M8amG7gnpSiPoZLBR+LghgOh8Q0SBpi
BijRbd8B00vwLGfAlZQOvPqZa40pBZr4Hv4MAXne9AQw3aqvoHN8KAtWeLXHgjbYT/ZTqIPzWTws
As/631Jo/7sO/BNMK/1hzP2Lgnr//f27+dr9A8a30TRv44/LwL9+9vddgH8CZ8vwDAsRiX9WP//B
3safKHjY+BwogTId5An8sQv44ScM6BS9fgFUjhS3wx+7gB99wvSOcfp3rXXwn+wC7NfV8Ac5dYD8
fIQwo2oXLCoW449y6mA1W2x7gHWL8SGkFH7k6Nsy07a+cPPs9LuSgNmufYDRutWXek5QZq8vRt+/
0C2qVTW0XsMIHW3YJ6e5705NExWAww42ju8Cxy5AGe8mLp+SaX6DmFjgGQ6pUNW+tyHUdziVkphc
LSHAVeEGzPV1N+abB2SAu2ufbbB+mifXrRfEVg9Jve2pgdQb6di5pt3t0sy3ztY7XiEaYeiK2W3H
pHTwKfq3qPe9a8uyWFVSyJH9wlGKlLj+tvOiE4ZDUIq9LoKl/Woa7zAYfiKJ90IHe0PLNaMSTWx9
BQt2v+IPUULMvANA1mIa24cygYS6k9F927d5MgWXU+mh5audrzykunTjdoynKMl8222pJtMhHMlh
RMFwr8e70uoiHKcrELa7gPPHfhvuS9FeSHBfGQyaOY3rK3SLQMAVvrcQ6IGpArbvwKV45XAdgSzZ
Nvi14ugg3FxQOj5FPStM0r0MXQTrpTmYxlxDCdinGyufq67ZLyw69TrIexZ/DokPfpYeeNQexije
4+PF0aP4OrT6QCO13+h8XDySMwF9+8K9tJEj4laGO6sasHfuM+JdDhuO8nnZjkohp3lYD6ix3+tE
3XiW9djMkNfO16tIkO/YFF7g38L0hbidDfTJ7O84HR588OKu089VyzAA6asxGi9mX5+WCJPMXOF5
XnlH0sp7b5oeNzyxY6ihwSEVmMlz6cti8+ARsuDeGzHtkcj5NI7rddy4vYYcMgWwmxPN7vDELECP
NRlcYi5VZHqpLbyydZRNbILRhG55FZuLSjJ8t2rvRv65Lf39UtId79dfgpIVIjTXQ+l2ILMuGkEv
wmj6PFdeZqatQOnhARFUcLGKI+/N3dKLwjPbV+iSAcOUDH9LEj3D1feCsYlnBIqkEJdMajfcaSYp
gQQryNRFeWLjWAiLAaudnlnVwQg2xkvm8emkaQ/lOUilUcNt3CZgA/kMUlWHClZxzubcNvZpXdwX
Q8ILptt9L2oOa777vPUatVwBxyiX2oloH0nooYjxD6gaxlfSBPFciIRewGMuCgQTvSXzCFBOk2gH
0kZnVmPvwwKUpJC56tQHVQvezBlYwucmjebhAU1TCMSPxTfrznjpGD1Ym+CcNF23b5eWZbrGIdpv
aAk3ckmwujF2gHJ0HwTBa0emBzFGqLgn3pXWliIsrPoO2fVlo5qvcaDzqB6+LJ56BzOx03BVI+5E
jdALOlYARMx1RQKER4H8Byd8gbWkTRff7VvlTzmc7DWC3DCz1XhuQX8ffzOQ22HpjDMLaaTfroUw
LDNDc4lOtgs9iGLpygxvCClDC+putuQBU+jlQtlD3fMduKvL0NTYGOy3UIb4e7v1HrTrywxGLQqG
PMI22UC3BVVqAcdxzuvo+2ihSdi4VyDGpkuNRtRxyPddORS+a48WK60R9pgMBmY2eSttHYPU0TcY
J07ORcegRiRy2O4iWT63FTKpHTIBWg/bIJzFzdZdQtumMtV3t00SXA0x8OHIL6IQ/4TMA5JHH7/3
zV2fBwCY5e4XGn9zffQcLdMlBMW3/VQfW6aQTbLwAC4HFu2GwL9k83YZl/jul6iDjEQhHzqcTe3v
EuElV9KEG8tNRx4476/CTf2G1v53sPgnAlf/rR4s/Vo3X3+cJv71A39owRAHThF0C43FuUwYQ8rv
WjD4thD3DngQ7aV4wp3Tgn9HFuNPyM0AMHyWiFFMFedOnt+RRT/+hFyNAH8l/hgrB37uP0AWz8TI
D7MExhIOasgPvAgwJd7iBzIDXhPpuz6ZwcbJ5goqTP45WcYaJ8G43pqAtEUnbHAbIxMt+2H++huY
8UNwx/mV0VxDQ4bOKqTXfSSKiBUsgf8XoMj2upQvkY+HCtD+f/8iH5H9v7zKh8/HoaRAUBGfIQNK
xXV5wp2cYwDYMTiMM32MEFma5Gvx//GqHL0uwA7x3Xu/CvB+MEe6Eo85YFSojLybkZ3uCoSbASdC
0NXyCzvVB6jbD+H7v3/Rj7zUrx/1xxf9wLwFZIWbiKANei0mtGcgfMpLYUEDsNi8RvmC8irAK7vp
kpzGO5RNXIHbDJv8J7TNB1rj45v4mD+1TtAPIM8Nv++qO7DaoSldI/Dk27TYn7zS3361wNjDKMBu
y6Go+DPT6AUkntUKdNll5V18Wo7NaX4eD2oX35RIXDRXiFX5me317y7aH18T9+yPrtcqtLC/I74h
pbBOvSZlyY8t4lmQZzAPx/9H2pUt120r2y9iFUeQvI8c96RZsiW/sGw54TzP/Pq7IOdE3BCzESup
Sk7VcZV7A2w0Gt2r17r8PbdNQckFnQegvFjqMp1U4JbJ4UOp+E3Qbtrpqwjm+cs2WCTor88FiVM8
d4gBel1mD5UwQCLW43N1juGXC4jtUzd/aj0RdSYguXz9YHjjsXrNuZz6dKeYwEPQbkEAhF4NtC+Y
jq2UzkBBvx1M9KUXh55K3L8utJR9MJ14AmfOe8Mv0Uegs6fo1VDNrvMPN4FzBihJLBRsEdaCIklk
6FYkPsZ6zPNL2phkVrYyBbzvuakcxcscEH1UVC1QsMErQ1/zFbBx8kQa3w7TmSUDSvKijuF1kCwi
kDN7GDZRFFZJgUGGk1Rawqv8PXelHQazrshP/dtJOfSn+TTvhyf5a+aPOJIc92EuD+RjQDljPBhv
UTy/JVaSpa7EQMZkO0ou8eAFi69oP4CJtDAwexiNBiA9zkf8qFTwZhAyLOBgQkeMRUu0Ohgo6rEl
Ft4jda9a4FrYl6h9lnqD+V8Zg1iYPCeZXxiYIsRTy2xNLzZEgPEyK67Ufd5+1afvSVVZeV3cXD5L
b9919TX+2o2/fxwr5kugV10tJX5cD2AiJBhFuz60Tz86QPLRTR4s+Wb4M2ms7Avo15zsrryVd3g2
8nReN78JRrDhGChfIEc9974GCWkjU9hY0u4DyfBxvK20B4FCK9hi11pyOnK84AM64M0NViYZN0Sb
ry/iHCbVK+BYRTBNX5uekVgqRkIlUDu2EI9AD4DXtWeO9K/9XpllrnaUZPVxRMXAyoLMGuIX1Gyc
UgbER+cscMOQKWJ+zECgkpGsMEgEEzBBoTN7HXC02hLCxSolkB0ux8z8ctmF6LdhPAjjwERBCw2M
qRjmP/92xVxLel/i92MQBNV2Mc7tGrhQTQpjcExlyYPYGhzqSnXDpIY0TISgDELjWyt4lanE6NiW
MeTcoddc3sXJdTcRzqI+OiQFOtAmuK5AKZElKdbAo4OATEszCZDUQF/v+iF4KclyaMnwFMvGbkjT
3e9uJGzCGlgPAEGSWPa5QYyoqixstpr8lAAorkfxVSJAqtGor0Uj/XnZ3MdNPDdHHWi1iRoqExgb
ByUSKkL2AlhgFR0uW2CSAfi6Bj1LCYsxICICDrpzC3qn4f+sa81KKuOK6BgNhqqJg3nxjHN7bSwF
/NgSfZcYoERhYSnhpBlFmACZiRYgZnXTvaI0HJZNngn656vdSsnQiJgV00B/o4wYcV68PspeL+/X
xyOLAIjpVZwiTNPI7LMmA0tAVsloUBoYZHBijGG1MTmheAf4wYIG2W9aQx4FsKuEHBQYKUzWnK8o
BGhj7JNetkg9XvdBGdmCVvoCSrGu0CkCx9qH/dOAFwQlvQhACugI2QPVmxnGAyPgGvt+saf6S27w
5FNp6fw8EDEm6J+vPlE8KkpZBwugkwcCHQvVVnZUuQL/glITRQ8Pw+DX0BrdGSflzqAKSHezp9iy
JR+LJ/k6dGLBbnwe8u7DIdAkFOYp/yKSRhN53Pmv0iuw+gFwK4IvBJCJNLuX8p+iIeF1/jdK6PZX
uF3PKH1ATEoaJhCRkCIkAvyii8xpbmellfo8G616HlFzIaGOVnYJ6ql6Idq9HKDiXWfG4AJlW3sG
GBFBYtEX1zFY7e3FiHnvgI/XK34PKgUY91BUSZRYbbUC+Ha8D/BQ1qwBLXiL2HjU7aGSUlqylzux
Z+55O821yVzpdER+qUfYNDDq9Do5mtf74UF3E/Di+uFtsosO5e/GbLpMPHMMgkML0D0T4jJpBEtZ
iBejos1Wpv0xBCpKWM/mBDxJ17iXPzL9y85u2nNj7JU+oMebJwGMGbJxCMAsF+jpIzrCvpTofxpC
d6cBkTdFYDq4bPfj2T1bpMa8txogOSqjpUUPM0XPWrTniCdmyVsac3bVRehRRcbSilbFhCtG9icA
vaxJqE5tXyEPVsvnRg0lK8l41y4LHMMFRZcHoRZAgHFQ2boHWDsFqNwmeGq8PepyN3FADrafbPqo
E/aEk7x8DAjn5piAMIM3oG0JdtOcCtcAxR3R4CxFxHEW7rLY0xDPIDRtsKzOG10FFaTpGF8BtGbV
+9wrnnhv1W0ned9F5iSAfkdThxzmkuVrqty30o/POOHffz+LrMVUkNlWCf7+KQRMIOq+ySIC6mUb
2xHk3RXYQpAKJoSh02Bk8Ip9DBmk0JUCW3MxtEiVxccOtRll/x+NMr5fm33SzjoconGMu8lRHEhy
H6tj7ZR4gjQ2SGBv/6NF5uoPSgMBimCZGi4Fa3KAuDpgXKCzMCtit4/yUXB+swb11yEDmxYKNpgj
ZeteA6beMFyBRQoAQM0g65QJhtYfLi/sw1OEnmTUpQ2auyPToEdvlQGIQw7OgxyFriQgoWMEmQuY
oa8p1YuS6QC8V1rE8ZhNr19ZZK7dqiGpbvbCYEkCkfagOzZOJjSMHi+vazNkrKwwIQMK6YuhNViX
AphHKFqUeUiUONnnphENFRHKQW5AmvR88+q6MVPIVg5WLO2RSNkgqu+ho/eJlayMMJ4XggQLbLXB
YA1hDiRfnw/2ADCMWxvTyAmAvPXQT7dyhlRtQcFUw1SpIOYFDWagJ2sJeR6weXOtVkR/xspM0GDo
x2hhptJQ4QGfeQShO0Je0VYE6ciPsnoQKl4yvR2nwJuIto1Mha0Zt8OEMAV3GgNm4RsvvCYHTK16
5OdgE0R38STu/iIxfJ3+L/yj3MgvN/18ZZDxwAT0VGKN0rU1K7O3tOnJ7Ksvn3CNlQnmviJA8lVo
vA6YL9SvtcQ4pAaxY8LVeNn0C8DDob1r4lmqMC44R5retDndu9iSDyLeBngymJAUALvRXoGgR+qY
Dq/q+Q9f7N0q443gZ8qKFBU+DKM0e/Fp2WEY3g9PeOzvmztqsefVOdlWw6+Qu1oo45miPA55V9KF
niQMmGMM0Da9ZUccTJFjYHmxxdPgVz5PHJW7VMY5+wVY/wZDs1iq4imOtKN1xNrp3OReBpc+irp3
v+05GLhBM1AycCIALzo/ggpoIWYMQM+W0Uc+IcKuytQdKLv+vGxma2HghAT3Ad5ZAK3T3uf6qMsz
wDs1bZAVp6mHppqCsSnKWAON9wD5AeCeBVdMeONKO7PJ+E2yxMsE+q6ZYqUhSwdwTFDbiQjCmX2s
ZubTko+1CcxAh2FmznLpgWOeG+AqNjF/R4XSIUd0vtx+KudIKrDc3u4cyQOyH/CG2AIpLpSyjT1G
EtFx8YmXetnVyG210I92yTrjRQsg5hOIi2ZryM0s28VLDuqg2tRmyR/QrcPMA9FjmfLsKoK9ECl9
7Nqxq45TrYedJcV5TH7/7kJZjqDYiWetghmZ8/0QYrAiEMwlWnILwlrpFVx9tpLwXrEb4Qk1GRRf
iK7RPjoTaYN0CeQyAN+d3s+GLci15qpzJQDhIy/e5S+85VuoNYoqHRYSDTYnw4fXdPTScG7iKKPj
1eIzeKp639AivLi0oN1N8kD8y0Y3bhLUA/HWQqg3MEjGrK9SIeYBRbbZwhjHISW6A+ofnufSjJn1
nbUN5irR0C4zTYCbLV1IKT/HHxoIE4O2ecIr5RAn/VVcJ1+Hqp4sUR/cVAJSHkQYNWel1EMv/QrG
X2J9AvS9ysGUN80+pfwD+HYfio1lis+f2FOMyqLSr9PslzmpYDnt00yjQWL+Y0AvRwLv1WcsQI4K
fTMdBSY2xIKmvZwmWFCR4YTosgp4F102seX4qOhjyA0Kb0CfMI6RYsTCmAVs16KF4Et4EkpMNoo/
/psRxjNAOjCVogTPqAF0Kq/0UAbejVdZpb+U/fCKhE8BGRngXtlCvojJs0KvINGQgeFXkq4zDNe0
wk99gabJYrq/vyJFg8wOyrmiJLFP1qyvQBIL3CrgkGCtM0wran7G45+XjWwd2rUReuBWSS7GMyDq
Qo0sQe70YH8Zq9/tFQBpjN0CgIiyPsusC4MiUYdmKCxMETjtJAzmqJBvx6P0EwvBsBBKpKB0QhQ/
X0hXAVKG8Y8JF0RwkAyw14q8ZsSWH6OWpKMOKwMswEbVbgmbRGyMyVKi9MaI50OJgT8rJCNxLq/l
oyG09VBSVgjkcg3UjM/XknVpF4F9APfRCDpzsX9K8vYKEP6HT5jBPCVESIHeMlkHM5YwaMFgOltd
lB2kedrVBu78POO0yTdXszLDuJgeEwF0GTDT1M1PIMnc3ujvSKJzGt4fkxpsGhp6qMoT9EbZHgsE
Gwci0qDcdtFzrCdfiBL9DPva09K0sBQTzwD1t3tHMLiyyULf5xBcPlWHD1XVM/rNEdDaYUo4B+jj
bUONUAoDzMxhNpvu7+qIGlHTzkmGvCHAIKGtt+VhgjpDI033oEznaaBvfixMuGPUHd6HYH1urEDx
SMtBY2QBnQcOa80B958b9Jw61ceogyUhBaVDDRLsMIe1isWU9Auq9xOqcjdm1eXHZepH/7J/bxRK
4dtoTUnwcbwI2Z3Da7YbBChM4b1SgmLCiw+YLrTJa38KrNz5jAIu7k9AwFAGQ8wDzT3zjjDCEHIf
Fag8wR7idCfJAaNx7ILFyepcoGmRKFw3UFivd5cXurGdZ2bpn688RA6XUKhDmJXBCVPMvUfhLpdN
bDghTAB0AIANEmQ2TRCqTsFMlIqac/qtMP6IO8OvpBsyBfvLdjaXIoNgAZx8FMXD+N8gF1oIbSgM
4arRCZzp0AXjdSQ2l/JuggXGaP2MIXVcFqCrmTAvAWRy/RBWEBksQufyYj6mC3AHlaArCkw2WE8Y
dxCn2BRnDRJrMh2omrR76DG5ddyA46529CL1Lpv7qMpH3W9lj/GDqpkbowGvlzXXZgEQbQ/qbfBG
ZUNkXGm5NueYsev7k4hu990wmgWUrgdwRfXArJfND5W0X0xoCYH+N5rSryPmZVunlHow4sfSKH6H
fl5hfOZzr34xE9uKGqRnYJudLNUoLaXvwPfN0Xp9u8XOc7bzTaHusD4cqVaUiQwT06vwKoCJPQKh
89WUYpKB1uMt1ZJs85DsMIVhdDsZimW1JR7rrwIHZ7BRZDj/IUzQy/RZh+QqfkjrTo7ogrz7LvUp
9w0UL4/yEUThnJSIhVPCHLWIwwo+H7yaWCBAjNa8KPWwqPQWRTWCt+ipnCxQ/9n1qfue7Eqvucp8
Xut04w45M8u4YQ1oY1DNMEsCDJTWta03C/QseMn4R31NZnmM80yVEGYJtUM3VLAqjxhu1FulT5we
0OJ5P10BbAdFjopbvNnoymNrcUUSFd1hJINMnGpjkGTMMyC9o43O7D5FaxE6A3ZOsWV3PSe+07/s
gwuD6AE8rCooQdhETc4xtS4qJm1edfvWT/3Rg3woF9CwvaiVHSZTKwIMqQLp/6tfKgEE2/3QcWGi
re+BfPWFE602Q/3KGhMdhxmc4U0La50DKrrn5KV5iV0Bmj1QjfDBNdnwC5gfS0/4aiiIYBdB5fMB
XyyqQZkbGUxme82br8BbZ49etCvuCpunwvqBMOjt8K1sMZs5qeE0Dpj7wvJEu/qp7ASK8r9v7kLn
9x/Y58tidrKdBC2QE7qTxqu2vA4YkVTJN87n2jrVyAiRBQDtQrmXzuNoZxSijuLvL+fQ0NH8E1TW
hYPuhGPckOZOs1MneeIe8i0vWZtlDnlRDEMCcU9AI66yRwIgK2BN9rIz7c5NQXPtYrzQ4367rRQB
L1/N0HFpA0nMfLswA+EaqXXkcTeGr3iojCROhCwu+bI01uTK1KZfPHF7CfTvZQ/62i7zIfOhRl2p
gd3Rhq60HWGhAq4osDg64k7j3L2b18PaGvNF1azLICgKa8GV4SeJFb3IrrIr/eCRnGYodRloind2
7PHcdfNoAFuDBNkAksgwmVqNNuvqOKXCaPWHxdO92ocG0jVQWxBE5tnadJ+VKSZOgw5+WRLww4IX
J3QrzOFDudLlnIyNlyfA5v9bDoqp5ydjEmsQ049vgQzEa8kLcCYPSexhkDUCZE2yJhsDnhixCVsQ
K3zhrXDzlbM2z1QLykYaAkzaIGXeayhf44IIHOlavtF87dDZ4vH3G/7kbLnM4QCJqi4UErUXBZiy
xbBGTKxhTK3L27qVPK+XxZyFVJWrAlRFQNMst8L0mqkgECoKvzQOGTDsl21xPBJTGeefUMt1IQ8G
uEkLWqA9eCV96T76Inqdjdcvz1+oP3w45St/YUJaJf/PX5L9sM8ecvtVQ7OleuK1djfv8/UWMqlv
LJWQ0Z2xqln1qn3lhS7GoucdeDLQDo29gte9pj/80sKYDFcFhWaq0zxFzatHUpXfw365K+qYm9jy
DDEBRBWEGezEWNg0PBBfdlM32OO4Lff1K+ktHZMuoMkD365z2U0uBxPUL869JJO7VIklmK2MxRrM
ryAU4VjYvHjeXeONY3H1WIkmAaPGGSw0ItAFkMHOwW0VGG43hRyw2vZa0B7SjLfBDMYJIaNd9lmM
t6KsPRMptgqVY2B7KaBsA+wERQO2Gw92GHBvgczeomI1QwnK5iUEC1tuR+GnLjKAcf9niq51tWtm
1IvVIiNUGN9i9LeuwXoCUkjj0bRf6+fZA8Orkz7wrs/tDXw3ymygAllAtYNoFARYA68qO8z7Dxxv
2Gj001D7boM5wFIzy4NE/RzzTH56bG6k47ALfcyue7JDjvJu/GpyqrX/EDTebTKHOBZUTJfo2Ez6
qpKc2CUAMe5BuOEmh/pryXsVb4f5d3PMUZ5Tuc9GE+akG1TWQSsVX9Oh2PAbNPSizqqfwesHZg8V
oTj+n4LnP4Jf/iHuv1tnTnTV6+EQgSweRK3DvvASJ3Be6RuuvOHdmtvZ1vu3VJksATM7WjlD+gzf
ckHfHdSs8VPoCyBWcAZXxGsHpMT7+ciLWf+QHvy9RBZDUZAkDyJahKIgWPF7CcJ5j5LCgsxLATrV
4udcmw/zlduqTIYAqkMcSOpClWJDQ82q7ZzYwn34h3qLyvL8HFiiFR2UxAFbHS+H3jyWMkpuIDIG
gIodR6DMjylYVpBCj/dh8sMEu8EnLoGVAWZxZmmCVyrCg0Qw0aCRBDsFbdZlE9TrPtyjKxNM6jMJ
hmBmA0xA3xrp3LADgZv/L977m9foyg4TN6FjJFQgf/z1RKXloTi1shsQzQIgnVhP4L8v+EnJ5r2w
MsrEzayagNGi7IOTaTUokUevlN3WtBW/bV3RK9z52P5odz3ns22W38jKLhNLlwESnkUOuw3KDTpI
Jd3cj+3eGU/JLsHbI7N5b9fN0LayyETSAdOhYdrBFYFHSNCBCl/LrEV9MSe+0A47reLGbp7zM8G0
00moSvSDigfZJra0A6Nc4bXe5NLXOQhYGlyNz5eddfvCWC2TiaFFJQlmLsCo6k+yBZAzuiw5pn1D
e7r6F49HzuFgUyRMRZoAcmNX4S22KV4XsgO5511qV66YnIL0NPmxk9myP34JOit0uMWBzfT9fb1v
d8oq2wiRx9Q1jTCg8EfZEYWda8U3D7nHmyjdDt0rS0yoaWJ5mbIEOyu0h8BHfRPDl/fkVMbWeOq+
QR/9ky2s1TFhexaE5M2iUBeqXfDPAWN739qljbEJa34VX6Nr2Uk98CN9yofexhYxuoa+5XkGBzwj
5lAKWB08xQN37lPoQknjQfZKrxUt7pN5+5z8bU5n7mKQUHai8CvwjW7xoh+zt7fR6GmGLTopWoMd
byz5rdn4Mai/22Se6fKUFWMZY4kUPNneTTvQu7qUYHcXvJUhuy/Kn/SUUo+V/X5n3PT75sp0eO2v
7ZwHLUpMpNK9phww62w5bYZpBNUJPa/QLXiAGI09Hfp9cjD33I2mf9elRTM3GbTs/lr0aM82bhgr
83K/2ekgIEhveFf/9nX2vjDmOuvmHDoptFQYkGOtG3bcviTxz8ueun17YSgMRDlUtIyJsJIwZArk
IZCuRorTmRBcupJ0twJp8u/bQfURwrUYeZBQAD3/SELdtIJaQiR5UVqQRt6hkeMFA7CRwv1lQ1tH
AWw3MirIYL54U3JfewMURTsdzMRIvfWdki9Oo3IdbmvPVibY6bYwmaDDNKe/+jSSU9vgqJIpTaWX
HYGbw/gNgumA3BuPal5JgrM8dsItyAatIyNsF20FwTVcgv1nikeQz8N4BVpslOmA8bvGjBt1LEX6
iIh3w0OIJka6h0b1V36lf+uyhS2cW4zjiwokOs79QushZlP1C+1gxLuY5vLEwQtJwrDrKNihYz5e
do+tnvKZQSZaLEWi14o+04mi3qUlaTU6xHegU5DwPvsh+aon7wzdEjonld2c+2za8B1ZwsS0SCln
IPbArDdWE3As66Dey4bwFbph0OG914PuZznknEbx1gMNpkyC6VZAHICQPd/aMiFV3yhAUQxD7TSi
fg+t1J+iOEiWqKT7QgYoHBSJjZS9GLG2I0nymKXZc5tiqBDQ2t5Qr0d1+OPy9m+4L2arMTsuYwMA
oWSS5QgqMk3dU+ZBUOCOY/AtqOrXyya2sgzgLcCc8obTAyjnfN1TVItCH8Ol6IUknSS0HHQR9z0a
0658pLp7e47FzVUp4KKSTHxbxLhziws4LpXBaH+NEC8QsLUzD8SGd/EjyDpPpQdpRN6Taiv9lyUF
tx1EK9FIZZ/BSQJVJx1szXgGF/tm393GyDAqN98rWCbZfapYeGaQOTi9Fi15tcCgKENieHySMahx
eR837jsZXOSY8IdGFKhVmMtVMmsFMtYNPtzwHWpIX5uycppg2l22spFvUy4dWCLgEcI/5x+rDgFL
k0zK6oOIox0hKgWaMvnIQ8dvu+HKDnOzRnLZkygkg0WuQNEK4qAB8xeNu9iK/W+wWpuBZWWOyThJ
3GVVQqAP0WvQsIUK91CkziI/R7wL9iNLEKL1agMNJtkEr5yZLxVVonimai49GooRmAtSn5JMkcfR
g3q8Ax0N2eV3oTdd5H2V7HVhpilEQifYruryZjDb2iIVpsgDqNHx3tfUn5lU72yZjL8bbd3LNfpg
SCuxQMmKPONn5c4OnoGYLnFM7omm7n3JIOP+IgSq1bDG2lpXwo62Pu7CW8osp+MtFqkW7+G3GbVW
e0n/fPXuSyRoz0cjFjgtt3otY4SdN3HI+1pMXBTFLNL1HitKqvYmEzOvTeSfmSl7l0/0Vn3u7FPR
s7FaCVgVgcftYEcLnR5BH/LYDjrNwK8M+GAj5Alotdcdf3CLkbw9ZIJJpNRBDuKMXw3uxZGs7MFA
X130LLIDIxnnSt/Cfp0tlIkp01AZEjQ0qLnmJJxkkIdQEgD9OsWIameBmw+YzMbGVOWhdMYdNHc5
5e3t9eKGkzCJQ9AiPt/pCQKgSovoArlDsHxJJbmvm+bx8uf8yPT1FmDQZcFcD3CTbync6nMqfR2A
yBmbutwgcto5KI3dYSeIlnScAJQAU8ipsjQ7OfRH5Y/mSrPFf1M4oJ/u43F8/xVMQBVHfYGMDX4F
FeXKD+Fx/NZDIWWX+4MtevnLfJq+lM68myOeO28Hgr8tswQC+hiIJKGBINovnua1fm7PGhIY0E3s
Ug8cyRpnx7fP6btBJintZ3FpNRpVF7EA3e9Po4t98BNd/qz/cCG+W2ECKqiVoyBfYKXBpJPVX6Oa
Z4PUzgcmFjhiMJY7HIPbEfzdIBNQWzUehan86wsWTnzIJLDs9JACa3y940qObToM5jqRVoCaA0Mo
52fDKMH5UMwKoBmleJ1V0AMq5Zs+KDQH+gNeKpQ+Z308g8xhFPspLiMBBuUKoL3FiZ7Bi97fARXu
Ao57pxyg0HinhOgz8SZn6VI+nA0DHIEgDAQ1FvuK6fN4KQsK0C4wOxQSySoL3vy9tGmDsruC94mY
IGM4385qSYQS5FO/7t+iRkDvvtKvJzrKHyCZpOO5vObdZnwFIwMGZwHiN6BVd24zVRIlDhQ8HQZP
egUbyRE01QeI9AAsFZ6WY+DMN6nqNMDzAcyXW8k3LuHFRjEWWnzvv4CJ8OpkaFOj4XlKi1n5ocQd
pvjRDnrAPO/Z2t+1JSa+SXmr6mXy9kz69osiFIu0tOvWoWwy2R+8dGPzg74blFlYEZnbeQ4NLI3m
N3ljFyid0VdZi/nrPWBvzvyVGwK2Qim6ZhieR20L/8PEnEQYk0Ec32zS5i+dB859yP1a2mHw4wfe
Bb1ZzoAxApoycHcCq3LuQKNZoicj0Psxs6pHWhuKv00hEFOUlngobW5JnZ4C9iTKgOuCp5QOerMP
asi76FTFC8SrnvZg3OnPEM+xIw9Mr71VNdhdCqwNnenlcuzZdJ6VWeZwqpGqDkuGfa0Lud2nOdSi
B4wkcUagtvACqOGB2BDFAugHsiWMJCOLGYQgLemcwSnvQXsJGVyoPbtIspDZtRKKRM6/uDm23GZt
lzmFhtB3TdHBLjS9W082mxmElBHxIxUCyrkZ5Rg0CIPbupwgQABlCwcFh66HZlof7PqyKWyTtAUv
Ldi6pSFUCDVQEW9+jCWf+1YRRaYgRdGIB2X9JdyNVz14+R8mgFEw1q/ZEHr+Y/6h/7z8oXlGmYio
mCVpTGh3QvznoZ8BQwFedYgT67KVLXdaL43Zb+gZQlCwhBVVqBBkO729GuIivP+MFRUFGnDbgrmS
yQeUYNCMsg+RgEzF0ZCjCDy3GW8pm2kONKoweA9GVAzhszvWidEctjnSgO/CaxiC8zl0m+NgF1a5
b4d/wdu3FQLWBpnNK40O+rIDDA6Q4pPMb0P7pctSZ6g427fpClTqGFQuEoizme3L+iQ16igZLT30
dbKAjfFRl7TPeAJYK95oHIjB9gkkyFsvOSU2T6vIXzrh1EK4/bIbbK/j3YR8fo5aDRw4hDqbIBiO
MDY7adIFyIEoMmctmx9mtRZmw/KxIy2CBQzJoSV3076eDhnqBlnQc55l2063MkUP2OrJhCyzUsgA
U60b7gq0rKEPA8qW2ev30UHbNzwv31qaqmA8GTVs/GPQPV7ba3Kon+kTXty94qSq6GRxcNL7HzXu
nN//WsCtoxOBOxwzdEy1ae4HbdACpClkhDZ7RewwLb2gJt5lM5s1BDgd0hLU5UFnwdzcKinKsEk1
BIfn/EsGmqzYaoH0uQNezBlf68ahTDRfzC+pF3q8vHMzbaBFNUx6E0pwweRiUIReemnCNGJ4rf5J
qW9izHEIDR65tH+qOZy10ojAJg0rc+yY7wLBFkr/jXB7l4KD4Zkc0PZ3agziEKc7CHcQfX/M7jO3
8D9TP1hbZnZ5gOZ7VyZYqFqF1tKkVplwcoatq2RtgTndECsEQrSGhVzO9yAqvpqGmVOG4ZlgzvUc
FZmUyjChFLVVD8dE4h1nug2XPhBznMOQ5Ajh1AKaVLPbWulBvaWgaqgucN4BW9FwvV/MSa77Lq4S
E74QzvWOTO0uBuRkUPX/uiQaUVYRIwuaPp3okhrMFKgYtPlF3G940R0366dX7KXtY67gAv3Gaqrx
MKZlslncSYFVdejJBI4OJE/yfXaSHWn97rq74o228XyDuYwzvW7N6G3etyW20n6RhvITAXH9wZhY
UcdxVUDfDEVVAFkDVbFLLIjHYbnlFQADYKKFkoN8aNfjlVbMUYv4TlrFKgTZVmPRDlIe/82mGQ1g
aqQV4KRlm1iGlgqNQvBcmsb6qkhqXxHq5zKUXU7A27quKEkQuMoxN/+B47dM46ldTLQdVb/Zm552
7GvLcCo0YyAP6Uz+fASlAh98tLm8lVnGGcgU5Sb6rTjGSr0vVN0hwuCGKQ+Ku1m2WC+PcYkmr9RU
FN6Wl19DpzTNrRzs0cNOd2nDSTwV1yGKwuMudfpbcuQPmG15PaACUHAHiQxuaboRq8MdYTBqKXP8
AIhoPBGlepC1inNBb++lqRgKZXD5MHve5YDHDjnilKBlnqYl10M37MNO4sHFafBmYwcI4P+2w4Te
Anq2gN5jKbR7PH7roL+Ign7vyJ5xbFDs4g7n8RbG7J0YALI6TViYpoTgHEd+QYBSR8jinIHtb/S+
MCYAz1CdV2KZbuAuuIteKoypRVBqGl9QELUhpBcd8q+XTb4xD1zaSyYOq1JeDeoIk4OXPcYPgV05
SHAOkBg/0eJP5epQRN+DC/K1dSZQ1Ol2CVdt7AqcEvgCCRqI6v3l37SZKa+/L3Mmhz6vpJxuNyo0
6Xckyx7Zx/sI1B0olajHcZfzbj6eRzGnM+27tEZdDEHuWT7QRnBzXHwwcGLmOXFRvvA5K6QZzoVd
Z9sHQqwvolrD3mhPDhQEba2zBLuD8g/mAKCVuOfY4zgWmznLBExVEj2Z2g0aJff9PQpQcKzOzQNL
cakWF++C5xyZN6muVbgptCJVxAIWu/DHIiOJzA1M1XEbsryNZPK82siBjqJmipPkSY52jLwUbZjR
aW87nxfE6Vm49NWYuNPLZpAJFK1jdnXqazmUnWPIt0L6vXfyt0eW/PM/fjgm8sxB0Y4FdUzZD64C
1Jv7+9YP8d5ZDt33vLJS/nzKVnl7dfrYGhbEf7sxH2BSPLRQUwK1wancD3cCd7RtE+e1tsTEnmFC
IO8rWBJ2tImYHofCyic7uSloRI8xEaB9wRsEA8G4968ginl5czcPhQ72aDQwQD/EAhUMiLAISYQg
FoamFSbQUvoMty446FY2qP+ujkEalVFilrABoLrTXtNOcH6FBuV+3Ktf4zfg7eVFbb5T1xaZEyFl
uamU1KJ0o7xCodOPvMADwQooB1x+GXbzmK/WxxyJIRenRhzp+jDWM423wFM7i8rLQbcew+s1MacA
/JZprc3oMymx6M/5bSN1VmnshyS0iqK1SG7+R9dgLuKqSPq+gCyklTWVJQPTryq7y99pM91dbRzj
+3UYyloXwsIkYy5ELiy06pwgjXahyOPu5ZlirlO1Rbk1p5nfMn7twTgqmV81wVfl2r68pM1WAFT0
wJoL4iGIEjK3qCxCQFOU0XEAZ8ipgwIhgEfSbgL1i3Fj/jlc1zcQXeRcpdsO+LdNFuhramqXNCpe
QUWdq5ZaTs1jFeuGVRgKr6HyD0fr3RZTGSmqRJh6BetrvAkzA6mLKdPm2NNhT2/88YlhT2BQdZCG
ADOPNxFjLUiKHjDMCtaAsiV9ZZWfavejVwGQCPi1oELIfLAlzY201BqcXrQXQb5yIwqWFFr5M0qE
UE73xp0x8pL3jboJBGVEvCZ/yZ4yZ7kfhXwxVHTDUvADybZktU8UnA9xgideC3zjg2H7NCjGGMgC
ZPznPPoKUSq3ZQNWKsyy3unecoQ82mkEPIyOW/Capx+vExiDTBXaFgAtmuw8iW40Y5vLMNYJyVUo
IM/SeSpbH52dmsCFBQiDjIccsx4iL4lqDsArgnQlqL4V1TFTa07o27QB1kyqyUtoS/Z8z8qp0vqm
pd+n06+DpnZBshuBo4AnEvkxpmMtKzvMzTGZY5WoC+wUi+SoY+yCKNYzFlAo3qTSaSS8FJjetOfJ
27k9Zu/icernia4Lgk6Hygv2IQaMKYY9ckOHxxZAD84lY8z9UbdjHQYNjCX7cAeZdrAngZqdy560
6XKU2VmEM0gfajNDnwgpVNFQCQ/jL4Mk/hQC6elyUN82YWhUCgpqaCz/gDLi/U5mNOSC9mdkVHaZ
Pv8nA2zzAPz8EVl0GOgl4pC8tKri9bKFTY82QM8KOTcwVKvMxxBiuRLbABbULraXwGsaqFEmlXPZ
CuQJP2TOIOgFVS+Ynn7V5Jg7XV+GKQ+qwrTGvtTVZzJOYmFAf63q9B9FqnXSUQigXLabJ5l038dI
b5urZSnk/ruYilP4Q9ImqNJYs9EJy21XDQW6C2FXBE4EgXjKqKGnu2CuISogL7VmqXIsDDuwXmvE
agaoI/q92Q/fm1acJWcYjOKlGMfuJE5dfdugY3cFyOD0s41Bwmd1ldD2NsZFFSeRUwjpJWAq1y0B
nAbNVdO3RvAtNBPJUbpGva/KHD4mj2Mf7cCCKu5JN8nTsQrStroy1DxLXU0Uw+VFhL7hLQnLIH+p
slGN/DlMRnGPbnlpG9LY7aQkLO+IRD9Goyn94KdLNKGsp+dNF1txqMaJbeox5uEmSSudIDCXQyBA
xnQKlxq3YJ709cME+Sh3UtrKgswDBJ5Nub/Lh7EHT6kp7FJFEY5qO0Qveamn4N6pyJWu9eU1GbTi
G8ZxBs3uKi22GsxAvAAJkp8WUHz7YdsNL205ZfemQBRvAkTkVo10KJ1NWrpTw/nQmMFtGsqdLc0F
ZtmFQXK1UTBtTctvl6LS7LEI90IuvOZ9vgvLUDpIi6LYYZ0nbh1kj1KT3NZR9WJ0s2ktQthcB//P
0XUsSYpDwS8iAm+uCFvedbW5EO0GCQQIJwRfv9l72NidiO3pKiSeyZcvkzcnpTsnPg57o7ElYXwt
Q2glXmvEdrsAfd/py1xJetDd+tbrctwPlmCxENCpD/SNxYM5GvtZugFBSWbs3cLTD9BTdBOnsczM
CaY6RMLqEilMuNNZ/KuQUkSqFiaRfomeHAPeo1v45YP2HgbGuspXh2KP1yk/N9befFnKSF905Oe5
HYndbhWZ65WFfOSJLDc3anRvTjaqN4BQ0aNx2xiILSk7QBo3ICX+2QL/wx58kdSdSOFBDFh3g2cc
VQJeFatRX6BFHrO29s5QOP9kZYWkI3gRbmo5m9P6bRs0eNRyVsfAk+zS2TaEPVr2a+iLIJ4l301u
3lp/PXSb25FeBoQrTMbkBEb4RKNVOPue103sYHZJPHv4xUzbxCYdT9hW5fNq3srOf59byLn0luVA
vdcMjmNpVxE3hBuWCt652mwenGWJpw2ntNr30jBDDwYG43Qay4Ru9BWujlgwk0smW42s1oGu/c1a
9ETrrYzC/LVaRKKmLtUliMAFXkF/ywREOUFLOfvjGs3rnevgXQXiJCwWiYBFpgWcpv+GKGZc8D7u
vaSGfzO1IODgNN8BVW91yw6ltH60hifeWO77arl4o9IJ+rKsxYMSugMdjUHia0hwVHlfh9PCuhBi
WG99HxxMVTy7tj5tFs86k+6d0r0Es/0YC7Zbtu3sbvynMtdEU+Ixs+JUut59hoAu9TFn7WuiXC1e
Su+sF25k8DGa+vXQ83HPZfOr16gl+1M9JUwQtf7OwVNyIzTtEAD4FoTNV+1ft5bArnjgib+GDUZO
1lvZJxV79xvIuMxkuwj/Yn4ZFwWZ+AJuAon1bdAXh0Zb8DF8GRvCYtS48B1s4Sj3Rh/2DeqLqNHb
z7F82saGiH+zYPqm02hZL6UZBU0UWEmJ69WEoOcY3rF+Kc69/We59zq3IUO54/uZVu/WMpLQswIe
fzeeiEKh5BwuAE+L5t30mMEWtTRYHbhorZst1BgYBJoWLivOKODVC6i0x1ZrP+HzESFeY6t4uplK
vELHimjyPk4VbBlipRfXDhL73tqGy+hdNclC2stzC1lJ2BvFJTWIbkNQUkTap9WCqGZDVTrlYAy8
WgDVxiBmIlneWnkzuj1mNLQi5R5MJ67tjOHKy9NKQRhGc37cAtKxJgz8eB4J1yDDA4+hJ0TKEBLH
KojgvRtZ+JVuf5QcWgXFksyBvBvDGy0wCqb0CJ2LqK0+W29MNfpmm9jHc141rw4RBNDBjl/cO5rb
gzo90fWzyYZUg4Z8FfZNXLCslRlmYiuUoLx4rIi9Zi3icGf1sc8U5hJk6UwyWEXoeR2sB1NZvLj9
N264Pv/U5XsXaCHSHhMMRmOvdAuitbjPDmhVxhbBk9iDruKCSATSu36z+t3m5jhQY29PJODROKee
k7TN64YNV3dOJyeZzA6U/N9GZtRJBcJHnVrTfeF5yfDxH/2W9+JEgX2riDpZGzwMifhWH9mSOa+0
TRzOo2FkuVEjJMZT28JeOqpROfu/AzvqY1bOBGwzbNSDtZ0a0HwVb3Md9etIFHo604sN9RVQEjSv
HcafwamX6QYyYHHCNeS/Tn1YnLARMR4+m8hUXbDV4jLw+vd8ObTurmjD6qaD5gqf+iYNvAhtm2jz
pY4HNN8rFs4sQMoDmYNwLT6oHtFiD7kNbcoaa9d50TLcTErEffHiaUgDqcLiNC5pOd/5EosuWb+o
Fg/BpSijHovaNC280Fh2Wx22x6GCDadOGhHV79TYVTcBlRnkn6NvpBVP/nh5ZlLuKeYksOecjhIp
z8uAmFYaoTKZ67TH5JcSvz64UIkpyfTQp4NTJwG66eDUlqdej60uxOWV5qnQY2Mh2xzZ80QKvNSm
Rvz5vr5i7y5smlh1xwYy1OWpqY42zbUBcShihUdGO5u1yFnOaqyjUe6mEiWBG5do/xqQgwFIi/rZ
O9mKJy9O/bQbOPjZCBUTGac7KFrTcl28x2rm1ZTCMK3HXpifdx28h2jaCxpuwVlDRaDvO34sm1Tz
z0VwYuolGI6NlQ5O7uBaUP5WlC+zkVQUYTgy4UGu50E1R0DLYJBWuWbaGmErT37fhCXC47Fy36ST
4OEU3s9I49aByHtkAnRWFwu3jWYbf2OjTmbth6Eoq34UQBYtBkOFGPzDrHP2r7yb6l9gheVGYB7q
8+fc72EourrErNJpTmCIJR6UxnJccUNeocymOQSv83b/e+z+fmRZB2Z6gPtVZi691L9jF2sQ1RL3
liWySocXF39C54b7WbG9VcXMBxvzULgfW50abGeWp/oBB4YRgg5l5stXMaPhXyLvl07n1o8NO2y0
6zB8riz2KMH/2YrIkSfAKhOSzytWVzQITxR+brhhvVKw2jIlH2tpRWObU+fu9Te+pXAygkdrzYjR
frTrvrIOg/ONLz4tuQ/suOVRUBaZnG+r20S2E5sImiOZZQV2WW7JDAP60FvTHpvG/d6Eq585p1p3
MvEmw9DaCnBBR2yOnxX9p1Bjw0JHvc6Lncgt87D+AmdR2zXDwqLEKfAI0oKe1hqOgZCSssto+vPE
foKkGormtIw9sbxX37sJHxHuCEMylGVeG5fIShYymebfF3bwixz8mJB5WdVGpqHidUgb8Fgd3mYo
QCOv/KfYnWv3QWex1eO5oJwVR73OIdnvf27BP1qPkRe0sTsAXOQEYbMsr3VjwXPphqBSQP2GMmzo
HYYqpdDX8E6tJPiPptv57Z7NSTl98+m7Z6ms8mrYO1qsLyfLSHGQuoU+5t2djwtEUDB89fXIEZcm
+LT8qFPnqkHdpFToq/Pq+SgPUz4HMfdbwqrmElhjxLAKxcZ76/eRv/JsrB7VzFOf/y7WT9fjQ+q8
hFLgV68/qu5pLF+bYBndVoRYHEagnXTDuUwLPM1ldQOHiDht74bKwpjJEvOx0Mu414292JrMLozQ
Uv+sCmlvcyKI6MW9YXxMlkrYasWyRyLkImw5to8N9B7Lenesx7jujFJP+u6rRVZwbwsi+LBFQjub
6uQ4ST3fS6homais+K4aYsrOcouD+oLLYc5xsJ5ohxM8rZDeUdOuDbKpiQc3d/V8CZpknd7rLdZB
Bse5tVWAIjIvVCKGuHOqyPYo3Cat0K5fAmyNjPOuwdtkv9mVllEzXmWNMi6pLTP2NTdmQdI0Z6dP
4eBb4VV3zNfKOlPEAb2cI0CjON6dhsGKJWBDAJ572RQEzYhWxPNy9dGolZ+2/WEUD1Y4uIlGKIf7
X/kBGvcKix4drJymNkjTaeEAhda/kez46+k9jJ5RV1jJMCfddFB6pAYwodB+0g2PGksDSLPtdmi9
fS1jsZ2D/s6rAQTYbNChNaI+DJtMW0eq+lUOcWCCTjfltUWq9jqxx6BiLP276AZs4qufTqWdTeYu
XuqnPslUNw49PgLfyqgT56Da94iU036CMSMdjhqGY8azVYR3Q9ThUc5YAGs9TFvNvyDqH5TPcIeq
ZPD1pJ78DAv/eHd7rMgcgilZBbgZ605t78w+6UrH1iWxtIiXHFPMDN8SdXKk16TcDmb92IzE0hOO
bIjakEV/HZ/ScqM7lu4u6CNhVMeqw7b5XzG6l8VNTh86folWzVmwfY7IIs23krm7KVJsQ9QLPMsu
9NH+tPD3EF3xoNoKj/gl0np5Ul63C9yemB3+rjLUIIqgELmlr6P1u0MSIhxccd0g2BBuIGNEgX7W
jID4q3c3py7sSsQCP27Y77ilsOBBoR0zTFFmyIp9lt6rKg9yvnjrtxzvrhP17K12nVjqp67be+Mu
CM5Le+Hig/UqKgLiaofZJ62f+ZoINZki9eL1bt3fZoMT7AZF4TpuxKGnZfhnX/NvDB4D+1XdbZ32
lvmmLUe7PdbOoUf1Zn+5+GU5a8PpSd2obMkCnwT/DszDqO7dCM+yaIYKq9dru3Id05k112DUUhMK
+laHSejFmj8nwKFTwUI5LrGk3wuHt1DcN29BkWlok72rj4a+cFvcEgc1xFvlkB7pOiD6zSielYr1
iw4tqS4Wz5mGTnuYA+w1Oig5CH4YhQVPNpWUxNnyeg412BZcTfkc5N6b/9io4r2hkBf+E6a4N26+
vaN6mWhmn5pTjQq0Ro2bI/OPDaTGOPorkNw6qEsfFnO3mJFyEs/ZBzzFnS+tF3wAvkYoq6h7QQ3V
O7sGwM2oP8waWuw1UtLwZixotEIb2v6/vCae+vIg7t+F/fxXYdzcmwsMYsoCIyr/6RCkhMpCcxi/
HJf0+8lCsodHvcJ99WGeWhP9FymeJ/b7nwSTu5dYi1/OW5WUOyMNzB3EER0nLupIN3dufwlekQ51
NHdP+g0e3YQAKwigqvfuueipjwGCAzVnaJA5zwCvUIFoAr/tsHZi63VGolIExHuee0USfG8sWpAS
llz4iZ6z9y0NijCwc83MPD0c/Dkc4OIFGWz0MiFdH63KRPYng4cuPW1xA/e0ywaValMqHmYDKXLU
mV6I70vRVNyXrwUbRVB6KW7mcHfXm/VWzeDxjvVbBa1iSrhNBgbyQDNjNxkPavpdm8ReTj1L9Bvz
IlzyFR3K3MTeN//BwBpGlGfwncvitKEgRxXnZeDJOGWKHtCNfZTsxWHdd1g3MfaWETJzV2lJ00Ua
e1bmXooy8hjxLv4LO+tzGDT5pBNlZX0Vlhc4iPkzaeZMz4vp7H2xtFKRh1fhrWeheRAdWaoEIfhF
V2R41VjWdOfu3XHC5aeeoDeNHzcjxAZ4aPA+VL/GtbkIGMnP4VjnA4Cb7mAf0XfZqQPGWbLJp9ft
hU/sctdGHQ+H8+Yn7mNroma81t8NNrSBGZippv5+8TbBIB4bzBt0yI7AU706Et6lm/Z18PD0Nwod
3ALoYrJVv51GKpcAl3M69BSvQl37fP6eTk1wnSVZXgsdfWnMaju2ULxj/k6P0iLaYVJY37NAMULG
/VxrQjvSYr0OwmqvAjlNwgbG+jdiWDD81sfuIMv/adh/THoHQdmPDDc29v7B2c0/7EiBc217bsSa
kXp2pkaiW+fhDfdT/nYGWRZIqOm7os6LoCJLcaI0rbaTcG9sO1v9Y/WjwLmZRUX6nYceuImRIX2V
jiqDhIhhJIy9DwEcJx4LZmf2fEMTMxUw8NzgOx+XFn4IWXVOOcduSbvzprvu3r1KJd0I7eD2bQXb
1tduwiC2CDGNwal9Dx3U7YspLtmlsL+p96hZOH3OU27p+baidH9xyqOCLLVxoVtsBoi8UQ8KqMAC
VEmKUmDpar+WOVA5nyjvfRog5gYDMTQI6JEPA0LESjhap8hGaR/OCNUX/Z8N6ldLfPCsLn4fGiOR
b/IAqMb8JxEJb+tMlgtbrrMiAA8mlcI0c9kF6KMTdKXg/Rc0wmn7BiyYM5jhuuAyYuEVV6DqI3q3
8AHWRH+WAvjcWe2hDwiNqQM+Eep2c4bnS9Kh68L4cd8+2nOh5R3ij90eth3dizpe/khRkpPxSx0N
YGc4aPipD8SXefMGTMN4LR6NGcJ2UeSalw6PZkV+C719r/2jz8GFV17qIkevJ/sCXVKR1WakGVc0
iGOymU+92aMT5pcFymQveLu2WJwZrk5h7IdDa923t/Xo199eeVi6uJMHgE1w4zNh/MFuzkoadoK4
VF/hEPq0g2ieQjCP+zZdjZ3lHoojfcNZD0aIlv6vqMJevrJzga4wQE0BdRiEsiBuahj05GOVOnAQ
ubgflR+jbm/Ryi8xKubCzeidLtBWZ26qPoBdbIIMJ7iOrSIDyx3oozOlg7gu8z/qRO21MEPuQ9LO
jPCiF8HDhtw9KgmUUt8bJQUyKrp7mMl9q+IHuAwfP7AVt8KWD7EYz+m9zODnzrV0eZ1w1stpcuBZ
lNXIA4u2l6i5kPSGeu/q37qOrINyOaqdLRweGHr01kkCJJCXDXYXW6xYRLVoBTwB8WcjHn8UAoPI
0SwaFQo9YOw/ngnYzt3pO7Sx7ffyNSKjtqm8tgpDJysbyMTD6XeBX7kI5+Hv1m7nZr5geO1fFb6l
C4zGhf2LQyCuArhwjrzm2Zy1nxbP/r2mKEbavQiOuvvwONAGcV5k3qftEBtf1mmC8zWSI8xqTCPB
MG0q9+LsHgIULuj4bzhvF5SJPt8iy09btKDnIKrHFDOJ0UChvJtyLqLiyTWoUbVGVvgJPphdZZod
owdyfbyjsePF8v2vJAxerAOyW/O5YWYAqcEtchTA2nC96UXcaJdKOwIHQAlnjYnR7r32whrCd/Ro
9W+e/6kPid3hmEpcvxFwGKkrbOq+zsD3x9w9t/eCZ+YLd9ISwrf1vYDX7hfEQIHBmU3kIhmXTTai
ShAagtpa4cES1FUBsPsAaaZkBumKEwKfWIDAYanQi1brfbV2jfOuo6PE7Hx7WivfNbTP1u1DX+Ez
hcPStQgCV4mzoRlv+xiTFuCZQPnYTeO/0IEJZ71LtxLAkM1I4Q7QDYLH6DgDjY3d7c83ViXrasZF
4OGAM5vtWvmpKf/su1W+gAfGu+ria+vOWrXI0mBfbDhh55kHv39j21MBzi2A6UzG9jI3X54N+Nzu
0qC8uYyGAbI89g3CYu1S6curKd6myiRrYD4wugBix2+b/7XC9/h/iyqsHIIDTqxtIEr/MGSOrq7B
cpj1LKxLp15btqP9vWYpDx5zh3+V75q46Nuu9g7ovSJDQhutupZlUmoraRfkm4PWdnC5ssMBNQJ2
XprhUomj4WrAAu9B8e5U13XM/PFs8tNS3tY1DuaTDzejkUMLsy+Po9bENujNon232vusf7XYfLfg
vlDsfP21QGE79BdntMOpMUm3fIiiP6rpVaGCXeo20rWWGHhxZL3ElvbhTeeJ58rLTN9/lXqV9Ljo
Rh+EtQFk7mZgedBc9sH62gZO5s33KUCnQyPh5JWN6/qvxpkYZ96+tBALtvJSyl2HmD81PPIKFCbI
prYCp09HZseDZe/K++5F+eoj0hTWe8DR8+ltBkMewgeIxDYqK5ENShumSk0bC/Q8m+fndjBltPbD
ArXyhOc7Qi2zpRjim48y8B4cpVZvFYnNT9pwnu29Gt5m9lhWFbf6qSgciNq/ddCU6MbpxVurWGEm
VNVojpqK6POxCsBMRYezYoWCrS+8A0NW3YY2WVwzaWee2xKO4xLQCCTZRCPPFZILHHiTEiGb2WvC
ivfA4TvHQLsyQisdvRCUhvHiAjCQFQJ+Ob0PYHfB42gXLC1gGjQb3Gp2AnDwBOV4G+lR12wCebiw
ZZDfZN2prl9W48dZmxtsPqK63zfdYeP/fLrixapDgU7WdbTc0bTE4CIdSvtoihEXBV9meJrVcUaU
4YWRjF6XcMsLbd7tNmM5+O6VuvjLsT40Vc3fQCVx14VYc2YuIsKqbOS4cLNdP20LrymmXivAxqCG
WBmwk1rf0xn9UqPdR+0f0NH6r1wu18TW/1nNGHZ1k1hFna0G27vVmrczgv4KxAm4xljhw3QsM+hM
DMx41/qr4ZxwzyMT9C8k9veUeeDzVBGLn4HslGgoWS8/pmLEPFTlW7VjAt7owLLYLFnsBGUCj9+Y
ejNRG7ByF2fRaegEC6yjYllOiLzzsVrf6wMyW3No/8DaDqMPjVJc4ccq52wB9W4pweEyg1Sh6TML
eE+C7CeCREikvvaDsf1aw1jRLUN7gXVdfzP9Z9tj8Ds9Hdqks3Azb8FIy3pb3PG01CBvB2b50LQu
xhhr7a7WfDCcrGG3Dr0Ozr+390F5ZGumlecqGKKRj4cWraMxTjEOr7AcwgFDyoZmev2cmJU1XvfZ
jcbORcOhKlzdvv7WV3YY1BSbXvWuz3M8jsaFz9Z1MceT+7cGHnhx4B1ZZUasssBshcWuXQOGMDdU
fI3BD4q5O1l1kTNNczbN0/dER0GMjv/DKdycqUM/pttP3Vhys8FIyilh8aiVyThpAIMRmUb9Zjb6
bQzU0RLw+egqjDuwNrAu0ez9mzzxkDUlWJQ4TRNCUCX8sPEOgm47nWGte7YWMq9O5GDwgNK0g1th
1ZlpWVYoOTDrao0f0ZoJ7yuiAVyRYD0oDP2oA1H5xtk7yAGr8SbH8dS7I1AlHot2iqwSExI4Cvur
CmuJnophXtVjgrMhzc48rhdE42LI/JLvA7xKvhjJ4JUxbSGHZqW9eiwo+z3MBjf7bEhI7KCUFSt+
0DkZ7aEzBawxlriCV7xse+JoWwgL6LBZ3qfxCtRQ2TUpAKxikIBhbW8mW/2ql1daRE0TSfhqsAyz
O7ruefDRbwDWiAEQEgMqyV9MKwnaaB6IB07chjot5gAkG2I5KauOppZ7fU7HR1viISYTUseYV3q0
GHmpjhtUc0q0G2gy/NfRumrNte1GUi9n1EM+9FEcDBf1TJhVWG8fWKKF8Oln4H5T/2n/9dz2tRw+
F5X2qPvHykEiRy8PNSPr5A273np3XUUYMF7xzxynyCyv/pq67UuAIn7rOfZ9I6BlFjq99rEAKaYm
ErsAKh/55c7VPqT/BYCwVQdzOy9AMddXrc19TBarNhSzCp1hP0FEe9pTnGWHHlXj59r9CFC58w8n
OC5m6syxHYzEhWaW/lOsByP4N2JUY4P+Wxsfm3em7ZsCFGehN3luxo/Zf2MeOIkp9n1i1mVcQAKn
bDGwRKdPnX2n403qPq3hjBGoxz7m6TBa+6JN0KaI6kdgTuYVTzfgmQGoSACN32z0zkD6OMLrkVrZ
ZHx1qCzUeK8r4ttoNobIgy8M2mPTv1aYhQzes0RlxPTjBH57n9jWu+ZjlAes2dJiZZj7gaGYhbg1
hVnsdUC7DlFfy39K3PKuBmioHraPkUkQgLQUY4c7XrsbboiPuZ7TwsBhmDEfRIXtA7nzkgokoXKg
aBkYmTCro6uMMet/znYTjR4gf1WHpYe9ShTljW5FGk5ZTRiU4KmveCx+z48NWFgtatfJdXIBXaae
6RcqfyTSlgMzeA1jeCpEbBRd2FRjCBUIS15WuQe9I/T4v9m8b/6VbWnf76EXEvveofRyP7g0/nVY
Ly6IQFt1qDVMGIGiBX9F3Esw7xqE28ITWdd6hLr2SY3l2VjmksjFP1RcIvTID2n0SSm0h9dDPg6t
IquHD1fHPBN4h+1fxw5y+vaaQpfj0Op2KgAXr62x8wwfY+wu9oHu9hT+ZqDU+s36zSmNBhf5ZG3y
wgneQBJLB1YX0UYvEBeJWq0MfTljGDHmnkStbNmRhcP9+xgBWAtBq5MJU2VdebHldCgHZozKv5Zh
jKq/DmjEOWlmMri/NkAdZkIqgf0upnVTLe5PMQPQ/+v6y6w05pce0M+sWXlr8BNXzjGgVqo2wPv9
clqak9NrCdXYTmoAa4fSyv72PdsW24pC5TpmS6NjkMFlgPjwqjSqCx2MRWDwnK89fNyYOOjT+9+H
pBIjqvnbDt472R3NAvjxioreadd0XqszxR1XOmRfMe+RM+KVKzLlt8kMgkVpICXUfuTPiKVAw3oM
FUCSz3RMlmQ1JFJ3Q13y36EYU6OD4InPXrWFE9W4GEzTlLszKE1gJwVeGnTDZdS+uuVXH0FtoJiK
afTocUoaOZ0MhrHI8ko7npVDCVW57mPa2OvffRMNGyJj6dIBDAcThAYO99QK83hXhCVMZdfguILF
II0mHzX4gMzzjtvd0UP9IUG2sBdrV0ioB7dzVCj/ZRvZY6raHcNcqKppPBkyrjvtrwd5lP7rOn6s
qw80dNRTlHiRs9bxumm5XY0sMRdAr1uPkYo24CJXVO5tiRJW2F2O/fYdLDVetfndZBjETs3VZdWr
C9yCzugImLmAZGJD/AvYjhpAPKrdF32zD05Fj91qAW7EXd/8JxvUyTP+2CEYb+ojgnKfFIPaS8P/
K7jemeVdwSk8OL4AeihSoxwiWzc/JsFedfD3xqAgfMVBOm3UywZzhR6ofZdXFkaW3TadfHM4c7OI
inl7qTXQSyZZ7HhvkRo5IDI0/VGIKVK6f4A5yJ4O7WWjdULb7rDiuzYzmpXZBh7e5/7yQRlgEAf9
VMcZGYEHW/PwHTRspxA2NAyvuPLzYPnhWp9PDppqX7i/oh29uNS7LZyGEvOb9l3VdTIumJUPOn+u
aDHwJSR+o1BO2vWCOEiAcHW61eNGVpU7K43kdhfyZHf/RDGHNJAxTqSTp0E+FIQ9QPrsUHtp1skB
aAn0BY7wY/80YFtn+aRQFTEwoIOwV+gJATLCblL3uqxjRJKNybxDeyT9AIvWJVCstK6B69wh5k8W
I4OOMukUMp+EJ6vhE2rNp9EBQc2eDnV/04L32Ryyoki75tgPe2ba4P5MoMrpkajee4DkxXIt3XuL
QpY1X/YGNse+KxMb0xp0bRJMSW2FUitIlzWSsbxKgO1aN4MheTTpW1DiDrgCMzIitcQcvjv7vXWy
ekDM003i/C1RDy/KOMnNjgsFGhkKIzSgTuUldJJJMOTOFtVTR4JujBrxxQBCtGjeU4x3JmCyCmaC
C267K3Lf/DRXMgXxABzfYj9lsefzm8KaLyCGcdw35USqwg0D4IXq6ADjaKBxB/W5eUb+8W+ejlPd
0Fc8kMw3We7t5WGWLvo5+DCXFkFp7FeXQVdR33ZERw0UACVwXe1i+FeBwaOBtm76ozDUTiolfO8t
MBPjyoJYoQ2mIYa2E3YpwXVkfTRpL0t35AzxvU8DtBxyuRqg1dSApDweYysikiAJruNtLSwg3H2y
6RiwrweoN6V420LjP87OZElSJFvTr1KSe+oCyihyqxaGjT6PMW0Q9wgPZhRUGRSevj+LrO4b6ZkS
2d2bFEnxcMfAVJVz/umAPdfNqYnLi9xH1YLecqloxu5Sw4xKlkrVXjVDvrMWsU3nW4tFZBflNjZP
ZjzRB20WQ4GH3GT1q9tSFae2Imu3rG+MrImrugZu7wYS65bhos6qk0RIypKDogRElfdlVNDXAJuM
nLXXNMKIJYl/KA80gTu752sQh0q8TDGjHoGQGbbXkyVsV1XSZnYyjciN2nbbFSg2p+/+yt6qmyPq
8GvX0/cuXIBwMJQEvKAZ276YhToANVzX3hM1fym1/rKu0W6J4w1im80ACG/5u7L86vSnEM0Zo1eS
Dh55EsONGZjgSWiSr9e9ipmrW7mXnRSoYvHP6gXib9hz26feRRQ4M7MkJmxZo4WKmfG1Io8+v70X
m5hCNPKl9dHPhy2Ci8Suach4qFEFEwCA2VXmg8807ZwnPxXHEXp3yATiVijB4CW2zWGoAa1Rz4yu
t43O6rARiROgyxCg4+tB5jO47XCbohWIFyhWXslMPLqyM3Vo81cj5stqBgBObVKn7erYI0BMEd6p
QCS68ZkdRUbbMCXuHALgAqrV9ynuMGtak3PTOM45fcG9WVGNNGiR26u0qZMwrK6EDrdliKfffo18
oJCdiLerQfgzUCFrZjpZ+y5bttLyblervy6jYF8asQl4sD4t/bS4H/NpSSL+MuSj1ZbIDsOdBIu1
h09K1FuxktMJobassMs3uViTHvlTBizs0BPVdXoMpY8OL3d2o3E2g/QvCRNF6jkfF5R6JBMxXdBc
+rwuBISLAqeq5I73J5x3CK8QcW3Us8wEPB+mwn9TTA/L7jHIPZgBGecQXivEgWHe7zy+Dt0PR4BW
I/acIaruki5035q66Y9Z3T7Ea2Xv4yA7OA04M9bWlyy2HoZ5epk8lkXDhO2dJLropm6s9mit7rAL
AP10Qzk2lR3VknvSDi+qOJr2iN7r7UIbXTkWGvZwob5nAvkmL3h7aMWdjI0fbwPlSoSeY520yItS
ZT2kcqQK6N1vzWDTFY/quzd6r8sIz7BY6ktkd3R1a3bl1g6vfxXYiCsQocXZemdy5zYK85tK2p8G
FR97rR9nD8h2AqwztYRThKz3u+gsw4sPodthF9PtN0cCChEgQJedju6O4OpbqSc3yfgekqmQF6RP
0KXNytoMIarAJSguSR24Kl1z4fchGnjmZiTL5F9j1jgL5+ge3WzIDmzPYjs4YZq4frNsQgPdHsj2
tm9md5NF681QBq/QUwvNvnvVD3Cf+dA++HOntrbgIr2DEL9ZX7rY/RSt+VE2ebrRVvfQTs0zSBkE
bhdvolYe23R+teP0a9jLXRu70N1Ig+ICC+bcPvpBex30M2BocTun+rEvhpeeFrTL/E9q9m6Lyb9p
NcpDp3lKffk05P5FGaTebkB0XpaovtCbXWdDjwb2/I5W2ZLkXsl+EuogFoAyDJM7x4dUrsv6Pp8Q
SvVFmGRtiVJkePFyADInqg7W0l3OTDxF/IzmOnS9pz7SZ2lFGG/8ML/3dLOrTHB0lb6pLO+4NPVx
mC3eq7MEn7L8ACLD+VDl2TE0zttU6eXUjHMD35ed4wxz3qNl9RiMza0XhDShKZV471fA7lnx0lod
s5m8MoCA8FqEet0DCT417POqUPqYu26ewMwYsJnqG6WpKSI13S6tVyZlUz+bcUS0ioQ46tXXKKhv
PDwauIkeZNve4cCg70ct1JIp6Mws974Pt15gP89AUdtVccbVxcpeN86tVxXDRVXW6d5YVk8zMl91
g8cf7rpD365VmgDTQXjpgm5y1Fe1ckB7m/rC9rP70Y7vxpHTwZ3673YzeltGa4qd8oKvMyNkUN+Z
7ENZgLgn/RoFD20GoBN53bPSJnssafTuMttug90gp/VgtykN4wJi+dGLQx88oYeccIU9XK9zUMoT
UbUM2PBMcE8ihXkqJkqgrizxVXb2ul0kFTJtE+ElPkRAEy2f7aBwT07WRHdjEbtX1izQZ8dRlW+t
sI0/dCpW5mNYkfVzbs6troeCKW3k15ti6mvvyOEQFq9ukI3MDWuVH+/yvGRGItNLWRuc5a2z2Omx
TlsbAq6jCUJQI8rXvikayIG16C51XZsTwS7x3us4EU0KhjqLNrid4xTJUzOPH5ccjkDlJYSFE+V7
i6Zrq3MOhNQS9pNtTdXTnMnuxFJYk9F16otpWfxdV5r4kBO8c4x8teIpWXJOVLkkZR9RLCFgWS47
5U/bbtSEF4XMfD8i7quOMRDdrlM1ec3BGXSLGvsYx33Em83tD4vwur292uaBtQDyH8bTsUtXsKzS
5Dtf5NH9BHnAHgLdjsva27lLkCKHHT54Yw1MuBT5FvsJzQHzBXDRWKc+kOm2Dr76Wb73G0h3HB41
Ouux9EDXPO8tnJvPQpKyaFAKZxW4iL7qU+q0te+uA3j9sSbfrBbz1yz17ganvPca+zFKVyKhWqYd
Nm1lo3EfLyyiHiiZq4DgTkDhZqQGHvqWItLz0Wny8fqgfZ2c7C3Ogs+tNt+dKh6T0p+IE8Ks4myC
SqAIJAs0LD8ZPKqw3Xr2u/u8KDxifMNhbE+pQq0NXGNXb3jO7eDk2V6OzUOpJYt3vpIzqY36XGAa
uxrUBdA1Je04I/Zy66bKb6zVT+VdmQUp7XKq01A+iS6gxZajNXsXbRWF1LUIyZk8PuSN3kX97EUH
ZYeru8816fs3fdPGI3oHL+atE/nAltGcWc0I1JR38aFiFvXCn3bwKaRuB28f5xMKFjeUwds6UyQf
at1HwdHvxvMra3AtDY/STjXyE1lP23kpEGTzr+Ge0kxLXu2yMdOhybM5PVV5NfeJtGSQXbrr2FwX
QdTm13G0rM6jyLzQxVCTUjdJMgchbAqvak+2L9MZ3U+HSqpwpnXeFdNSp1fC9SYmM0zWOj9ElQca
WPqKc7KvByH3Qledd5q5CYo3kRX+Qx4ODkxMuTjLoRjVHH6XeQ92WeLJwmnRDs54koLY0KQUsWYR
+SCue511QXO1lI0iZLtcRL1jes8U7yfdOpTJwRx0u2wA8aK6toT6VPhzqy5dkdY4aSory1Ok3RpZ
QGqPtdm3tkj7hLTTEfoIRInDQqhY7zyvr8ILYVrVXMpG4Dxred2OxtaS/RVP85XXB5whmrkmDhqV
CEBwTbVHSlEztR3ilQoJwOo3XndBPPeSbkv6IfjYyK7K+NgFs1rv2LGmoAc8x3aGfQDyvoomcHZp
KPAYLJX26X2E5UQHh7LKTjJZxd9GIHVgwhyGajNwGJljRcOvUGLnmQ+3o+Nqu+jS6G1etWfUrnPm
DxGV+SazO+XtKjXOr2noda5Nza4j+WhnWOQexjK2h6dUE/R97ygBzsRgpr7/Fk2DoavivdUdc43f
6DQ1I2qEaqGV2YZ11zbsXmmGbT7niNinRa7IE1oVWg4dxbIEpzlUw4zoMu/OsuIW7yGhAlrsJBkr
9r1rWoPoXLqa+3QdWt616dcaNteT4X5ogL4ulV973dZzJx4/H82vnvs2ap60lnl7Cs3i9kfpd6U+
DVNXRlfFanE2BtCc7WM7uRYcUuMtwFdx7lrHrAUoO0Stp8tdFcUSunx2vPEulVEXXsrOA3bIqob/
yk619oMslWJ2aUr8aaLTWscXFWvH3w1hBgUBuTLinw9rr7E2tg4z54sVjlCj53Eb6uBXXv/ie2gy
h6CSw7Y33Yp4B8zP/5wOkWvUJu39dXzyVouIMNeD4VwH4RPGFEm7v5zXM2uYFq7Un8p69OZbR0bp
zewIc9vOsb0gZoqGbD/rbBDPlg/xs8tau1FXTZM2YGaznD/ruZl99OZ1EEJVVnDtPo65jDkNJmAW
09S7GWrvdFDBISxljqrE8ZgNG68QhpFbuvAU/bwW6Coz8UHb2XJrRj/9UK3Uqwd3VjI62mtVPOqm
LKYbZznj2QsmR2sj+7QkodjiWEzG8wYjjT8I7J3vLn79jDdzRRFY1yMeC+anRqeUGQ97vxx9cgIL
Wz5ig/WB5EOfW3GpgcS28OvsNZVaOYmjbNvfAucs0TWx9fJDgXvPv+rGwsk+eVZjgj3l9wxQgz91
SqQsuv7EccS0YNN5KN3iuHWqZ29WqHB6WWJftBupkG6w/qudaaY43Rmddu5lVhZ+f/Dl0Hu7abLk
53hqeTeatQ/L63jqBIlkHU6AZC5gVs3k0zy1uuJtEsVdBSmaeW16IVvHQ3nhiNWmyTZFv0vtuEIZ
IdK1PhpJP4asugxg8Tsvj5K598CoGm0cWtPR1PO+jpy033qFrMwnZWoRb0QaYWOo8G+CXKSScKnU
L7PyODqqxo9e0kAch7S97LU1H7qynY8ZQvnhkFWltvaWp6S/b1InyECUMpBZ4CJdFRcY18r86JtS
drD7LTSZNp7W1DsUX0hEtW2OjaPpXZ1WFOrBK7gIR4AqwYycas6fqet8/GXOROWza9M1JdcvFGCb
o6ZivgxzgxuYN6RVH9VaoUfLp8Ya9yZdlHXRtiKL0DA0HqMaClMUz2mpGFbvw7VozEEQnGhE2tC9
FbnTfVkk77brJp6zb3rSvL3xcfbX65DLTzq3kQaU2RA9GRll4W4pdR1jkYzwzyLAmOkUSwLsmgv0
JwjzbBKOi2vQ30YOiR2fnR1DDxz7vMYVSLJbNH4Fv+grxYZi6RMXE/F2tqcOSUewugK19twtznNW
Los6UXW64TZSkRSnOErrcpdX+WjkDSRr3qiNUznrfBp0ny8HuPpwOA0L+brb0jdzAPIVTd5FzPOE
66DXzC+qusv6Y8zhQHCSkm3/DK4YBVem9UZ7u5gUX3IWpvSR2iqQvTf5NH8PWZQ0Wa6L4yyTa4PK
tXZRx9QuGfiLaey9Dfu1F1UBiINRGZGdZ8TU3wPVwbIJkrD6ZLAqu4IyW3wgVGMP5Z6svOybHS6e
eyndwlgwViHOmjk18fio26b22XOiCPfL7MsZtdCo87vOsKZ3mSfMIwSI2OlmtS+Jnm23Iqc3JCca
nrYfOjRSgZ05H7ywXwWGjzgqsDgMaAGnB6+sa6xlJl7U+Zpj/GAFrjd8kkOde9ulHyRxSyZkArRb
sV8OnETep5jnetboZ7B6re9baMOm0ME7WVXOi7aWLD2MrJIXsZohfUj9AQi+EbLFi1BU0FKelbby
TtQF/AKrs4XnG5s8rwcq5GD9u5S6P2UxBJ4tnJiIAZ+y80/D10xqxdKLCvIFmCcHcqyTctvhnti0
H7w9NQV10rX1+0X/6w/z6vW//5v//yo7WL4sH97977+vCzSnWn4f/vv8a//nn/3xl/592721j4N6
exuuX7r3//IPv8jf/8/1ty/Dyx/+Z9cOxbDcj29qeXjTYz38uEj2Js//8v/2h/94+/FXnpbu7V+/
vXxrCmzDelDF1+G3//zo9O1fv7lE6hAS8l8/X+E/P755afjNx5d2ePlHwoVV0b78xa++vejhX79Z
XvRPQcgXCdjkQpMO9Ns/5rcfP/DFPyMRClpGEcbgmOeEsVaqIeeXXP+f5HIT5kIwt2sT4UE+ipbj
7z+L/yl8J2Lmphcy8zUQ4rf//SHvfk8Z+f0b4rH85///0Y7NnSzaQf/rN+ccO/FTGIkXOGFEZLbw
bAJdXDc4L6ufMshWh0lF5UDneZ6StrzhyyPa9zxfGW/IPZrQpCOx2AaM3P30tP7iwu+W6/vrnu/+
5+s2Oie8AjPLtlrQGglF5Kkbir8Jenb+7irn3Jef7s5ZsyglZ1RuyxMymuFWJk2Cc2FT3jRPiqCf
+m9TV94l1/zpvt4l5MT5SDNvc8W1eWqn66y80GW01bgqCP8AyfubhCv3XazIn6737vsriyFbimJk
kNUFQ2BAOfYQwUdOsGtEQul2SuL75gnAnUl/l0ye8sJNcPP/8U2CyyA2EHbgB++CTeCRTUgb2SIE
leWuJtwJt4L4m+XyI1jwT+v0f64SvYuRz0xQd0PLfepdxQjGfbw/Z+egs4626onxhRfW7pzsaB3k
Ey7+A0KpC5iqa3lrbfu/OWrfRcb8/sh/+ijvlm7YFXXImGLEJoXO7xs5lzs7HIKjyj3r46+frfMu
ni2MPHY481NsFo0dMpPijwu4mGJUB1Tj2/ZqYv7NeIhQcZhEPxcHvQWzTcIgmd7qA7KFv7nyu5Si
H1f2GN4UxT5xXABvf7yyg63Sr5sJUywHQ7utvlhkvYY7HNLP4W7e/5jBdYd+ZWvKA6n+f3c+vHvI
f7r8eZ/9tHNpK9uRnL1mmxWNnQSOSp+Qgrknqsb1269v9deX8u13lwpdzmAnc0ltwWHSzPddikwV
C8D/+1XAHgLm5rqBcN7Hc/le43hN6qpt1H1wPPqWJ3wxv76Ee14NP22SHw+N+QPMPxW8VTjS//jQ
ItVESmVhuz1DD9/rb0wiuEJmt8OieD2yN4qDf0g35jAlJpFPtAgMaK5ef/0h/mrd/PQZfuQg/fTF
ebWdqtgb8Znsogt9iE4+I5nV38atvjvZf9wqMBxZgm7gxu77OEGx0NTKOOi2sii2RfBthRX89Y38
yL19/zSjkJHA563HsfXuaQ4AABSwHpMjlkQeCePYngNP2zJxLyRhnef84/MrEl4bRVVyTgpT+19/
hL9amT99gh+H/0/P0o6yTglPoc6o6usl9Z+Nxn2lzd8szb86ZMgRFP6PDC83Oj/rny6T51G0qtXA
lC83rWDolDKouEEiEaL9+oacv76j/7nU+ec/XWqIOqfvmrLZYg+xk3VLB4gkbU/SOZPhzEt6eV6S
+d+UAX91f+fii1nBHtnm8btDVGZtWg4Ba2WCb4yQxU3qdcRzNYHH/fr+/ur2Ys+zqeso34L3efhl
3cb9opBzOl4A+Pekw9cq+/Lra/zFLg9s6knbJnUrokZ8V9RMwHdpoXgnuPfOHn3GvdiKPakhH9NT
k9gnefXZhRnZ4IFhknS1d6zNMmxw7/z6Y7wP6GUH/vFjvHuqUdSsadF0zfY820ufPWTkO2xKEPAk
fmlOCEe7Ldk2Cc6TDS04c7t//QH+/Kz/cP33kYo10XC2ayEIsJy7ynqIxUUsHn99CYfn+acj9Q9X
Cd89bJVNCCYXGwZeywV6rLXINQL2W59nM9R3/uDDxgLEfLP6syPbW87y3RUbUrR46S5vRPDd9QHn
4hHliztF5as1FwCCokDOToAOrXzmUBw6Vp3Y/Sx2cR2h6Brz8khoJSavdlSQv0V+vfb8VbDN+TNC
qfnOl7LF+aXX49zO1t4HZcddlxWfMmSByzcS+GWHi9fLLLz0I9ozRsSc0UlobmoXwsYsnyCYAY/M
1s8rLKB1nn3XdAunpl776wiI9NGthuFYB118FVrTss2xhyAKyqqrEf7ntbJLnKKYZ/JtIcocN0u/
kFBeptPHGkU90iRDx2v3Iypt0Cx7s4yO81b1wXiM6nFNoqYMb7t2wXtt1/EnjVsWC3Mvi6SSCweD
l5mdxXATIlBUeDmCcmFLCqwSsXokLsqiCpByZjEettpnsxXNw9JOE0opUsaQN48ritiisx8IZsJT
pPqCwe4o3ep5jm+UihH1tGDknbMgYehbtJ+kyhHx0ouHaLZhPItx3DHdrj1kfIikxG1/6iebUc4B
eSrAU2goa1ddAIwvR9OE1knHYbgrUtVeWUNm9rAVauOWsX8ZmQiZelhm0Ru9X7WXabXe+q7DVNpR
kDLlNZKqdnI+a2GDDlIMfjZmrq7X0Jg9swqt5zUkozeR1ETzFsy4e7Amq3gyfeh8KdsB7HhcyaI3
qMs9qUd4XgW4s0b2fN1kITJnIsEe5ykoXtHLd4yJKcxTrhB3QwdbyRyixCx9fE3FNNjPANcoq1iQ
K+7Ysm2SuZHyJRR9RujVnBT6Et54QecyT8OwWZZqehFzPeCjclLM2S2iYTV3RPP0F2oZN5Ucoy9i
GWW8IRki29a2T16cIiBrFZG6znRsnybHq26bpus/+CaCaulUcUXoFraaYhhuRtup0f4NTvPd6uzy
A8QFYig16+GyxA+wbAMrOysXI6zuVjBsmNGFUrqqm6u6DmXil72/I93Q/SK0Da+YjmofV2n4uNQq
RF/qOIfMeB8bQzYAdVt+EVeqnTD85TXuZMsnXWT1Pq9ONqJYZvJtlKIpcXuSOEZjmmtLIbCvQqjP
RKiJKeM56TVz3ZGcEymdX+KlGeBU/aokvqhd5pvYEDKJTr5yCEzrogI0d9U5gV4RRq7J1e5XvS7x
FxtF2taagnVfkJawa1YPX7IQ/US0k18emg5Gsli7FQOQDPCpLGlxuY5Eiidlbk8XpeOGD7kTrteB
1RQfdDjIu9i29J2EEXsSRLq9ts14psV7wOwWIxmqEsOWEwqzZTpM/laYAXrdzV1iX/Lh0YIT2UOW
gkWjIo3ElhlHGFNBjYlWmKrLtG/FdwhwvuNQ+GG3aUTKsKAp9OjaVgfitsLlAyn5DJzNmRGNBFLk
nSA2QM5PwjbesGm9td5mIhU41W0wvUNYlRMa9yDa1U2uD6bDMLpas/UaFkGIfjEOhj3HypgEedS/
Ln6hvrgQVgf/nK5SBMjky4Bg32Vok1UP7mXRxByj5Rxa57ifxylV+rpLHQIKatE/xkwFPkhOWjBn
K9yCL853a6Dyq9jq9dbN0zYJM0tcRH46PJR2bj7XbanuqtRFZdvDarRFVB+0VZaHkRmQCSuRERh1
h19g6cSFwIiHBUFYF1B/mEd8WRM7Y1RECowotyuUIWlxjbhRcVGzQqQPrFvrQ1Ai+OyzIDoE3Uhs
mszEgXg3QgvCDPantiK5cfzO3eaFtWBZtqI9R4HEi4CHz+pjA5SLvreNXMZVBEhEVtxMe9+K8UF3
ZHHnouwZsuTWW/pNcUx7KA1SB7N9P4ccrbElj4Gfl7d9q2O4bUMGClhx9zzFpbyyGqGvixTDuZga
jYtrTj+3HJtJFbAs16mbkrorFElnen4YVGiOk8A5ESGxPhp4QHzi6XLX1mo5dA3wuKo9g2vVzRCq
hv31YLXxjTZ5defaoXXFysl2sAj5dTQ51q2JayAOg5NDyr4+mGjST7Nn4ovBWvAzZ33YJXk7qbcR
fPNWWar6uEah9zoID8GIrBBkWANvtX6uox0iOnGn0h7Q1rjeQ2+NKOkCUo6nXk0fp7rwnsNumN4g
FtbHwF2Ww5ST0ZKWpMM4lf158FayH+qMtBYqjflsltMos+pOfhlREB2rCrNqOgz1tWs872OqcWu0
LqOTEsvLg6PxrQpC2icaZgVEjkq+jziYySiAisEXSXSm37go+bzFMD95DcNNH4fp1YD569ZrNPKj
NicjSEHA3gge/mdKSCRORbseSLmNyOAj/aCd4Y+qqbNxba/IBjI+p+Vn6yW9Rr8L6qolDszpiKEE
fawRMrZ8J25bl0eHems/CcLvQsJMD60rC5fsjtp/LSRCl6QLdP2aRW6HTM7xCbNySnf9rBTVj1dZ
IZo531EPmlzQ28JBxQ11OXyXZV9ACVWT/Ni11JREP3oLOmDIp5s8LYKdLGzxUTjj+MXqbcxb9hDl
G8cq/XtkuupUx8hGIz9GbVWa/qs1NjGqubnGnF0u2RKiDVflR5XyWlCs26vI8Zm4BXdO2MjkfUF/
LS5juIsGW1UdHZq568WmA369VN2Yf++0zb4P8LrIgMwMvxryvch5ceLPYHCclzUPNBe4wpcyvS1F
1O/OX0Gi/di+jHPSeZt4mY9tbUgaddz02WIm/YcRo/Nlz+jR/dTq9ELlstgzhLY+1TlpDZI3/27M
enk2SaKTafziaGq7vaDyFCe4S0RtGVZ6GYzkKdQk9ZvFqPtqJX1jtDU7MKwGDO6qGS7VSiisG/XE
Q5aOeIstkpgmQhXWNCwv50JYqJWYrHXh6pyAJNX2j7gghxs/IMAQEqtHutBiQA8gZXiPL4KaL5jT
pK+W9MWxO1ESK5MvzCdoeo4gr1qcbrtWyEULXaCAF9BwponHYRO0dXZVjnn/oJqlvM+1X34pWOqH
RpwzM+VMGlwwV49lPFOS+fFNHyfORz/rZyJeWpLGEOYuFx4M92aasb65rT0BvQWUVZb0oULbMASr
7kv9YLq6+gQTjUue3bJe55PLYshKHV2nkqhGr5X5XrdMFbTLbt5ncMJ0LspHb+6yNxHPmOFliHt9
QsOFk9xzqOxS039r0nZ9kE6kL5Ev6JuyWiUHbh8TV5LNlD+DGjUxOI1dfqyMHF4yD/3FHn8NMbt2
FWHChTRUz2iJek2cRsyEYYUlO93MucIJG7sEnViiGgnMtNro1uq5iMri/LaMVPlWaGQ0WJMJI1PR
IG4taZMc7sR0Js7Ufg0bLYg2cVX8eVYL6mHjumbfVHp47SwxHfqRf2T8MH4dfMznYi2w88vWWEdG
wa6fxwpXcM4Etw9U//bXFBkf/ljk4mQRD+XRhIw+RXeBoy+vSAT0SCGSk0CimYc1hiecqMpgUl4X
VBehcWGdYM3JmlnLIzbh7zNRz1smqUT70nfFBysfEeROhgwBxzeHEAAi6a1ab2bZ6t0sB+9SM0Uu
seJhegzoauh7VHsdd8R/zl0ArD3xKUAsqitIxuamne35MlqIfh0KHpLVD+Gej9fdKxoJpGgonYAz
652DlubAIAq2dEWxYZCO7fzqHMHrlfnO0yq+K82c4aREze+lzJRzioyJ43roNuhqiB2rTHzK3SA+
WGtEpe6Y9tHOp/bUe3aJKQwVWpbzu23KLurOxixB6C6SdQyYigS2l6g03cMSjAa5mN1dxlOMHgnB
xCYqB6pG3XsPXRiZa4JRWOn9SBZ9jztyQTagmCfkzDufkR1HGcb6cx/hJGv8vP5S5AGnZeDmz3os
8w/0Ic0exdlM7yDc72aZlm+5JcLzDhXOPe4T72ijajzla2pdz14TP2rTon9xUsZfKyKkq4X8NmdG
Td6URLLGJi13pZPlb2LW+CIsUey49xl16tj3Q0Jn5kPxyvMI7YLVzshvjBFuxheX+0CeA87iB8dS
42WnWx78UpPG6feD/TCmPqQEneqnvORqHIqYVWcUyasJtn7ci9PURsFGTyvOBDIAjmIIi12fO+5N
awUTCXiGcEgCdEAdMuhoTFpBRn4j+v3HYemCF5uIkEO6huNVidV4Z4FZfKrSNbuYR6XuZ9ub38Ze
jHPiDrr5MtqjvG2EF34IB3KMl8m1iUOtkWGVeJJvMdxYHzM7r0a+UoF9bxw8hflbFY9iLOQrfeK0
ncjJG7YwTw0JDZVNFq2MvP2QZaDLmGbca8Qy0Zc2D8atXcYEgsXkQw9kVh/TkPp9y67TO2UtgCmB
j+AuWUNH3qySOJ+lXzGJ4SZpHsSKydmZKwu/yajdO8tvBTJIJ35dlozkrlavJ8naoSrvFva4LFSy
IjBKLCuOSIojJG/N0/rRqaGVN40ssw9tJQXRwW6zVy6FPZGJAXG0K2WeTamejGW77hyJCNNyvfUq
ogjFJVMtt0yvN/uS/AZSRte5Oigw268Rx+hJZgNxzZ3tnd0+6SnNInNKx9jGWV/O2a2d2fFxQuz2
XRcNQk2qIopg9uxdHEmixCsSynfoFzHYS4MSYXADWq1cdjMBDqZ5qkFfDmlXERabo6QmnSoHNUvC
koRshp4DfqVs34Qt2CP3c9bvq92vl4VUXrLYAqnNIC33vovT8Xvq+ulbZuMUXxebGspUWfbg+HN2
XPoqfssiBwwBNVO8s01uPfbCCxBvRzVtSyo/E2voXlUGbWf8v9g7jyTJkWRN32X2eAJOtgCcBqdJ
NpBIUuCc4zZzlrnYfIh6PR2O8OeQrN5Ob7pFoqvUzWBETfUnyNs7DTnAswQQcztpo/Wk16X1zRuy
/kkKi8BNUwtxs9EvlAdDHGEaiT7GgbHEMrJlNOydVFO9iXR/kpEDHxPSES1WjjABmu+1nyevYuHj
PFcMxbfcyPLbEjTcY1AE6BX4IUo2Eva8f6lFUOfQayJtC0xQ+KWOmrQxraQsbSgt0AxCT8bJWjag
ZzSaOO0BFpj7HITrV71B6CO0olloqay3amsW10kHIMRWxDjd6y11Cl0IpF2TSRrw0hCN0dSXJrRV
gcqD8hO+lFD8ZkXIUXwYurJ/JetH96KO5XFrRVAkR5OSl1pJ+aFVgJPHYmjcJ14a38iJKtxXUjZs
Y0vWH6K0DF55yALyqTrpECaI12TtBHilac2fw6BJtzy4Qt7mXneV52p4X5Z9t88tUdlkvkdVS5Gb
7oesgOVJoyZ4oHBaPFij3lwnoLZfhc4v0Fds1QzeXZS8Jmav7aMaB3gbqilsFmztN4nC/M9lFfSd
sj66QWVEdytuKkgOmflbL/TuLecGegnTsv2Rq434M4HSet1ZnbpFjr1weJ8Omxqg1/cOIt2ut+CY
FWNUHBLAObcF98IG/YHhIE35dM/OHW5Z1CSonjVelViTbBuqzRpMAKEdXcuL5T3SBghCVWUKQjai
ZO+I6gCpmU7wUZd8aKpx2N7mPjAoW1LFlDealv4WjIDUDQbs0UxL5BBQGuPZxXVohwKfG3CnPPyI
lGy6bzmRv4GPZPAAe/cDiLEHC4onRNBQw8KLmpwiBqNTj5X6nOjmdLTkLrn1gxTepZwpu1YRpZeu
95DRrX2v2TVjI78Z7aR9s0y//6aigrZTEth6EihSOCEKTKFggIqq5zUlxFZH9r9FIjIQKlA/XIhf
5Y7js9IbYVeKsnSYStO8n8Ya1bQwlZ9BsSsHZfL6R1VXta9plBsOfhkoAovCcF0BLziYggLQQFf8
8cacvOlKSyOPx5Ag/cW5F+ykQYhACZsGBMKi2SaC1G9zAu8hbAQwbWW0p3LJurd6ObivSyjPNXYI
LzAzkgNeHvGh5TpGZ3egJBaI7GJPAKEEx004gCPSbxvy7l+UUjIOcb+4k7Oy2Yx9XNxT2zWwgpFK
mHxtULxZJVjsaUjbB0RZqp+VNOLz0AHQr5KcA0WMUGviTkx3IF/lN5HD9OiHSBh2zQjDxSyhomqT
jrwbFKFtLKWcgooBwoIDeKPRepklL/Jrs5qUh6b1/XupRsnP0nI4UwHi3f3MrmmmnkdAa3kHUWyS
11IGDFZM4+AozahsFatXX3Ld7H7WvTLep00RPxVQoba+GqSvujEGN1SWwl3eWjG82UbcgKJLfkga
6s8T7NCxK0okwhvv2EZR+OR7ZGFlESEW7HMf3io+VdnR5zFak5+7cjsqd/gOAY5Wk+BIigVIKw21
Yyuo2Y53EUm4WE03I/XJuyAVYjcqY3HTTpW5DweK9b4hBjdikPf8/zyMGRQ9rG7Locl204SASC9F
dNWDZlBhRqboMUpKZ16FaoEoTZAgecRbyy0Fqz5oEjJlcVQI+7DgOIuUzj9yAaaPzCM6nkIiuFZM
phhO+D5ayfhXLsJ2Vk0hfg5l7a+s12AkqmiPkcaR70IX201yJNwEZoPmooHtBpICZXugSF3CToIa
JAsDSpipRLm5Snt3rMCOUcBNkRwQi4euioprq46MXUTOgyIT/OrAowTfjYpI96BDkD1O1eumz/lf
agCFV2FfGB2QN700fIcVC1YjNIqdLmW/I5RYHztBr741zeRvhtZSnVDTUI2sgFVnnlHzLux/yX0e
76mFK0BIK+tWAuuym/1QjqEYdlcT63hnKBS+EQNHuCcGITzoFkLjvsKjZxCjCg0WbDZsdfL0jSIh
ChYGeXbVxloPvRcmKVIAklsaiKyHMpX1Kql6qiJyfh2kEiTLxCr3rYDwsKd6zb3SBJDPBlKPuMcQ
Ig+V8B4KR78vhsm60lVKU0EhTwdF0eOVruIMgDhpD2umDBYE8JSKxsYn86MiZPWaOV1Fs3oUk/tO
/5GDrm2qX023EulTr/s00rKl3iWgNBLaMCyAXzkMePHrWpvr8lCkBaKlmGjoG5FBAHR6p+BWjb+q
iuxmxo+BYosHTt2InjTUYgSje+qL/T8Jb2mKLkmaOSPi+HkfmsJFk8Ytwkilq4nqTT56NyJXBJXS
EoL6NEFaLJPbEM3LzB/3IlcUjieXf8GZCVZETcPqcEbjqcbcBPzwA2i0Qfuky+Oi44DGvtxDXw9X
2pVnlosiMo20TRWZgS7apQBd6xZH9sJtQq214Wq9yZK3zYZ8n3Y5XNE8W+nqnxuUrNDWlwAQgjte
IKaMaAwnr5ByN5dxJkFsY69Uw8PliVua6BkgFKHpgB3EGFy06Hqfzpw45AJURIKgoEg7X7JLJ91p
G3GrYBtcriyUTx3f92C014mjzvZwp8EKS6SPFQy5q8TXef+QKMdJu788oBnrs9jUCgBaAwSNocsg
2k5DgPovRQ+Qszvpv4qotzkS/ezILbM1kTBsUKK/HE8+syw0HlsYg80zaILmPFl6uT/R/CuS3O1+
+m/KT8xEHDwTDqqTbLGsxM1ha2ymK8rxd/49eq4Y0nm3mFU8yV8sN1/ZBu++y4vRn/yYeUl92Ace
9Pqu7/gxKKO/NgekKnf9sTgUW7KGO3SlQE6GdAtuRxf10Afz6o99Euf1pFGTEFVTA9gjLdfTFJeR
KKo0jCw/fwaY8zUI/xijQQgTdK1KDwqghrVYslkaFD5t48zNZs3F7laLn/xxzVb1zOY7CbJYqs1U
qyVpM91mUAGNKTqBtQbAOLNUeWkwSRpwYBVrydOP5TeRHjc9HApZm+CPo2rtFaPjmcYXrUatTSzk
n00lrpxi54KyzQ0OlBnkpc3L+cMK6Xu/NluFFdKXteKEgCJsv0mukEb47eftVSjJr10ur9x/n1FD
zKWlyzKoF/7bFBdDFZJWgLhfzODPRgChbG2lvX6v35k2khyYJbjp1t9qK+fnatTl1pwE9AkaovYO
1l50IQG3aLcz7JLsZV8fyjuKmCvz+36XL7agwfnG0cNIDf0ddfNhgtuiktoEgR8XFT4XAeSjflB2
wb7atSuH6RIbPW811j/wTlHWgCqJi0+pNKkwTqIGcR78DkJSL4GLPt0T8tROuk3vPGdtQj8hA+eA
PNstFYqjZRqL+ayzIdaDeWjqzt/Xu9n3ckYG/qHp7/u4eNQCjud/GgzudImOsckbV6hLty4Qp+7y
iFZJb97IUVWtfKwzmwF9MHD9cwaoSsZiBktDEEN1lrDOResgB8pLmPRY9kXPmoYRIL15lNIqc+XK
PXOygEmUFVDBmPICZzsdXiRCf4FTgoORNKIImWJMsGY/fS4ErUDFtGTscaV3YOSHNRhpdZyYRl66
sPBSW5etVzr5K8tv/pnLdf4xxmJLd3qQo+SVla4sg4JB4CKorilrXr5d37/A5ygWm0nC31O1FlEE
i+YjHOnSVcpWvK8Q9/mullnxFnU+6Ku0Tt22HXqnhMi1NZF03FCBxIo9h65aALc6mhABIYKDL6Le
P2ylxjTQ5/IzVIiTyIBXjXrlLNI0lntdwIgRZqZ2rSVD+ywAIDchAlXij7TPtFsOt+4xq3D2aTDc
20zDIN/ETYYQ2yhV6Le1cuxoFrTRNE65Xv0Y3Lqke5vaw/kWDT7/LzMRy2slD5vfYhOIe9/SvO9d
EwT3DYWBTeuhbdUOgmfnWpzd+AGidk0DhVWVvAj92yL10clVxScp66V7uOe0/gV9OpahX/E6QthH
zkF7WKaaPk1yj+BS3ZnOWJXaDykaixdpVGlxIUcQ3ClJr++NIewetUqX3qjfRs/BrCI8jaZ1RMpM
AUjqg8KXaKVwGnRfdVAAm8uf9uwapYrETxPPYDrlNs10K+PLynQX84ZMTV5BUy+pMe8HCftMQ/Xa
sCAELc4rIQuTEBGC0u228W1zrbj9LnL1b7Gj20iI/eU7+j50URLa/fnITMWkj05KSDK0eIx5gixI
BeqLqHcK31GAPfb58OtyiHOb72OIxbYotB5YcUMIQXk1hxwM389J+voPYnAoKrqqYrS25A9Qbxo6
+KwIn6cIGKc/K5QcDJw6/kEUDTAjkHpyA3XxyElM+BECTXU3oavY1DbyO360cuKenS1DhmUsS/J8
eZ2euHosdWVg9oUrg2wb1WOANp2vv1weyLnLkcenbAA35eZXFkGKKCDJU0Y461yO0rspNLIeq5fj
Z1A7l/DHOIvENC4KoVdLJgyYXYJive7kN9MB0bH7dAcuwDGOkDvQYjuk2/4LgAf38jDPzaU1l0zA
1M/MlsXKo8cnJ2jvsvKk6655qECQjPHz5RjvN/zy1IcTzaogRbXYSacfDG2GNIos/ELrjf84wIDI
H/C/co0v6c7foanYk8B1G9IcV3TLbeEIh+QGiX83XztB5sm89EMWW1nw1FZCZgWm6l362rlIXNv+
d2MzHHsXFcctMMgdwqorWcnZT0yWbL6/yRVDWpxb6OYgTGAihendmA6irrcIblxJW31+WLrDHum+
jeT4jnkX39f3IE/W4p87mj/Gn//+IX0IG7i9xsS56X2Xcjvc47KDVdgxeG4OOIM62Gq4G/ku5VMc
ENa0ndDtbnnWbi6vgnPpO1a9usVbnnTQXOLDWyFIWOjV3zvKGw4IN+69bXcEFQ+8DGYjdiQgaIyV
FX5m9CYJPEUXVp5sLHk+cu81qloSNgNcE2lo9qRrEzxvksWyMnkEq5x73BGfKo9jj8k1yB4OpF3w
PK/vhM9aHNrbcGMeGlu4mUGc9rQBD3RXOMku36+xs86cVoTVKHvyTFcUeVGxyxAGEnMRQ0ZrFhsD
opbhrawg9JfW+E4Eb23t38h6tr38Sc8cHkS1VIUbRZ+/7OnCwkixVzwfV1GtxEe9MqvdZKAsLFfC
yoPz3DekAgTYXQEPJhnLA6QHjzvgFQu5qMIpprgeCv9weSxnl6eE8bzCVS/TplnEEKxeikWFXaLZ
PL9eJRh23b6xARNB1FI2ySbc5l8ux/w8f6wXXg007slpqHiezp8JXNOrfAE2bGvZkbAzVbji0/Ef
BKGCz+kuynMCcxrEqHUa3A0VQbH4KSKPO6DfX/rX/1mQ+WX24YgRA70Bd0yQyLsxkF3OUcnQYuOP
kwvmi6KiIXMtU4NfRCE5J/VUQHlZqnmd+eHzVAtIa63VVN6JZKf7eY4DOUmVZZXH+OKaqKQGIM5c
qW3c6FmFToLKlmt9iY+5Ezuhk7yVLugpLBA3GN28GGsrcf4il8Iv7mRUJXAA7Aiv7jI6kWh6DS6U
rCvdza+Tx3KbHzqnw9jISe/WihCfL0hya0nlmUkDmxfRYuRyOhlIGeB9lha09ao8/SlFyPhVCAXG
ar9yfJwJJrH8IXOSYsF1W6xMbdKiyTMVfEXzV9gzqJ4+V6j1jWsv9DNbG8bsh0CLdaM2sSarJYzo
YWv9pHXmYhN4Ve3rbXoQdjhObIoX69flDXHmG5JTKdDB0H5SZXEe+4cNAczA02OVkH6C5LT1wxBf
Mo5G1UIjZC2rmfOHxXqRDLJtCXFBehnLalwfConhg4x0m+0E/yzd4IKyFe9VG3Nmt/hdr8Q7MzRD
VsAM0ZxBDGHZx/CkQMq1kaa4mP9UgA41ADOwDXHb7pZn5srdeqb+ZqH5yCYkY+B+XbZpSqUfuFuH
xMX/xlUdaa8e0BjdRse1MtV7GraYRuPvD2agmfSp/gY6tFJ92utkqQhgyxswOBtpNzhI+To6pfU1
vtxqwMWyLKupUMqYgJ3QbCbk73Sl2ILEcOvxwbAg9uDvV2MtGqPXY3ido9baTmrB+l9eqme24cm4
F7mDj76pB8YmcbNZhhduQtL6mz7GhBg7oMuhPnMUOVSU+arjcOUcX5Ycg0hF0zaskvdLdnIxxCJD
ip5wKQt36lO3URzRFn9I2LNt1njQq7HnJOPDlhSnFFiAT+zsmgQC/qBtbGMIxMVGOSaPzS64nbPw
me+6loKeneEPo17c8+jwa105EDnSfnaTjOobMIT4rbW+XZ7eM/nEyewuDh0E73pBVYkzkiYZlKgL
wTWR6b0cZV4PJ/tEpwap0OSwZFnmPbeYR2Q/GyqpccqOnMvGzZ5VuVkvG39+NRJHVmg08M4mzVzm
tLFehpFoQqtFwmynC5v6r/Zo7tS3Hjdjt3T8PebR3ywnPBjHYYeWHmbhE56ZNu9Ht11ZuJ/OvPm3
gIRWSa7JdsXFmGPMNbJkVj8IDUT3rADbCYgxOnpgwV6AkXh5hj99x0W0xXoZB8uIq4liaC2Selbe
Q6pUj2FTP/1nYZbLBVpUUMkNvKsOfzAAbKDihRBP5/D3PwmkUf9n45O6LU4YNCqHoSqH1C3luyZ7
beRDEfy8HOLzHT/PGcI9lCBlmm/LNLeToAV3k49xz1Z2VMe4A3e6nfZ0UPbCQ/GIlc527dE1f/Tl
RvgYcnF+x6KcSGOKExuMzldjHCkBr72wPp0ci1EtZi4S/QwYXpiigw4jtNH5OL9lIE0NqtGXJ3Al
kr54/hT0baxOY/7a7HfGKvDM16iCcIrl4OVA7/v2wrQts+vemEbfLJi2ejN/oxYlN8yCt/XbdAg3
gSvfK7v4PtvMvWxYmXfYPLvxlh1+323o9Dnh1ni+/IvOHWgfvqMun14M7DYdcANDV3fVXBHZtFuc
qvdrCcbKclmWr7vIHMoUZTY3aqSbYkTmvhq3l0dy7uCgSynOqRnZ4LIXleFAGFnAS/C9nNAyL130
/f5KO1gwl+PMK3v5CbnIIXPSxZH0pVgUUs/mWJeI2WdYopYY7xU4NGtfFO9LUP/laysCC+f2No8E
Cgww88GBLG8CtF/KOKMP48J8wwpToXRWO+/SUU5+SNh/3Nrh3dqtfebMJyr1FBQdUJxZPk/0JuvV
Ajihm6UUmOPavENE+ChoZuAit35ArvZweVbPfD3yactA6sxE9WY5q2EtC+VgIHYTo01varcVGNC2
WTn0P7eZKZt/jLJY7QEysAkVgYTV3l2rqDlvsRPZDHvVbUi/QPkBVby/PLAzZ8tJSOV0gwVKW+t6
N1YunjBuEmD00ONoLkBkzVYW5uecejG6xUUNaxeEoNFj7tXa07Y5xEcafPb4lU7dvEhWU7szO+Fk
aIur2ih0HIJ0NGmMOPih4W+VFZiF9d4b4tAQMK98b+WwWpvL+e8fstjehNhStazKZohuPOmubAO3
xB+mbVdkxM6uRp3/mEBZAD7M2+NDIF9LZN+XUIYpiudJS2wzeEyML5cXxvnP9SHI4gr1Bw11Crpf
rvEU3mrbcue5uNgclSN2aSTia0+utTEtrtMUgC6Wh0yeJN7K3bcJsxqrWlmCn0Fb8xL895iWIkEx
6GdAwASRH8TKzm+rrXxUtuqmOEDhsqUv1V64yfBCup41oNCK/hFs1o6u8ycmMDbErZCAoyq8+Hj6
oGh9Mq8St9+YMYgxNvgzHgsQduEYbzDRcgF1AV2//EHPnpkf4i5WZ2YOEyx5Fk1b3GZVjDNWvhXM
+7SscFrUVoKd/Zofgi1WaDTJWNHUDHLuBSbJtwhf0zgQVqKcX6MfwizWKIxXJc4UwvwNqQyccgc1
j1PF2nW7cb9WXjm7wT+EW6xRUW7hq01lxvf5qUHUqigE6PiO5WtvmjNpDwx9BBREke4FYlOna0TR
qjGDA1OhxThDC5v9LCL3j9IewtAcoJGqypRuT8PogZ6Ah80JU4nQP2BMS9qftgfmTjANTGA8QNc5
q05DiLkGAmeuYMBKcEq84UsMHv98YfN4kUyq6GAcltAiuj5+WmFj5sKc2ojSHscGSO8oKQxvIxqO
l4OdyRSRbvx3sMWKK4YBnYeaYEKQ7g2t/Dpoa4iDz0KGzNnHGItlFo1Sr7cqb8zsq3xUHXqyv1Us
jLk1nWmTbdInfztBRvccv1kZ3blt+yHysn6otPA+2yBL3QlNoqTpnVq4m5R+JcrZOeTwo0ZBZZS+
x+ma0EfQOQNewkht38RdimXW6F7+Suc2KmCX/xdhcdYhaG7FoYS2GAhd/J8yKI5IpkX0MXGXuxzq
/GBUiq0I65EJz3//cBdDjkeixkT7scY01vfupGQlQzv7TejK/ivAYra0URkBAXA7VMgPKankVs0P
02v2/9kwFjOGV0+WG7OEZZU9GwUKQom6MlHnx2Hw9OG7m+oyha4FNdV8PU9nKZxHtuo4U+r3Qtus
bdHPdel5/7Cu/hVJPv0k4MUMfbDe5Tj1o7afW4WYwoDSWGvJrA1pcUz3YzAIftpTbvMRpOizI2Ya
h9CzVlbAuZv743gWSwx/rg63Kipcxii/NWa/V3xhcMRJuQu97KCr9Sq4/eyilmmXy8iZKiCKT2dQ
xiKHxx4z2G150SFXEm3zl/j7rJMtOKqd3hiOCCRD/lqBDcBct3uZ33nB9z8HJsyfUgf8CHaUC0pf
/JDesyToTRxIyTUGpPi20Weod/WNfk/vfnTi+/EQHM2V9Prs6D8EXeyFzB8Qd2goviUISRzwCUhv
8V0a1rLRtTCLHEmLEV+rWq4SzbopAN0iMnF5T589BT+MY3FX9XXn1YrHOIK0PWKY4Ch5eWzy2FWK
dnM51OcK/vuHAo4FFBAtkiUmCwUfpRQmBjNntSq62MVBuma93HV7vBYkRwEBGGyEX8L9WkJ9fhr/
HXnxtXLcJISmYXeU+Kj5U9fYUVIdLg/vfAzaBDPWkKRskcUEmZ6MbVbULlzvo59Oh6HUVw7gzxDK
eQYteE+ajvcPFdnTPadOOjaSKntu5C2yhdb3fS6RYhd+D9F+17om6qnVzneF7fvY/r8w/f8CyWxR
K/2fhenv36r/879P9Oj//if+pUev/5eoo9xpaeQpMxSQz/4vRXrzv2h4ckLywWZCwFyY/G9Fevm/
ECyiJcLLDm8BupZ8yH8J0lvo2JMkgF+gp84/pP2JHv3p7QP0wTJ4QpJckxvoSKjOi/ZD5iElE8+E
HKWSSrSeEZ3EITrhJeL5xtcPk3L/d/Hwo/D96f3zHkiXeYjQ6J1ROMt8TR5xKfMwsrIL0+ydJM0e
kny6o55TbesmvipCaaWNPR9M/65hvgc0aPuz3WayqLykHaVZKfpdj+TdlKcoBevGr6Qdrk3Rf/Lr
AsEOjhkp8N3LozwT1MQmgEYSTW0e5otzpLK6tiAZye3crFUfP0DVc/GbQgAvMFKsi8d2i25Qflch
H7m7HPr0S7JGTEU3NBF/AigfnJ6LL5mPCbe7kCFZOuVfxTq0jelbbYjf/jjKTGAh9bLQgv4ERDPb
qpzq2T5QLH71g+/EyXdF0FfunM9DUWn0ACgF7QAeXJln+cOitMZQU5GDye2uMQ5GdIMhqw3+7u8z
68RL4+OKPB8FFX26nLPq9CLDi3Co7XwRGa2+6rcj3r2++qgXxkqU+Yv/exnOn2UeC4QIUg8JgNZi
LFJR65rS66BfcEpJ69u26u+M/g7L+8sfZnG7/B1HMwGCzehL1Vyc/JEXDGmBgRfWvdaVNhr7qMdz
83KMZank7yB8da4wtpY0n0ofPwzVPL+uKr6+NGjX6izXqSqOqtY3uaqg2GQ08QYL0fiX6Wn+dVDX
ht17wfPky6ONqXPnXP45nz+gBmZ/ZtrSdGSXLy5UlCFCvYzlHBU+hGyrbCYeYaI8+KR6lyN9nlwi
6VQZ4P/MWJXFRxQqT44SgJA2SNvx2hdiuKBBGa2cWOeiSLJIuYZeNLIZi8MjDJJB9oKogIOtUMTT
gq/BkL3++UjQxKeQArJeJic+/YJCrPnWaGooDPYZyvgiUsf14+UQp2fgvOKZqBmLy1B0ZmuxSEq8
xfpU4qRXfL84VNYQ7Y1mkNwCZcO3kTehE1dR56H7gB/y5dDnZnCGHnNx0vBTlt/JigNvkAa6SCmq
fZvOEoZ9Utfi8+UoS/zgPEJkCMBz4uICWHXJGOmiGnvEea/NUFLw1khgZDdjf4Omy/yy4VVzHSC7
EDtS61b4BIbb/sdaxvr5XOE3gAUDXGrQS1oOdWr6BHEJi9MrnkTLFa12kiDuVwGyo7DVetvEus1c
md8znxYsH7fpO8qfFuTp6oEc2/hFysEcCNLPJkBmWBVfsbvCM1z6YnH+2ANMrsuzzSP10xFKaoI6
s8bJRrNimTr0A77EEfrFNjbZIW6/6m4UUB/DXhI7jGFjGk6efsmKr6lSbvrml1dQTe2wnqWyNfvx
Wsh+W/DJRieJ75IOuF4lw0VzO/OYJL1dc1UqwnMVzvuucUMsdP3viBSiECc6yEJu4+SxxQoyF7fV
0LliFm/w3s6NDY6sWoEIDpbUiN0m3awx44SthNMfIoR75KmcFB0aadh6aehUtXZt1uHGt64F2PrW
W2dqbhZUTq8PaEKSsfvBhqw9no4mFs6B5NlVWm4KHXnlAYszz0yu+zYqjykiuLjq2r7w3bQOCTJj
EM42SD77uWlX3rBHDmWPW+YXLX/pUTbHQXp0TWW2S3ak8jpuDiOW2a1qIwfkTjJizpGMjkdjK8mD
Oj57JjKNLwEQQwRMR+1VavuNn76onU4NbF+nD/3wnIjbKMAEXn5s28JRjGMfA6MuFbuc7nTxzsP7
ypCw5P5LxbqxHV4qgeOyQiLW32Sq7CKL5AaWvzW9n1MdoQ/zV2WiTX0bi/upwne1LYDEYfGg7abi
pzbgCtq8xe0jksRW79lpXNqdFjiNiDFq9gXhyCN+qqhgxnflLL9E/2OKbzokgNt0izK03DqdymGA
v8KgoQPv9tY3JKVsPu1hyASk8gVHQJc5kveYkKJys1OTbQxRwYyuS8MBVB94KKPWt0Oy63uM/Kqb
vkRJLrYVXsG5/6Lx8SnZTXe9+NSXV2hbidaPPL9BLlJGwjTs2mMQ507TXcnFg9/s2w5qc/44qKaj
d/det/NRXfNp8zXCvdrK2xxpalX4JoP1tF5lFLPF+Cns3wZ9I3jfxAS5UVRTf/vTS95cy5jXlzYm
s31z1ONHP8Kk/kGO0TlFLjwc7Jr+TF1+H4LcqaIfVZXZJSCTKcRvUzh0Q2lnxiGt9hNamYZ1hYad
GyYAUbpbrGCNJHYCrXFNTI2zBGgK+r5F811rb+MeJ+Bgj9WzPYzfJut33j0hLJTA8ojxnx2ijeTd
mcl3DQ/OIguPpl44+Lm9IACwEUCNI4UIenwWuEz2yFEnjW576BSxvLeFfuysh6BkCjpvK0B310fV
mYLJhpS+D8V0gzbXZhZbT8rObfT7GK+sLjVvhiLiTyXiw2i1oeVV6RvLu5NR48D0Ew9uWfghe8N9
2XYbqdpnML7Q9NWj/34I/49J5bmzSodpBcxaI09Y8q1UfUTU2E9I+DWxj9xQ9qgZB11wwEfSUG49
cF/Sa9lb2svlU/JMLgRfzkDDAfjE/Ow5PZmLZjTNUedL5SO2wUHPnWEHZlS8du8ypv8gGO4e8+X+
nhEtgqlVjY44SURr6E3Lzg98uiWSjsMCWc0f+l3Nt63OywYdF9quoJTmoX94DQix2Sld4gPTDW8Q
6h8Bk14ezudvhhDOjIufc3RTUhcJizXKFeazqEEVNaD7KWxMG2eTbWlgRiiH21Bs1qxuljIujEnn
IgMgy4hUmiWLMWlyMor5/IxSB+9XFg0/PX7iBrmSR0sQnvCCuR7N9Eahy2sngfQy5dmtqld/Rurg
R0Cu5GmCsIQ6s+oXlWexqos45VGO0B0ydD8k+PpatYLt+bwuiQErFb4FjRpSldOPN7RJbza9ghnD
bAUz9lvStsMgdiuf8F0x6fSZRTrLaEgQdJ4C6iIz8WtN1Rte1nYN0d3pZEXmfIauuAfvKR+wOQz3
fT10CGUrzS5OgzCwJ1kOAqdto7Us9HNqRnxeYkwtqRKl79Mx5wIiwHFBPtEZ8SEz25fA9Ce7SPQD
0L5fl9fumfnV0BySJZDzNC7NxTcMhbBCh5/cCMfkcJskeBVNCES7kSGsyUbNU7iYYnrJFpLFrJi5
0HA6LD/E+5SNzuMvaPVDiHKg3Ytc5ZcHdDaKxFg4xCijLHNrCVm9uIjnRclhhwpsj54/l9vlIGdm
jR2saBhZ6bz/lztemaweAAdHCjwxO8R6TKgHRG1/XI5yZihAYnmhougAtWH5bVRNiEpjjoJo2ibR
DG7QtaPrTAiGwHRhsoSDpbX4JqMfqY1ccOwjoopmZmze6OKa5eGnGBaLmNmazZwo4CmLTnIfyYPW
DywxLoN94ZuNrWXtsLKBzwXRJBq5CvuXF/DiDKY9mUr4puNh0fUwLLOwdyUUMP+sKQOgkQoMUi/i
jIqYyZynSzg0wnqyRt4v0/QrUB6qPz7t+PdDY+HVS98QebXFKGqpmOTcoPzXlUl8XZpNZPeobmxj
wJTby4vr0xLm10NGJcZ7i/K9f/nhVrRwWxmkhrrSpHGaIrl9l7bpt0wQ3D+PM8MVGRTRqFSfTlmt
qF0n5jkqi15Pdqx5wr5Is9BNMdRYCXVmDaDrgiwdUwfzaLnQtFxrZC1RKZX5t+JU2C0Aoz8fDHA+
ciT5nQe3+P5VG42dNXGEWaXkdtEXZXyjmLAS5FM6ARWeyi/NRsMEXWcuikVVULfIPbMnTYMnZStv
giB3ZQiTff9VEMqVaJ/XgURvE871jJ2dr4HT71OpPdJ5eM0QLbwDzLuvdKTAwbBenrnPGcsMOLbo
Rcy3DAXmxdSVVYgpRsLUDWU30nav2x+qFiiuWPFcSynQ5pqa2bolkVV74/AcGRWmLh3eDEgVl8+X
f82nG9aa6d6gjUDqsGCU+e8fFv8AVc6I0PK1NV/6Mla6ZyOGrWEFoDzHkbUy9GXRA5ELautUMih8
8FWVxaYWel9GPJsbyaios4wWpmTKeNvp+mFIa0QV0MMyipWDii/3/u/9cN9ySs1qaaBZ+RN5/fKS
kjrJqmuFkkCOEjCOCV2rZK5edIKwKYKkEHaYWxtTytOpb+obddZNfVWTUcOLskQHXdTsPquLcK/h
aT86eCAgW87TGHafGwZil762ujdAjsJQRx6Q+ddwPbDVEP6Wb2vF0LZcv3SgpD3tEiE5hIJmyY8S
arr1MwKWdXYlZno3/YiCVkWz1BwpKyKUizixgUi+7kevQSUM4LjHwmv3CsVh/2tSS/GwmyylKG5I
u4vhBh8Pq9lJoGqjdwMRPbzWYt/o7tWiKuLXNNIyLGbD2quObYxnwlHtROHW76zQP7bGgEozji1K
6+CqFCm20mui5AiNKEVwUZBbtjz8ecZcr/eBp0XREXCAqNp5qEnoLCUllgmhrtAzAZSX5BtFqKeb
zreMx2ooWzXZTSpOVqoiWIcO0/tD3MiiLdWyFX0pLSTuTTQHrIGrKjTlNrSnrMDSK7DMxK085Mux
ZJEjN9YwpTlgYkQNRtA8xPKTCg1YuxTNEbf6GF1nux0l6ZiqeM8DX4BQmmR1nTgqqqvYBw2l0ye+
h+kmspk2XljDwQLW92S2AQrG0JXiW4gHxa5oeoyXqjHELiIJcUjBU8RPtNgNim5ylVATb2tTgD/a
EJcPGCChjFM9IuuIuuPPc10OkbFRBRFlO1PCbQGJ837bmrChzMRAtInBXpXAylyR96ut4XB0o8W5
eDOUAjtRygRX1IxgI/uescsz5f9ydF7LkSpLFP0iIvDmFdtOXmpJ54WQG7yHKuDr7+r7PjGSuqEq
c+fOvchDgisVTjNrhpUy4viwOdBXJhWRiZ7+0I25cVyWlr371N2P4Mfb6+Y5WwKioogB0dVBtkMF
0ahqH2zHHU+bxweyTV3z2GtCuaO5hlTAdxmVeTnFg5WK8CYAn1e1WoOmQ0tyJMilutqXO1Kl28AA
CBISdwuhVVr6v2kz9Zeizb2XyipRFEbih+vSU4MJbkngLiu1Z2YoMd1jf+ab7glPWbzvyRvm0ySw
OlazQ/y+auKKELMWWMainhutI7iqU1df5ILA9coyQq9c9oeelyNcW2K8q6HY3zx9sE7WvGsv61bO
ZGYT69c4vebrRaX5xNenfJJeGeRD79ybiolSpezKSTazepexRxBajWJSuLbTuVXRRJx8rh9qZV+S
cm/EofFK9THLau9S9uZ8qsvFJaxazBcrgzQywmg6KLkHpwN0z3FyLXngoYL9QoWfVLvnnRfVyy9O
On6bhEAkwl3BKxgGn9w45ZGrCD0okWXuICKifZem/cz/cTMvKYIe1lSf98acDhioZKxzMnzrgGfI
oXfLuKhkeWFYZROhzYuZDaVyL5rBO9UOlz70r+nedfPhq+l35Wzp8wZmUJvu93XZMUy6+oG9tiG6
rUrfKVs7BQX22ZNerU2UGup03Ptqiqd+c8GSaNrntjSIf9Jwkn3denQnb4L90vWwwkaxJ1tVbZ9A
jIqgy0a2gMnRDpWVvBypWjImKNm69qupPWEwsv5SZ8sSQuPFqe4luwa1qKJsQ1dlTI/zm8TZS0kq
WSI4k471JN2jNmcKJ52dIzyWRtJpWn8WtTIkVlY59PgEQpSblIciK8XzNJrbIWc30B/HEtakhHDH
XLw5WzS1FxLD16gYlv7XszhAfJVdozImddp71Jqq/vJyO899PmDtJPZhPENzZNC+OJX7VVsCsk2f
aY98RePZKqDu9I2rfE96ax1LEG9F0HYmsRiV3QMlmMdPxypZ5zDHWzJ3bmchDUD9QypH/s/ahapx
/xvefTc5ZdjxTr1rt9vDn+i145wsj/fOcpmWrX1PvveWG9k7iJhGZeNYABNvGjM7K86oOr4xDKNz
QCZxXgsjt1i66ew24h7ngNEyd3xt16K8BxP2LmDHxKTHu4mi64jO2mD+rGMxrz4PhnNBZmk/1lRk
bxqolutYNPbTvu5TvKHCXJVtqT7zjhAZv2VxP4MuUIuY7HZYKJm1XGU5Y8jmmt+n0DBLFGFjcM0r
Y5TibW6bz7zItpc8T9UzeWwJnKrz3ukTM2nD9U11ZKPYWcFImhcYYoHDlTl09otZqhAksyqmSDxW
svuqTDV2PSULt9S+a1ozNJYWYqJ7v9f7FNh9dXCVKQE5dnCYsgam27gk4I2vMPMueEFORI2y+28U
A+Hd9XuhG3HmuA+4iuowH1zFL/o12gH9GdluR3Ks22M+tGeRaQ3q9OoGheeebQXWAsNuN8qhEmll
9yysQbS+2rZq2I/T17IeW/YeQ21nkpTxyGXyslriaFvde73l77uygyICrhdUbXEx3UUEC7MKyr14
GNyD2sdmpp+F/qOl7UxhWFgH1+SHK6N1Rgyr/A14auflwbiYL6vcQnVu7rNUHmQ5vlIlRMbm8Ntk
Jy2tn8S6Pe2G9bLWWaIgpjjoKEoxxIvB8n69XTYJP8AqjD+xWPfE5D0saQmGEBBTaZNdMDohsbAN
ZcziBfrm1fwWGVWppXQMcPJIBbDC03oTwASXV1nyC5VYv1bdBtviulgphi+MA02gwJgMl2rCktYT
8TesUa8rfysAPt9bCUm3F1RtiHB+0U5/Vm6RmNDqn7q2/BNT+uzNGdo3Fvzdethzji0qLx/WFc5o
m+D2glUirRUfI3ZjX7WUd7udeW365rMQiPta/dIT++PbneX3oAtUoKN988crEk8ld3eRmadqVYK0
4RAyFOcdKwg3eDV8T90cScqTOk3ZkxVFE0mlu1ipWzLAh360elEvquOaD0md5d+NboZtqfgSfos/
bxMnmkqaP2NFo48cg9lCwZxkA4njTz1zj9nLDgBMQpjdGX6Q8iKzHk5euV14JKMd0Fa7QIUcK75k
qd/Ni3k03epJzxksFBXOnHSozuAGuVVNhqXGYG6+sblfIBWixRTnygMmOBBKHqp5U532tl38vOhj
oCEvjfCegeYJP8ut9OiNnfLoeaXnp8542Ub+SFKgOknRaOh+qg7kHvzKkadQLQKt0v5TnAI6Kuc+
OcH986rPP1D3mKRlEo5Fpny4q/3S9FL188mKyMKIc1M2ftXKB6+0E28xAHPtfFtSOL/mIN66Pb02
2vSzpVRvgzud9OVnNMSGJJMne3YxU4hjumCyw20F7VOX/9r2U9n3nRP7pd3cu9arkma3zoZ8aRx1
DbUuC0SBHs1xcuEfPHMqF2hV/aOtyv+W2r3uPel13F9GYhUrz2GhfpSV9iBW586dxL8ciizEbbc7
EST/2ruAV9Su8nugawFNPZtrbtDk+bmRakTjf+DAhvnbBcMoiZ2cjThv9Su0EjgFG7fXvdW1Qeud
zX3+aG3p67PzmxYKKLDxNK7ryS7N97UHJwj6IwUeYDkKCIvibsrURyeT/qI0dwViHuRaf3c5ZqGm
yLVmg2gM1f3N1qRP55mYOLkV5bzlDwN/nUbHVVI0MvcL+pRZUe5bJikOukP41RSX3cCvfl9n7QMG
d78Tj0PTBt0OFQfG0j6wdMyKs8zFUaKLZBNEZsAaArzDsg+Rrtav3lSfJIec1oIrrRXEdjVoAU/7
K9wnY5wZAJtPqgIP7VabT48y+xIsfZXdm041MgKQ81rreRDVadZ1nwfmqq7lade9uFQaKApEeBpr
dlmKL6t8zsBWzgOIZn09E91ApGdzqFM36az2ztzNO9f8nVkf1hia1t7mb4biewx6R+dacnfaVvHS
Zr/u7kFFlK9bbX8N44+bkTXfDjlh1ISEismJ55FWwZ2jqtW/e0sNyxXBe+Rgyb5bOpbFg8vRvEHn
eRUjbJCs9jvFOVSFFZQVUZtemlQGzzsbbIWqfyGl+Et95lfLHdgd9XZSnSuF9l3b9vGWf1GNx9hQ
49UgR7ET4T71jBibaGpB+phDlDrecU0nH76T71Iz6oDo+qE5KZQc9TgeB6issKZ8zuU3CqOjQJgZ
ZRot7qXc6lir7GBmi1Sq/PAFNW2bgo34IqBQEP2+W+oNK/tX6IJpfxprUoaumyVwe066+mm1wF92
g7CqMS4M2ETTp2JcUNT4+omTEK+bSV4xh2E/JroHvou+qHG0G0k2rEZOZyZNkzYlA6G84K3ul+7a
YDyo2cIO8/xCubYEk/E7bFx7XCt9M/BRCoZiybS96Mulli+tPKhN63vysC9HeJmhpRBu3aY+Hf1t
JpKUlJBd9sMkAfwQEdD7s8KDrSpVMGppVNmnvezuXbON7bqF/ZT9h4HxssH9NZnI0g/BF9PaYNGX
MFuyw1xrrxZssZgVxZwZwM2BIn5Nzs2sLkNVQOQzEKK0eYubgQn2qu+FP04ltX/KPF/2J5E5FwZH
j6gImd9XY6B3v+O4PUzrnWIBLRfpWSerYy2UQO+zAPwHI+Axmbh7TfnipECpvl0mq1KHYYhcLM2o
MrVI2nSIBuC6hiJTDslGM8yZHnidnewpzdpkBWm/HOveAhDpRhrjYH3vL6r2NZsSJgw7AooWugz6
OyQPGNuH/QaNnJgre0cpn4r5arHEWlQP8BKR9UNq4BhYI+P95jKx/2xCS6JCHYio1mbnqSIlzegf
5uEk1Fedd1FjYZJOb/RA4XyVGUucbHJ2RwXtrpBPkvIie1ynt5ZkWlOPTGf3LeXHRDHpKahcLcoQ
+4RrRtos/dq64r7zm9W3mHDrEhBL4/kqLWaB72KFI6ubTZJ3czxlJqEm/K3ARpqNbJxmZv+nCHWD
hVzxYwocHhVkr5o3JN8S+stncHW+6VxUJ2bgU7G5ruXf+/jOorKf7VqYZnwjOZ9uuQV9pQO4TPbh
SPfmG9ALpRFLHftB859an+vh0m9fkLQC2Lb+TuLxf2nvcJsA+QKFAE5bgxTLJbjv9xpcPAuKmR05
63+Fel7Sh1VE9hoXNkpqFzgykWNiprRzd8DvfGwndBBxiePABlho9XHjvk71qz2GAj3AnpS4Kjjy
J/rRPxNhyoA0h/1AKMSSefeALCOQ7idUQF8xh6NetSeyAcO5IcJoIozGXqPRa86jQX+7Ad/WgdAa
9u8oK5w+GcBC7nrqTxAWFHHHTscM8AtSOdire90zktVVAvTzxN0pPix8Er3gtmoupnfknQNy7N/s
JbNpAxa2373cPKt6Bad5Ok1FgSeh+utKJZi78W9RrDsASlii1mF+FNNu+qI3nm1vDzqjzEMh8hx4
3C6/zayuDt3uEsOyr/GSLae9LpEB8iawnPKxJW6mAfPpldldYWAqAiWdErvVaGVC2YeAE+MzjWvv
kG9PcyqPnfFq9m8ujwM8UqaZL3Wbnke1jAYb8rntRJSZpxxqgDrOjw6VZJ7bNGYUBZI2KC+Ojfrg
0pNpr7P1mIk7m79an9yDsuucQ/+tGwv8pnJXdZ9CuxsyxZ+cKgaO+z5tnO2sd2HrOFviRSmVCEdj
yHQH1opzArObO4R6TzTR1ofqbKEGd8wu/caR4VhEJgQW+4P8K6IQGDj/P7ez7T5n5X0yKwCgU+Qo
e5ANLh9LH2bDU6fe3jLui+ylz6+W+qHa5zG9F+AwLed+0xacRdHSP+l6WKIiatuJetV2pN+LRDN/
qno7WgNmITS/aX1tgDaYRnWchBfrFe9uW2AXFL41m2Ftvi57YnrPHdxtIy1p37qjni1nYf5oA9aq
7t6EheskW53defunBJhuVNxy3Yo8x+dFrCrqCvHjBIG3xZvjHmvtxe0+CMHD5BBJSMu2eyjTF5sH
0CqPuxZb7bdpJqYRutoHDWM6JR5j7L080W348ESB3R7E+mDOB0e+Fd69nT9s5hx6CyGkUMf2yEIF
AIVm5HlUlNE+P6f4XyyrhLB+yQeE4WgiwYgnVBoq0ekOohgvPheqI6rbXY3a6DGdHg6lbsVkjz97
3aIEHjS80Da4vNzM/ShmQYRuxfuzun5aoIfsaRutrfe2G+JJ7ehL0d9TZT4xtDkNsknm/qFrukhv
XgDan2p7f2xUO8w7FQAWpNsajXTt2RBEUK28/xpZfjtUwErmhDUgeHO729WPxThq8oz5L5hGSChj
bBGN002xMV4HJ8kABk8UnMqjNC/Z8Cqnh7X5UOqkraHH6PVPkfOgKnN3XvGBaroEck3dqLZhWhsJ
Cvl/m7SjYnHtuMKrRXzfqwP7zRPGYSi1C5Ckf65Gq2PJJwq7k6JmIayIkGs+qGnm2oYtJX3gZr2M
vTyJSbTEe/MXu4gK2+xXwJRIBQv4f46z+ktAc6gW9hFMCDfn9rsb6rNoxXV3cbVMOwFY0xgIQM8c
G98ZjNVMsnHYWFjBNLJlyxL34RIsKeeLA0BaQqwkB56ssfEvU/rHZYu0ns/nc518we5yAV41mBnG
mNl2rIdXo3hLe+qlLZy34cEAc9YWT7dmuevEId3KqFO2cFkPeyO/SoXiH4NuNpHS44hThciWzc27
q27Q22KvAtkoOF4lnuvlcSobKvIB26BX1Fix1PsS6vWUtjQf4qNRFK4gC1D2GObmn+jPO1W209zt
u57YjeG724X49UgA9xiOaANhtQPrtPkrSkbz6nRfr7cXOUr1k1eclBRIYB9Um3GZavMge+QPlROF
wJ25rfx9LkCoyRexc5MAKhnmBfVXfdRsyMfz8KZozsUCq6bBNZHO25C91WUdSFpc/UaSNkiS8pSr
uahJSUGW6vmhmiOrlY+ekf+aivfY9SslYoPbE8GQ9QfDWSA88rDqw4WKKaEsHfcU0k3/rHGV6wpO
UytPjIJU5NE8AoWKJmqZrvq3LHacTx8qFcTKwNian738ZCofrcqGlvIj1/aoq794XYJaloGCIjH2
uBqvHWxBYDsgKtOTLOwLaD741FqyyfG4ziISLmemfGeAHhC8GLdqHcICj1r+WQ7ilSoiHkzPhxF+
aFYZNGN+rLPxtTRTEsjuln6P9eyXEyhwtFfa4agvdroqm8q75p5RLhjkj009xot4mrkk1Jd2dI68
+6r7o1IMNvPHNF5Z2PeL+liNb3lFBiD1Z5mql2bIXtNq4jDogtpC4LQkfs3lX0v9X8mcEmo4d1S3
6h7UGwUf28MLLj76chtG4kq2bd2TbWtAgZCf+nSf66cx07iKlGM3YwCEDsN0xezft/y6ZzYVDb0I
05XbvEDBRSqNaOBr1gbxsMwPlrH7zuqeJjqYwnDCwjDopp+75fb11FFq8ToKPim5pg+GAhzJeybd
ZivfZh1G8kaj/qR0tKeakmRijMb+P0eZ75pc8+2G1t0y3lM+6rYFpf3tOk/kutBaV1HbAVdkAF1f
p+Fz0slItHmy1w9ZnqZRA6PnhvYIbMTY/jYsoFVrcYI4h9ud65Yj4qy49VxULex0cZ2N4SatwJLS
t8j6b1QT8ykiOgJ2sU1xj8oPk+K8amZYGXmYV/u9WuiHhq4rVbq4dOaIVp9WquHc6s5A05MegmC6
UJoZ6p3Y7VduiaAGxIiB+oLufJSLAe40DRaotSn+5dZ1MU1DdgK+RB8a9SVTKeupYNlcG2ZyjtZD
wwsO0f5txwa7K3pUreaJRSmmA9lldIFeppRdTPu6qnkpmilguB6suwiHDVshwkkFsDJv6igf8Xp6
blTUIjJ523p9ilq7inB3MST9VSl3uVyaaJ3So15k4Tx5n+U+UUJrB68SR9F4T6r3n1UWDwQAP2QS
L4NlH29m7x3S+e2G38yG3lONmg7IESwSoyyOlZrGS7qRquy+lA5nY6FAOi4TB4dwrbtHW61RfWFa
PYBYTEytfUXgYFe1KD+E7SBxOHQLwwaskB2WDDpVbfNwV39DJ/12kWEniDDQ17cdpnYFhk+pBoyr
nt9APzMX40spf1u7vY7W/lrXf2ObxZsj31dJnL1m3Gckgg9GeVbz7EHK6ThboDJW7z2HtjX2BO7T
9uzlI3TcKKuep4bj0lJ/pb38zZoI8SlGyyaTdutPmsk32A8BFU2QgafutKT2buqoS9E27QyHnD0Z
KxDudRbCLTkLAfR2Hq7jNiI7XSpzDqZaQxLpAiAq7Mcoijjs8NxcdKW8Q0JHSSPKPUHwfwJEG+0U
rpMq0H2NZ3NSkmodjp790ZMFZ/9XeN6JA7v0LcjSW5rFtmQreBUnzpPvquB35OBV++6PNeuHKjdR
JmuGtTzpaA8lv4dLiVKL9rC45l2l2WG13mnSg1yZ6dTI679O+c53FFy3dD73DrS9/kUFVNsMJJrf
Td6QM0qYr/XbzGGSa+VnnaKYaGsTq5lzIzbTB0CO199HXrm1+putaqanp5EsbnFp9mnZrwWGvFvD
s63E4GkVRnJQ2t1fxkcvFzXA7nKos2nyUbdjZi7J2MyHzrbCDlJo2fyI+nUlwUXYQ6wz4JKpfZx6
tqJNO2YN5m7dWCXsyB0d7EdjnEKlG0/7NIUOcGJDZlG9zleh9EGrpvdy7yMNLZU76dJrQ+gQma/1
+aOOpOE2yh9S5tWq3krvtxjeSqW+d1KLcR6Qa01S606huT9sPUjVdu5ub3Boql+9wX1W6RrT3zEY
edv3Wj9byAftlMUOgWAAs/HRlofZKw/cIKHcZSwqcSkK/QRMLW7k07qURzN/Y7wVtNvAR1tQn7FH
lhUP8GDO+9I+6ONHoQ7+uqzXLp9jUdzEn+yiFHBsK+9lFPpTVg0HHWle0nSngs5og3+t/AidialL
9bAYJ6sgVLHO5xMzGFjZM16H6dkwKAVo+ke0F42yqXVjokWIBVgTY6r+1RR5I6cXNFAig/ciHtZT
tThhb6fh0GWRlaWcG6t5t9TWSdWqyOuBtLtkq9AmLZY/umi2lhWszRPK13OVzud8cV5tvPEl/yF7
KcWAVWFiEoyuBxOH8aL6qaauP9i4KdYh2pSZLr+c/KXiV5jJf+Vc0J5Uqz6py/JX7dP3UorvytsM
qunGSfK1R2NomExVBggYsWw/bIQ8eetyL/ktg2av8fO7dCJ6hXzEPGdFG0xzxnJWPDqY/Iu2ql9l
s00P7balD/nQvbnmEDcau3VOy1XfDC+12Ah20ef/FraQuDfZbDHbdIvWynjd8uxX6derkld/dtdf
kSH+SPen9sb+Fw9ySHFdFEi3A/Vr2WvfcllpC26WXdzrS2QMUsQKs7hDO1dWIhm3baMVpnzV/bhY
cW6NPZ37DfprGRevWB9s5v/hYCq/hlE92mNdJDuLQVATnhu6lxDHhh1IGNu+62Vr0lbmG1RdySiq
uz3Wg5Z4m4OsuiBKGi0BfcA0umeZGcgfHtH9twNimPR/fbVk1PsGE3wh751p1dEtHQb9qq0EAlp1
IMf+BeQuMrvKm7U4HIiWwaNiWZ9ZsSVulT4ubR1ne3eaiUvKdU7fVn9lsMcEyEj01bm36aFDTVsf
M7sKU2E+jwbyfctVaMrhX6c6L1mmXzO3+OjVNPcnr+e0VRV4Xu3rRNHrN0b9D0bPmyHlO2sqOE2q
7Y0g77dmNO2wXWyu8u7TKUoGGtpy7pbiDQcPHnMnaRWoVZWTPVgufhYWFk5LusZ4GY4tbgNEcefZ
XqqLUOCYbPJij+LEwOaAl7ZLymZ/J9EawXvOX3VCAEVGFymUmC28Z1kjPaZ9zNbAlyuHR0UjjLD0
HtUV0WhtqQ6GU1qtnxqFfd9NKDD6uUSSNHKH8Mnx6jr5XT2PT5ZGQ9prOu5t1bno687QUY9XFmhG
SYwwRxx6yBuLyZfCrJ87k82ShTSnYbQP0mTagEbBfYajItSW5sXNsidRwDcddffcTfU38MuTPrUB
Lo/nLt//MQuBX7YdOrmEs9G/C9ZhstxAS6usF0IjXraVUZm9E+Kt2NVFSTlxDKwdwJOov9J3mBNP
hsb6lVs9gGm4ijq/k3P21cgRrxKgdOTPdFWOGQC02FiWONWRAkBSy1aNpn0JjEK77/XsH7orkT3r
EffScXI2uuCdXKKVpdtppqRoKHTyRUEKVO8rZrterx/SrH8CzedrPferViTjSBI3k9pGWU8KSHt8
iiH7ppCiAYG3N2Kt7l4UZfksavttcBk+6CzzIBWiotHEsVD5sOkVrVeRTELE+dadO8VmTNse0007
5cg+bl8f1roJXG/FYLCj7y1q9bzrYHcZm2fiZyiMayUPswB3zYIW2SUc2rlfuzVAkzsxUvvupAKW
4k4Rc9I0rMy7+oNtza9t3h1X0TyVFUoKVWbGcteiKY/18FewdiSslIPWrZK1s6I8bZ/crX7gZDro
xYIdyPgYGcconXNdKuUwdi/O/mF1V09dXlVVifs+/c9VsriznGepP2JOvc+M7c4S5Vky6ZOljW2g
jvDZBfvmPA1GFeV2c2yV/tTZfYYDgaGx259uGcH1TNymB73C9TVjB9E2hbPjBil1YOsVia6wUlYY
p3JYuN/J5KzsS1Z86zeZThlOhs2AW3udvO92qxN9xhnC8CHPjcjZKLB4GeGCB6XHzMzj90EsMZ/3
jD6JyV7nvauMh0c0A0RonueN1RXzROD8Xesavtnq4cQtuth9omJeUNO/ZvHitTbjwVCSZqESGdqo
dewAZz6ikcC+gw5eodzdeqOOW5J6ny/tn9F3X7WC6WvZ3NPo3KnOF5PEwJsZQu/VAf8XytrGi93/
o3Y8jtqb3rSHgR862c9VmUc3d/TYLGy2fVXttSfCXNnMT2O9bAtf7cCcARdn1VVxXjJ0lJTQA0Ik
zimulnhjhVPWr0VrUj0baAROqDN6maeJat3w086gD7wtfBaHHrKwX4/Lsz5zbWnKca3Xk7flUSXW
QFMaurYRI8Ec9jt+L+PiNp8uivoEtd3a8aFol6x+0vY6UWnrjE744FwKv5boJB01Wg0Jr+Nyp8pt
Jz3msfZHyQHO+tnW+t38Y4s3nBfxYr/cpKbFHX1LXeLM8i5eQwyrqgS7l59H6v7OBanacuAvP4N2
rqQVTjX/ev9xmPNkqvarL6xKljuSIdO1IWWyPONTs9kb1bJvrcqfNUtGbVFein24a/Y8slbu+jE9
tl4TudnIoPVfxkxI9k+2GH8UAPad9KgGSka5me8gTeEpPbusT/Z7hS/RO7q9kWDLD1fnxRz5Hri3
3cKJ1YmNViF9T2uOZonHjrfYqWqa9K8lf2/c9Vigr2gp9OQe8+Gtatm4IydkcEGJSnRfgy0SF8AF
m9gpy/WQvJ2QYv4/jrCQG/wyTNlFZUSNaS4zPjCpKfJdOCWjPoCwahavk3MdyvWrtZ2cGnY+bcZV
2+x/nI4nlQnDVKp3sinjmYmV3jxp8p+NXyWjlVnL89AGN2+DN915FZPv7UWl0upuX2vXHdotjQhS
iGrrNWVYLZ8HJQvW9q5BDLd5ueZ+g0epDJnPbv3bqrTXdIRnMA9x0dmqv3U4acUyIF5q7+1+W2n0
3nSHD2tR5GHVx39S0X/q+byVK6OpHDE1lymHBapaWQUOcKAb+xI9plYeHBcxK5UXWc8BWSaEEgPJ
4Lxu1Ol5n+rDvt8mPuu57flyDS2omYzPHieR0bDCe7sNF2S10XeaMQQECwZME29LWwarI/+Vphc1
9nBymYXwpM88gk3nXZcO9/3wyaN+rTDj9Xy1BUNuORQv9mRc03XjtUTdtnJWR9Mk436pizoRYvQ9
822qn1vgY5JdeH46CsO5zw7FfCnZvWapbvcOFV1OSZeAr2Mj1uOSs7E6qweky2k+clHLLlAfbOEP
3oc+vNn7RyNUHjSmUybr3X8WoxH3ZFuPTgeSQDtwfhV1MKOFziry9uO8/uxKNHjRqn9p211ux4KB
CiNbhr/bo8bN7pCCjyeSLnDBUUM5N0myKdZ45FQ0WhFY3832UaOeTH+qeyGkBR1Ae6yWiyGSNI14
l+r6WE4/phngbMSD7m/0hPb2pg8Msu2X3XpRtMXX6nNq/jc11JpJw7SusPNEZteVfB0N124XZFa0
qC+u8b2WOBzYdblXpDhMzn84HVQR6vXkN95yzPQdZ2f94bZvMxem0oqocB8sGkqrO+hrkmVno0kW
5YR47td21JU9zWBiCjUQ7vYwV69UXoGZ7yEPcOow4v5PGZ/s4l+3Pg1WMnRJYb9Z1f1t37Yh6Ttw
2PGdfhWiv6d3u0kc9Y6ysNl/3HoIVpa9oRjOIqmNi2wRLvtXC+tX84RDoFSWQJNX2QeUdq31WxT0
RBdroJ1QbunaVVK8DynOThKAbnah4Wylb6N1XJSodiEUxPrwSfeqkqGQDp2vTLFX7NHYXesucbpn
538cncdu69gWRL+IAHOYikFUTpZseULY1zZzzvz6XupB4z103yiRJ1Stqi0kLmBYYW6I9LY4weYq
h1ITBBzOxi2C+zL9GZI7nSvuVEZ9zDRnkm4F7COElWEc5gb/9yPTalscXbkEaz5l8qOb1kJz79Mv
xiKtgHCW8VBIuyr/ElvVqWc3xuGXo3dtoByGS0LBrvk+xessNg/5wKxV4TzkXikNKxisMzIqe40d
vIVE9xUns879xNDbwGfzxGZXYk5W60L/nNRxDRa46pjBi0qR8YM6tCEBQyfpNNtSmDwFkZ1epOkD
OKhrN310s5YVr1Y4H5rvYiS6steGdU/BSyB5SgbbddLLeyOv2S5LZmeXKT/Uy6NNLvgJb0+HZP9R
vRfpLdBYWf9xydnoWGfQJQH0neIHQs0DcB7eWtrwhJVB3sBSTojOSeXx56LF2cu46Gic20YvpNkg
KQ9Gg4AO7t3sxPxd5k+XRpe0/O1ThHRci7NGRXAFxhLlXiRvknHTtZQHnKUg3s6zW6trjJSBTTwa
nMD4AdWMDV8hwQ9ejwa9T0vmfw22nEH4TeNO4UtnxCRP0rzCXMcOpeYBlCpPXS2PViKfVbKT2D/+
9Wwy4VYp2HqPk3l/lbjSRXrHNxMgwLJ0dHhxKnrtU1fp3anxR4HAb3FgKo+C+kWoCmRteUyCG7yW
tRGxIT8MWNRit9bGPeWmzvAVLj8F4YHoD+sEGNoVY8ga1Ee6HD7G5Ty3fo7KO6m715MFLeCMr3Wv
ejBvhYWLcyH0uRw60QzcBjMSctYXJ1yHN63ZDfOnIryPkDSl+qssG1COJvYKwy3IWs+mY3IKY96f
1G8U6ApoQIbaKTwgqXmWwp1U3vKeegT9GM//kmLfyPt8CrgsHEQVI/nfjNpu8EJHt2z0ZNyZYRXp
J9N6hJknRI6OTDr+pbz/yrbob1a/FkRfl65av8/BoThoWcTYI6qlxm2XMpwdyC3lqERd8nyYjUc8
+pyVSt0rhlvc70d1W2hfWfs0Km8IT2ny1BQvDrhwu5pxm6FlZLfJv2aeTHXNfyqZkJoGlyDdWOYG
Yj+jyy5Vt0m0HwZeddWfwBWYnTuWh87CyA1sYJ3Z3JTg2GQh+McW5dkT4CXroXXlZIWaUyyPwozY
I/6J89Nod7N20Cxc0dM8/4zRdyfmNnsnXSEl47tkG/AsgsumZFTcDyJ9KuInerie2YpJ48TqpYCw
/mknk0nk5He49N+GeFf3PsVpasKtCBkDtWpobIPlb8nOSFrDsu9V0glYyv+SrkNKtZcnyY4XtMOJ
mVlviotkZYhuqf/TQ4xy0MBeYGrnI68+qghdGbdmyJdjUnp12616NEMWaCv8jORvutuK7Kj9vxvt
UnxS624pb4sKIOyiy6+EaLNExIPza7N8hJhSNL3t5ThymN0bcOWPyfLmw3fL1Sx00mwzJwc99M1s
nZcMpus/Zp7rKXhm5u8o/sTKV17Dc3BTa8P3rnoar7Hcl+kVW0HZhfuhgmkjt+sppIfsXZApgJBF
W2CG9fIPdt2ZlHsKxtmo/C0GPpDyLfrBIG+vyTRuzaHw2JLbYZ+X3xyBHE37WtIPFWMVuCj/l5A4
RiphKtmpCVmdS3+pc5JOlhNop0mXPZxE6Hv24Kh7i1LDkyYwzfkZDk9tGNxpmZwuC5wEVr5ViLKm
y2oR9t3yVrBwzSh9HAAzyUssJlTxlY/jwwoNDhCyG5qKW8JyGlyimgI+UXPT6ljBgsOtZKU/XjNd
PmFblMKp0DxBgr5S7jrVVIZ6wLFQPgzxX8JzmOmIqMqniVfCyJOOeLjbYVPB4xsgQJTFycmbnvtt
SibmbCV3NTjp3Q0yI0u2inTXW8fsdjVIC5bQwHLJooi/LwIuuSErb5zuk0bzCot2FoJRyp/EV4Og
Y4fZTm5vkN4ACrcus+Ft18tkrepxUled9seHFyUnFWRf1Zll3nGievL7xvtewHOsbCs4BvklsO6i
cum0jSQdR/3cVO85wxJNL8w/1OXQ5Lx/brw4kxiyHK5S5nksXNCrci+EOJWKLYfY7WzOPtUzlXEv
qqfEoTO0RMcs9JWA3oh7LFdOD4bSsQdLgGiRsR26o1k1m6T7E4avKbxUiOevqXGkL9q4t1XVHTQX
2icdTb7UVZrgEovOTKdN7IrWPtbemQ28YpqCF3NUWloJLu2vxQwezAuPE/xVzbfYbARO0uQajumM
mCsDXdukHlfFcBeFC/6PVZxekGuArP0yHC4FAYRY1A6Kqfp5txZJ30gcwX5F4L3sszcY4Y4vt3xL
45eF8x1pylrvdmb1riOhiG4ROrXpClzAOBCSqkWCUTOA9Sl1RmFdSG9z+bQQ6OMG8Do5BYx677Gg
pYCfwHIesWtQExPfuuhDfs9aT9VxKlJ2YHk9Dk6SvlUtnnz3u+S3Yf7qsm0DGofeE6m0vFhHpTov
2s+cUB9zMPXvVySqPY/zN4a6Hc0f6rwxA5d8UPjaJ7BQhfkRU68QceG0R6KsKrKSab8gCAg6edNP
OxFCP1F2UAjW9Fd0GKECN9naxUYLBPEQx4mNUg1ExjS6La1Bs2VLql+j+1O8lElw9/CYYXMUAJpn
0ZGb2e6VBzRZHPkCiN2EPl2mWLQvj6epuBtENsvWLHmBfg+lZ879FYaih78Z07+8+WaEqCMZ3wlr
lIzJi47cC3QdDShNB7U6SzRARTqnBR6LBd3E6eSfiQIxLZe9JPkc0VVqeV2zOomkGhV3TPykfjP7
jidmJ1XsmiMnGMpyWJ+Y353cZtUVl3dkgTUKPc8elmehXJiGNNa+Xn/qy1Gw0HlXhfCk8UOeXv+v
XiWp3yXbWOTFKBCLqnVTf6XJSYqPs+ot47jphyf5BEAlckaJa3VoAlzoiI1FFcr2ZNfa69zcr7ri
IMo/JZx+n+wZvdQ3HpDGauYxaHWsr/RYBn8J5z4pzTxD9YzqrMBFNdMXy4bOT9bcMWRtp5uHYa94
6O9d4vflPQ5dymtdLtpm8ZS51ILrRfWbIf3J1bm1jjEWWGfpXlnbXFtbMHL5PUDvIIaAw5dxuLzo
iZ1Z/D8M3YJfpjqO6S8ZaieFT16OpcQa+lSFvRqXDtZlTFV9TqChYrHMYrq7DDQZtCTDL8yH3KzQ
C3U++ri5K9O/PLoaxjc8wcoKLuaTjJEeenV2bJbfsOYk0GC62nHxmQG0Vt0jjNi++VNw6beWkfMj
hbhs4fSB3toBfYPAizdcK56AxqkBQHrNrsstQaFVEjuL5ujtn9p6Wb+R5I92YROxIAjbY2E401GD
9nzRmxK9W4ujhWz1LV+GtptYGgOuCEgWYb6LZ9bF8UdaNgvtE/M+SY8NN5xsFYWmPca/ScQj+1cW
/yoQFmORNqn6ay6f0T8NOkJmgLryGVm5p+XJXu3WhNXc5vVYv4N7msJVqByZ25IJTJl3t2T4HICJ
VAu6ay2Zh3k+xZOj65420xIarOPUE0Gd43HNsiKJf1gnmXAIhG0t2NNw4xoy4FI3y7FPGu6ItGK1
RGoiv6+rtZXEbhLMtk6ug9uBJP3q4cHgx3TYoL0CtXvS9XpV5745r/XwvQ8eCiJ0YaiuznLPb8U6
qqaetXxmFUPCqx812g0SVWcB80dhRzInHrC8ouEQVb7IXyhNd6nhWstB0d/6cWdVZzHcBZgZwUO7
Qs5144cuoLfds7bGOvaKiEsXLu2XChFlgsYxOwXZ9Vb/dD1P+Gc0/JQMh0fvWbXBIQRwZUy5/OA+
0r/K2XwzQBe1a3yVAV0PwkD8lPRfBs2sOiwaWxseRvXTaG9KsukbJon224rXUl4XwU1bjlHnWwkK
70HCEghUjiGvr1hh770Zw1cSf5VAcQMlaIOnlR7ImRzYvPKYyMb0GLON1mzEiGXdlUybbtKRyO1k
4yW3CH3ahk180cmbxMgti5uymPJ0zMwPfl0riXk5fXvVTPLg0+fC/sSnJ7JQpweKy1ro2BQzVr9x
xRuCvxRhXR6Q1bZB0HkqIXKeJyvy0uoCmIqiq+e7JT4GwntUPoXBQ0lT0xujjOFbPocM++EminCO
a42Y3sS60jiN6gXq2VSPg+RSBRpnl3a+YokNcc9r9ZsC1w2MQJ1fuSYWyGSIvaD1OYlr8jFt93P3
K5GJa9jdG16apUeW+notgNT3MCgcQa9+lCW/FBKmUr9ETy62+acRfVdSutWrbxOJVXnFDrAg7NI4
F1xeCIGtqhpHnQ0KFKNhes2+7tH7/Jz+xt6rwHZ5lHB9odqT/ksIoGm6TZL//n9ou0vmW5TBxSJf
M0MZQZs1l6Zm1ps/c36V3aXQ0NzVk4eqEGQ69qiCdNmZUXTkXh1hFkv/KD+GKjoQfFZy3yrPzMcY
WKaFHR0G6GJ7ueVMAe2rsdyTWN9NwTbWtubojD+yseqr30UuGKyROibE+4h4ztVShwBOHzOuRPSz
zD8GUEDPYTKv97ICkDr5QB6ElzFSeWV5KtdteTa4YSbaT4hWLSaSLT7m9Jy2t7HwWwkc0g+US2FB
QViXsFRWQqKxjXDAgnMdeq6CdekME6Tpq34EsIGoWfOn6L99+KEtNy0c+NNTwPi64qFqCBFVEa1o
B1J4CHM7Rn4nBWYtw0F64C6lvHz9NuTbgmDh5jMQFYDYxVQock/9ffkVihmTxyWwscACreL8LdVd
2bLVdIeRMGpY/LQFfWjtYTEu0bJJQ/rwH1m/Zcga9FIXPWtuyvlEIamyEs8kv3guzDM+ZU+NXsbY
5mml9MdB+DOUY/wQAhI1xJwasBis0EQFPsMyr1r2mmMCNjyNLukzLlZmy3a3KnLmgig+Xlz51iKW
d0lsE+MWWEtC37pg7hMmEgVmYG/NxsdItQFyifPzA1r5UeW3kknLIFMl3LvwpBIyGdYRfY6FHZQz
Dw0TUeVLAVzAPqlHByEE3P6lnCCcdiF57KmY2GdcSXdnHMXqFqQmCSTi+V+qcqum9YxPQChQRbgm
rgQ5BSUojruw5L2ASlrNh8R86zFLAqJynOvqO/SOonN0+yyJRFUzQOefmHpLxg3Eb7O1YkF1K9wQ
jj1X1iMp1264DB2WjHDoU5ZAZoBc8emESfMFRh9beNKSF0cbqitW0byPjM9E+YrU93b5NwlXa/yW
Kx8dlzqAFa6m1VOjqpIP5iw7NJ+SfIu6AIHJxgZA8AO89dp6R2soKQzb6k8qLpkWb4t6FRD00VI6
Ojr2Nvlm4X/H1QYBY+gn29D4F/84XlGOkXUwy2uBuFO8ZQzGjUZuOjI5JnbNioDNSpZ2eeQF2U8p
ewR3OWpLsONb42YA/oyvpPY/cTjU3bHEAQzqX0UmKIhAyiVcxD1WgITXofqgsZJja67+8HGte14n
3fzHCLlkmWxzrCDHL2wi1BUs0m7s7wk1kFAwNlxfjUL4bL/S5hznxyk9Fcu3Ctyg4HRVxFW2EeKK
sdPqy6u6emY3TvCEIF2GXQujgvShEDE8V+rVNDmaNb6sbavWDWZqPHFzBz+szkP0PaQhe9vAGz24
CRiyGYIIjD9a6pPaGMy9CbeZwGMF4bwaMRojc/SK+K1TOK3nf+q0q8V9lPFpWc96pmfNhKff5ulJ
rD7asnLz8QhBL5rsGJuYd64c/daU98Z4TpP1BDSSSeT0g0fBH8HKjkJ8eN181I05bNDMsuw6S4Rn
tJP6k0gl9OZFHEi3i2SHdrlurIKKN26f4lCIm3ypOViZZJouo3TmPlel55gUFzK6rXODko9K4Jmp
a1ABajGVSLDe5MknplXo/0pO4ezJiyuwJFYEO3p8gQ5dTaEt41GyyoBl5vWfPLqAaTI38JlFvm+Z
cMr/dqR/ktyuVNrkJp/a0ibn78YNIXTiCiY4fefQJOLbBv/v8i7vX6/g9ElsF+xi7Uv9r7DJWu2S
a04nmrto+spJqQ9VDw3OdgPl10J234fpbVZGz8pk6Cs71dxEhZEIfsThW9PecuOiQ62CvXFeQhtr
3g3+a33GIhnAKbBHF6dvWLrq7aLHTlZV6zxFqIC1aAMmyUcH8kx+GtX/9Dj/Cpq9lt2y6aAjMzes
f5wWn7ArmvobdzOenmequ4zzUOujdg+iS6FWEf5RjsmxgTR0iHx2CJbzIvNV0pmB7hHspOFP/THm
k6R7uuy2OfkFPpVf61djDq2epesE4ni+cPhTEFvUNzoP25Snfa0P2PgnvfElZSQx7XaFvJH5p5+8
MCHQB8JdNqlvVSkpouYNJimNnTlWHHbEqdJWScv218SkaVnLZ8bsfnXJ7nUQiXLO66O0KuTtmHwm
Be0ZMMmsY+p2Vh8SmveLdNvyx2s5tmnqRoSC2xTgu2aJILifPrpuoym2pe3xh4Lh28zOBfWqtDjk
yS01T1L1wLwDlFX1V0MsiweNwGLLV7Cz8nMzXOVyIw0e9lGVKa45nBG4FXPHRxzEdGpcG6DXiODr
0m0N8SyIx4FdH/AH78ZErZPTf6NEmAJSDHI8rA5jWLt6MthRf9LbY4rILrWnuD/MMUspQkOe/BNf
a9Ie7ajrXnvsqoupMd7oJqcZgI+CiPRyL7SnrFWIbik8J1UH6buUpPiI/zAq4cUYkrIx4eGIU2Ac
7kICsJQjmJ44Prr+QN5+1RaYMB9VCUDIqqdqfLUXQTlT8AK8h02hnvXhQlttyClBlm/qR63dl/FL
DlZy7Q7cYcprlL29jFkqVFk/1ZCWGjcqv2Mp8AtNxF1+r6dHVFzH4KrLnEu4QG66+jbTQk1xstWv
+pE48mqJCDasloHLMCa1AD0MATWeAwTtwl16jEzYgmwToL6al1TaCfNhpC/Wureq6lX9qWtaxF8O
/T+JiewieVnxm4nKodPQvZD/oeH3iTI5ljm60lLZCQnLQOXqbJYwkPTvcjysVcOWqUOWqCHw8YUF
Ir58Dqwd2dkYr4nkzOI5Vk+VtO+pBS5WSdEQbXdzBZwxsc3OTpQnVDR9OvVQO8Mv1RA5oi9Hmh4y
XEXSqXj0pepdJnhYB5s22hecrSNqC5o2XqnBm6655mK3MJBt/GGx6szzRSt+yKdTdLKAuuGOQtTL
1Qnbvy4jwPJHXnqyuQ44I7E+t2wbr+TOsZC+6Wcgdxn2+6Y+DD+LNFPDtGzVirKLV+73wb/xW1oQ
WpofdLiJAlqCvDf5dxMlO37Cp/D8a+w3wT2ydiJfELtFpK+65K96LVG85U3ym5effKj4wkX42SHD
pf3afLEEFI2X+V7+nUscWXYi2FEFrlPEbL7TPka+HrcLi4HUEsrD1uANU1HTLqXF4sNyRRZK+OLJ
pIzKmPFXPan2Lf0qIFg28q6u1yIvXUtmtWReYuSkhB8TDVzuJYXul+CXg0iA4KHlTEPy6xSm0YHE
ngV2P4TnkIKEfqh9ZeT6dDeqf0qrOzGrNPrGhBQxfvG20WihqH94DnW+MwtQByAN3tQdwpWVrLPu
CTfCfW1KvALdr9zOxtbCDiGXlsqQ2oir2b1UPEO8GvxFEgNS8dT3iNN0IGXshIOL9yA/orbbWdan
lN2bVERgS7zWTOz5GEWnivu2kNOOznkjMnu3EU9MnnWm6rcHGJAcxdgkJWQ8JANUYTawZS6PRH8k
03kJPqzGK/Jt2D66hONjeYk6RNh0++oQSqpPEXuiqJEFum7fETdMtH1jbKsqxla6NWlFuJ0Li3gz
8I6ThxK9kaM2RUz2YyukjiGeqgV+6goaYDUkXs+B5vWvewbDw/8/8e7F+G1iaTJ17h+Tq1bzGk/Q
pLC65FYEdsuV9z02HjJq3CyhEvF3Hl0jeRfDo0Xkpq5/m2XHNO0VOkGwo1uAn6WbLDwa9VmcPxHh
SnsOAj9OrhEZuXz4MPBnAnAX/WHCKYIQE6Vkg6V3XEw/hfAi10e1fpjTJZ29ytyMxyQ/cIGhHmSM
vYX9qfwrYKnKdEOWEZWTkW/ycsnpiFR7VyS9I2NJbrG3staX73Bniu4v+rorr+rk5hKXfXdSsApa
hGcwy3L4yiFSwuIm1NjMSNH6CZsKqXLA4tgW0+8MVTNdaFOQp43av439p1xAwXxRGBZkvoJyHdb3
UaMTSV5sNgpXU9uNrp4n/U2kBEK0vsqUUMI1zTlMTK42I1+Td7HVD4tbndX8UTW9qsx7Vh1TFWxm
o0w/eeC/ginarDtS7M/Tr0XuLgcG5Xcga6MdiyngwgFklG5lctJp+A15kXOM0AGM1hx/BQvoe7wq
Gbh74Sckf5R2U0TfULCxcU1f15s1ZQWBepw4WPMBJ8lfM3zDV1E9/tI5w/wwUS6CahQZXjVx/05W
BVnRITsV5ps4XgI+2xyIXwXFd+FYcXdweOhoGz3yL0HsWtqhw5pL0JQbGwbOlj87rqYRsYeh6GyB
KpAoO8dQ/lJLldCHKdpy7s70pI1raPs+uRrhjthfXH0Lxj8NExtgEKtfZblu43UU23Vsq4kvq7d5
4eDYwQ+8qTFxX69/VgmK+nmCIe4gS8TXzta7pB/G8FKH3Ho2s/KjpOSrIFkRwOFHuCD22a2NDkPP
EkJHYXBDw1CNemWW1xw6pyL65eWxT9Jxas9DFzhWcZx1hdj+HyzUuh0rKK6W3jjLb9guB6T+Jb2a
L0S9/VRfWalPpX7JtkwNSJGvA5U9/KfpHxW1QyqNsDFXWcya1cwBXOEAk3KKyvnTdKJ4637jaV80
Xg5dMzzD9Dly5Kjjs2Dgok703c8yfz8CFhQOSM/mKoeYwo/2liXwyHtD5yXlzsnmp/aeIO776VMQ
Sp8tgMO8yKLSrbk00zDSBL8yKpJhd8pRX3i+/Uanj8Kbv+PFlyOO+MsnfSoCvv04fav6PaLHcg4+
hYSoiHEShL05PRrOsfM6HlxB82irjkmKqLel3KGRzqrf8hdR/sXjv4G6EpmzazbuRvWZJxtp/gjo
HmnVQyg5CXj061pj9yORIMgx81ECUtanVwg7/2ufdTHZDQQYBpbc3xTokIpHkEtXFruLflD146xs
U+MjzzAWfHhucAXljkYbFKfXIFIcJnV2BMRkmPKF99IkLC08ClxSg91+Md2F51UvBmawmKRuNoJB
sABV4D1t3lQDEe5ryah/CP6UfC9qOxUwgTj0AEUY3cmEKdNDVnZFxlmURyB2X5fppvHV6KDxYqS6
Z76+zh+l3LcvPa7dkaLMoqtCDEzm4DJxwkkxFufwOtW3KtU4wH6ZtFCV6xd233Ln7rcgJoR/87BY
9eF2Uj6l0QA2dvRvEaiZjpVuPiWEF8vsIyq+E+uilVv1I+xsq3l/DcegWVIlSYscIOWg5ECGMp8n
B8tmYkaDsAr1q9htxraG08rYoLkZB/JuHKLtMCAXs9b2pS0BJL7I+ldesQt7pxf9WfGE9ByUjxLe
clYvGpmABOJfZmZusRNIZ9HaoNrytyz7Etc4Rj+k4L+FcOLemENpC+TV2n811Y44sgXnAiA+rIaT
1V/bcde0x07fJdYH/UvGZxddskVcNwbTYuC4qFgaO6cfc8+cB8oPd4u4l4afWriWiRvLez5WCOx+
XpP4WDVfwsv/GGBnEf6QNnseBJPImhY7Zv0vD1x95IQT/gqTO6o/iMdZ4GkUOCgSdy5uOJH0r6qt
lQ5y0yNAqB+pbNcRusI9Y4sAPfcIEEgHtaAQ7D4rMDTVwxDeByoWsvBqtmdiYgiR2vDWTNT8PFLD
QODkAtH7E2SDNNLSQAoutJyQXxlM8LUGUh9IJkX5MtpbwYwNITsM6YFqsJHkeBZslfqPRKcufpuz
QzW+R8JL7j1JsBwCe3yTP1N/iuksGx5DBZhqvU0cywT5M5artZ5dZoJ2HVRuxB9FkUubmXPYZaNd
vXBFfEwrIc3jiOG6pF9PlO9d4L+6oWi9XD5mtMwWbrHn9Frui8ljzAIw9UmmU8bw1WZLXz8r+M5I
d5F6xDciw/ddpxWvGjaxZjqLdOYGqKuHsj+MkTPl27RyBN0Nyf6KO7KGavnZImSm5j3Sbmb/R6lD
ZZyn8gaeyGJQ53u25CbhNXbnhuPzua/5OTittPsMzGmRgIJrv4j2Ne95y2DiSL4yuNpekvG1EVWR
P3e3orvBqztysa/rTcfUEJt1qFI/zeweRtxqVpnkk2KADcmN6zBdEPHNxUmNay4f2KLGpy5D7b1T
QWXXNyxmLA0szJg9rLRJlZlLbb/i5p0P9KQyYFK+DuVN+szTa9cPdvfO7K1R5FPdLfVTMtlb+2lN
vN6VLFB2Z4Gyj+MbBFHJ3xcpB38cvte8adzNIl61FlA7Jc0qQ5dntB4VlrIjeseD/dT3orUu6lMP
Nh+Ht6DfBJJTGLus685UljkxilEcGmem7WznjlzNqpUxhtdEtWsVQWrxXlz+/GiMENT6SpZZzDj2
eGlDQ/OKaabxfTCH21DyCqIHLLhryVFONvTOBcMvvQ9tMzh9DDcY4vAdhOWi9ZSLvYZqX6YJ+3Wn
Zd8phSfZ9Ftq57Rij0ZKajwTgKajdszNGwzR4ZxGz2D+6EDYWZA+4ui3UYFMaVqsPaaDLtbk1JW1
Fjj6MQVGvZmvrZKIb+oOOQcXEWOHoyB5+hLEhjAsjnc+vIU0Tj6iGCZWVSkou0AfcTkWQGbhw6bK
1qFtGu19prdjgOy1rN+p2C64GGbwM4ofsjy7oZo4ev/kojxXKvlC8BLaoSJYDBURKotZV5OtoLnD
Xc/tmRx3tCUhhGhbZQ6be0WDHcSvhJpvfjelOy7fyPXa8CNBVEwugh/3p1TaFvq+5ng4afcx3c2C
P/EFyTPNYBIOSKlR4PlYtPSSFsjgTOExeKq5Sm1I7r2PIsJTx4HWoAXqpiqHCruquQjLgTojm0s1
wRJWwSLydKpb6FMSagavuAOfwQuWVt1EfHXXUdVIOOwsIvuUxm/OMQsVgWajVmcLGb9b4zRlR1Vr
WGeZpxf6OYcxXf6aDTpQkN87iLn8IFcrg5PXDA0LmlCvecDV5KiJm5C7v5bqXMppT6hXaD6t/ind
4+QfXLcguolmi+GH0jzr5FeN6Q49tjgeSINy96jqrdUwJ+hNZkcm3N/t1OnMl0yjgmodX00nI369
ZTNxiuoOEE/U4eanUnyFDwVgRPNky6dUNRCABf2BKiw6D8VdoB0gnukndTpoKFZ79IUXcgH3z/pS
8R5kE+jB8CCiwsSyW6ovnj5YTjN1d1n/JsjmLRppJPM4h7agXlU4aLXsVrPQO/MEysaPLWQV95/f
Dr08zgOg6vLDAGYohP5cm5Vditg6AdVWE264uFblW958JEKz0boH2ewmfgaFxp4FbWpcBuPZxyQ4
0aSU4Tajx9JhCksrrRdwASk59u1fmCxuC1QnczCAEpzC2VcSFRY7OtfiFtnMFSyEw4jbemsLlFRU
gIkqx7NU+0zzTV+em+YQEj2IY3a7pLhnRP8twne15AnBOYN/VHKX1mUEMCopXo2xso6u9MKbkVrU
xyRHdvZixCiUiwI0vk5eqfSq9MOmjrwa301MLwUc6UATEpEwbwn+5omy4i+LNjisQhzbdt8NqZO1
t7zmOsaqaGreFHoJmu0YV6sRu5HEA31JqcMkWTZ2cLVEx8fCGCL4NwYVxAwhmNA3WBCH5bBMgWvq
UCsoGEnHGsYdh2yTTYvvirWYOjr9y6rT9az+xDozvdi8Iqqj1NlrZqwSfSH5guLikKwscPnUOYZa
JOFPdAoJdaJDQScDy7AXX05aRDPQ2fJAjMxNwLuK6b0sVH9JrlOMr8rGkcL/EDAAriY6Jmu2LBHL
T19IbP9GN+gJzGyrKhYAZgbf2n5LAX0HTZuusCuSZJNH42a2vPYVyr+H829vXghYka68BA3rIM4t
3WRqcbGEpxB85eaenkV7mu9DcMmkp1o/G0rzuB0sx6I4RsmnLF8qauNDXriGXW+esCAxVziO0FBA
ZfBIB+2CZljLOVvuO5lpO5HexOymdp9L8iFZhxYbbTYfIrQOlmeC1a3Vgc0ILyIh6NQy62PEvhUG
hIV0JJdlMY/5VK8jVK+4Pbzy95UIxdX8pol5m1+UbJTsKCD+Z1WcGeknLLhV05awaqST2EAwX8as
X43jawej1oN6zrQ7RWa1CxoIwI8EWJ5pN6dFiOwo4lfgbDDkiZ+hGQ7kxDoCKzQp0zAmezrxi0pT
KBZ5faHjQyTTbw3sM3LpTtTK4yvYAd0ejc68OZV7S636AQDsAH+iG/+GBous7UJWbGVfjjXGbf3X
UTJn8FRQU8ZGreIIxtRX1f9xdB67jSNRFP0iAsVY5NYKVLAkW7LlsCGcuphz/vo5HGAWA0xPt1si
q16499xN1dU7YXCpIlQce4qaKECaubPr0xBbFSqOm17/xBCO06ZY1/Vb1So/Kq+udrDb3TAegry8
RIC1W74VwXKqMmle+2kTwBWO6s9i+dGXD6PpNpPncBfk7MIdD8Xq0lYBbYGQ7BmH0rD5IlqAsG3/
LzPjc2PrfxpqphCAMwKVVcfsUnNfTOdSpRIUDRcMvBDbbBGejviou3WKGoGpqeNho9ty7YUt7jsW
HzHQKCP6xRnxUC41U4g+fW/ZR4PNAZLUwHoO5LvbP1oxx+3gW016rN4NapuZRXKB6bWV9koln7L/
36y1S7g5I4owTnYkhH1jrksQOzKBmE3lNmghUPBmNQMGIBeAB+KWJVwQu4xpmuOyL5xnJooUf6w1
Hxt96Q2fLecpGsgqZQLGhj0ZfA8NTZ+tMuunKH5nkeD8n+EPbms2y035jZrxrMXvIepz7cOlpKM+
q91th8YX/WekEBaxFN3rNY/ZsWzBAZkH0a412zgJ9SXYV5eoVMSKId1TadoXwgjuOas6GhErP3SK
8xI53qzDWk4e7RBcPUNPgSbQxbYjix9ZTttu/AdiJsEcUSNQYxzDXl/+OaF51iy/FwdCg49JLjFc
DVTuJl/2QgYDGkBN5tbQKser7vyYBeQAhlXRHv9L036TIAa1c2RVfwDaYjI6HIdbbCwI1ofWZPhm
r1O1UyzuQrw/a16C9nkOf+T0RIFsaG+xi5GIEYiLKibtX8sK0oN4LZIY0Bi1FpxcciYVE4Age8yG
F89IMOZRmiNEMdYFT1PDl6BH75XLdTItgmWEsi6k0G2cfiN+Vt21L5+tCnAff+d05SIHwCL30Eqs
8Gi1LTbmzCPXpr4hbnTw3pETxLm5NtmI+ip4dTWAgcZacH5rbg/3f3iIGW7BUAlZVnBkJYQVQKEK
94m+D20H5PF9DBCfQehka8U65tfiWa/wIxSy2dpYJD9dyZ80xeuMyd+Y3DyH7nPg07qhfq35tyrY
WeJJTMesPoz/MnB97qStKuQiSy/Llk1vnsqvHPWHbXmPRY4G/WmekXSwVwuQ1JxpmuJ+p2MY6hn8
jRFTg5ZwwV/LrgARYxw4SsPibeCn/SlK9tILsyylYh22NUMtKxtBxK3BR2KGkrZ8UJinUjFvpNv7
iU495YdzBmMQNWWzmUrWJ9gDFopIb++Qv2VIA5Uo9tJ4jZDuE3y+Xn6XjGFK0eJjim8thEDlV+1p
6g6ayzxpn73m2lunvhePAf9UCLrMTR0cMnhZDViY+UWLtkg5Fbsfk0fgGZ+OW15lhHZyzIB6Rgzq
mVmA1DKBXBlYOSbkSIUmnjF3ngLUKuQicMPQBtHx5qo6z8my0IVl2kxiixpqG2K5T/EeTJ77NdEE
tH23b70UlzqzJp1hbJjueae0CTEipq4nVXQ+osuUR0Pd5urIFHey/MQF4I9LdBmMR+0F01JobnNj
Q7hnhckj2afjxkmf0vRRqkcaCAXejDU6RnHl7lBOsGcaug+VumgymWGOa5ImZAtU86UrfXgvduJD
a8I2MrGAKXeTsTXI3jTuGi73m1FdCmNV4u3JSaoM4gRmz40rtJtRRXzz5/RN/CHYviqxHVm0sAPG
94Iywyupwc3vAhdp2V6cbl/ntxZNwPjXUGvXFZdR8zYRoEq3WMbr1GYOV/70TNjHeua2aFdhW5xS
FvkNB7aQ/6NFJ/NjFpemYU9h+AYJrXTTTOgszoo59C0rWlf17KNXx91gjhoKmbtBC5TEb1Pcb4v6
WaVskdS+rATFJd686JaJwB9tKoeLMrDsD1wlI1MdvK7tVbB2tsoPjQ/Q4AMjB7RhM54xLn4t+38z
eNsGPjiO97UN5XDctPatQuTfundX1JTfT4l6bKOTpA40NI8C+zE0L177ZEvWK+Lo5fdRpuuJTtop
P8jb8mex7wLMrTghqwK0Yqq2C3RlTE+Z+Vyb/0LWEpp+L0PE2cPBw/JoZ19WlzGDyxFwn/TQD5CH
mHRi/IrGeFAl6QxXPGBpS7l0dsVzmmwL7NvRW5HsOhYsbYqQdzfF5YEpnR48FeghUuxUmvz1OCQm
msm6udXd1gQrjAMEkDmKG6hi4BvJDtp2jSIdN7kVhOLqT2N0CucPRAORt0zUW7t+sICVK7klp/69
m56Vfa6owmHIb+d8B4sFM5Np49BDqroo9AJ869lLYL/NzDg6Xjxm6niplQGSY6M57Rb1Zg+JIGIK
HuQUx3i3UJnpBpIPONbGP3JvtvHg4t709XIfhWznlTqI6CkcfhJU/0ZJztMQ+67NBkF7aznIdSyt
jlq8nEgBFv40m48uvoiUwneL02zfR+c5uLr1TSZIVAgP5hHRiwsDM6jJKDxpZ1tW3N/KWuZIMNOR
ePxFxjqd90Hw5gynPkc6hCDIXhKtUKrH1lV79zxn7amP2GHswbtikUjN5N6jI8a2uapY+OVsKcJd
Jg8S6m6hG0elscC2aSx4t+NnV39JQDZA0dm22rydkIOmDdCuWmeGDGASAZ5kMKubtV/FNSu2X5dG
CJf+g0S0wHedtHhQ+cCJfGkxM3AnobndANpx0Kg6Hxb4nmjcB86hCt7G8WhV2h/781ve5KyiHXz2
XCKFuxKiWCuOgsZNdo4bcL5A/yqQwWv8pQ382mIfJr969NGxQhvltO+GQ14PNKH9VmbC7w32EtTy
Eb6LgcFgWRbbIoPI3WXNZ6xFmJ+8dRo9lZ4LbdCWSNOZUOlOv3MNb788veVnw2xg1HO0yiXTsflV
uDTegnBpcIgzu2Ej+eoQ1pRYeDJUMFZOvYEUIw1QvJXen9uf4rFjS4iJTQ9Z4XgbxJ1fEWO4QA8f
WxNdmWLAF0D+rfvT3E4oSwDyMxHvMFYo21lZgGkCj5vKHJvj4Pzfre67kl5MBc5a0g92XbvV8hpx
PT6aZmz8Cv2JY+BT5+bt2fNSdiVW857DTMIfMO7dDsSDboElwNEx8mPMzkNq1X453x3mvJTL6mVG
FuOZA/hbONeUiMgbY+b4poELjictNZsDApi1bBzypuEhQbarWoleepmNvEYzmO5QbpQdrAz830a/
rsXNHsONF7u08veRx99gOth3X4ngaHP+IDAA64hOedLh32dbk+XDP0xwjNOa4BYG2bocHaKcUuwn
ctoqx/y0cbSSJl+6N61gJks8M1bTjMMjQXEfKNiYOH3akfkjeGMTwX/k8mrLPe0Y1TlrV4wrAR8z
ZriVbDmKmvpdQ5NWYw3vgoPsvrm3FOKXAgNDmsdrT4p7xP4LKBquCrmZA0Re2i1o2MVY5XM+m6tM
r95w1mZT+1M5kP3HAppBgT0pWw2IIpMoWGvt1yQAbVjmo+LtzN1FPaz2KQdNYWd0hpgeeGSrivyZ
lvk8u4qY67znoSlqPOJq3zJDH9qvrHtKrPzSzdoq5vKTmL49ZFZ2PZ1z575AFoT3mKIjGOYA0263
clOEbm0C68kjXMJC6qG88Oyw3ZDVD7/wuSvMvZg/+wJDJ/OpOtu2ZI55xfSK0YC1Tr6QjDcE4qLj
ZWSJEzmpvaObHQX4Mqfy/C6NLlXPrC0jnbyejIceYK38ClmPKryYGQOs2FyZIGvJ8CFRqtgmmNK9
fufkjz2KijHbm3G3dnmVxbxT6Lan4qQhHfEY3hlgnPPhp6Rzn9DY6D1Ob+DgXOb83a1NZ1xg723n
GoMvKQwS2nOdgr4ubi2c92D5eEf+iARluk2qWjB1yMfPJYL0XJseiH06xCJbWxSZuZEd0pnpClpR
9FNF98rHsG+YGi4odQ91gakrX8seE7a9moBjXlYzlpiFyNmRoK0/VnV4IYmLehABMJROh+x0fWD6
axPN2tdPKV20sdh5jfSayXFXYhCxEDUWLG6N9upwPXo6zW5Pd1+F5JQO2kp1/7IpnR7qrr9EYbKZ
Ych5wqOF82EWrb0mW9NZ+JpJlUQnGrAvorbqO9ZjIZWk/RpgLQwaTtHI7dd6ZT7S/78kIdN6F7LD
qYNMTRG19hA/5B0RO7SpGpaCzMzhskCuhelGWBpuNXetmTDbMVwBXergW5umttfofDsOkLs5+J3h
fQ80qQHPcmzp/2Z2Y9wdbFutlWvYa3bmmG9WAgt3YdIemMl7bJf3kCZTZ7HbZgYzi37bYsVBefnQ
938Sft9cUTiHFbQI5vrKuegEbI/IvlOEOhCct4szmzne1lQDu0/qB91vs0NXOBs7fpGM9bWGinD6
tSPIvObPVKH7+LJdcDQdxGszPnmomjWZvo7O+DFpJ4R9o4H20U03TgFBsvdzUd5JFEHWPgw4GS31
U0wJCTveoo9d52X54siXtrAh4zSAsQsFCQPGT/vs1a/SPUmzQL716dXZQzniOVRwulv3uWyHZxux
d8CV3XAPm2jtunuDxoowlATWdfY6SHmMlLfLzAZZAKdaNl1CzfudqghyHtLksXkUNVGBza3zMGuS
v4QQNqgehGEjlzQWK9Wt6El8kvYhauVuiAM26SgbKtBxpDxg3kWZ3+LUi2h7rF9YrasipnVdRA1c
j3CorSXLMXs3zPeE6ZSRfHeSUXts//U5JdaoA7Zh2akw9UXNLpnCh7ANV7Ca6B8uOs991wFfwN1R
qK8ZMW+guokNTY2/HDRSWF6NHMuNZq9RjODnz/MfZuVj5aH1/a0994d4MiRcBLbow9pimciqgH2t
tykYrk1Y2IYGRTUONKcjvYkkIFnzXe801L4mL4/JmKIY8mtKao4RUK7pq6kf7iVHZdVzBl9YYwrW
b6F5AylfeY+lTeVSv3q4g2K6l/BodghjCAMoLObPHzH2cFMFxI/QB7P9jjrFOuzkyWWrveiLBlTP
f1P1XVsgVdVTliAGHrACc14vsRjFBKa6Aw9CEJDOpG6UWzj3tPsxnS8QjSpyN4Nh3jT4GDMCKhjd
655tbYZfzeFeDjKQnkG0m9lmh8vylwej4TurQfqJSLwGmAI6Q0BVHxD2Wrs4B41dycc5ig/wCtcD
ki5tstlru8Ulawj+CDgqYzT1Fo495YE44yrxVL/VF4ktohz27OZfY3YPOEYrr97MhfvRk7rGOEv6
VH6rAZw4koHemf3CgTONRtWzn0dSCGsGv7NEFcTDaGCUHcNrw3ad/5Hn8tsb9X3UwgHnuWYii2H+
4EIgqlsA5+Ldoi9sjPWA2tuu3sM+h51zq8khabAalhiRqraHeykfyvx7tnG1Mt4lmwy3m7YJy2br
4F2QGXR99xDjQNRZD41Zta3xRIus3k92TMsabTQW26VxTKfnQLXHxtJZrYiTiT2DqLBVZp+CNNtF
Oft8ffw0+/aQuSYQjG4dYGPN8I/Z11IYrALRpTKgIRvxn8ZWMREaNw809KzfuMOx4T2rbEReyJEM
HDEDY8cosXaDyvd1j37enPwMySSZMZuEes9B0mi4kV+SSBbU1efUy7fUmRBp/RRMIHXAtTIgiK/9
yArzFNusnzmsUq+9xr21Ntl6d4Qgesy4Abo9RAwoKgELYSjOiyo+AbBXMHAAV3eF+EEIzotr0yS3
bBNbfc1luhpc82i43Xaqj3XxNBrdkjnyGxv6bqSercV1jLsnnZonnyVFXevXnrOvIHhbafXahgN9
xRvePdCr6UZStRRVtdGtfj9RnHhtADntvkjNNKpCglcfDKq7HttaUqr94ExHS7g+sYl+tXQ9MOso
50mIIT/A5e1gRx6pYwxiPU/EO90WqhSxjREWiiF6idRdZfrF9pABM9NrJxKWnlO0ABX1YTZdA0FM
Dh4qfK57TwN3xtk1caDFuP7ywLgb2GzZT0RdtY/ZlxkWXtFg3uZJsQ3+54XaG4peXvTet8hdG4Li
yZuLS8xgy6o3Lq9YqX112ZPlxECj2VK5xnmIAIPgDJzEuWoYB9bZvzGZtyXNUqsHRy+MfDfNL0Od
HyrgDISKcpwisQNzlNfvKE7pBtorH36MRspCNNd389UqHnuLEsSN2F1TVGlQyNyGWjH3zq0KToFM
LktUaTrSt2mwKDG7su2Jk9ofSaWOg9lPjXhrIVr1ErE1dHlQERg12mDBQEDnJsEEL4VxAjZbNC8W
hYT3GkfYRwMHCRE5DiVNT82P+csyxzWi1YAPv0G2xQpxNVbFZcCpqQDy5AFpDWwNA4vVAEWxZLux
d1gelOWIVhD/Pu26kIK4ksLPm4OLnjXFZFXCzLJxuwP5gHLsB3BpHAmPJX8LaVCjOuGqZ1TE/ZSX
ydEllUrW6kQhiaIuOEeYXaw+34QR+ypN7fRJ7pq23JTU5YD2kes21zbQXmvcty1bgRED9MyoZMo4
i4Nuw6J/6JmFkKxnZPomgJ8i8oF3mK3sxuS/EAm2kma6Cy3mKoRkl2QdOQ6kJn4ox8JKdnda8huQ
fvIZJDrvCL67Eh25ixnV+gmqz779COI3nYlDrsTaA8WQA5fyih2VkR8F85vnkG0VLnGC2Vph9bbN
7xpQWMg2fxAvWb5OBDo/+IS9RVrsTHEYOE+zrTEiIJbGBv6DgmPRisiJIVcOjssEROwN247Ba9Cr
j7ZB85uha8xqXgWkzrAhAuAfNcIK5AY7a0bInlKK4dex4vRoO96vaX0nBVW10m6kcZ4GffQHc8Sc
rm8mSv8x1F40j1CKtj21wb9u+s2idcvlGKulPtKP0iPTNPxs7Nd49jZK/A3OHwm5V0F/sczrm+qf
6QwrhUxiTAXzWPNQufQ5ab0Bwbc2cZoI5gQZf1XDfDbgko8Zm2PayYQjAhuvxg4XqhuQvQ5dXAN9
mH0f1h+rAqqJNKmedzRDL07oYQjDusuUuPFSOvlgnTRAK9xhfpfInXpMo50enSacMGU4+qHGYLOy
DrrZ7ss0PNrsVcf61WrO3cjmRzAGDAILRzZrVOwODqQhPFZnHHg7XWhIN7xnWIEwtjFXUoqjaNhl
Vv+o2B27CZ6FCOOs4WImyslHCfYSrYcukIx2Of9T2mzqtP6ap3Evmay4feU7M5o02XFd8GlP5CoA
QgCG/jj11V266SF252dlMEOT0d7CBl5AYO4F88o5OvbopsU0rw0HJIOT+HCY/XF8U+70QtHHhFRs
Eg9arYkUwirgQER2jn4hxYHuHjxYMwLzu8KC2QVkZxQ1mMWRQZBClcpyFkGykehA75vr5Jw7eua0
5/UJ8n8N1PSHIjafFUu+juCShklnOld+XoqnBIlD5xmrMfmJ1Ctbcl9q2CUgOzZVjfp32T3Amukd
aHLmseZXaw3WUXBirDmPLSsXizNiQOQ7jFBWQh1JeXJuyuiFl/48zeGbayfcE4aTr0b9rjOVN6o7
w6adLACvIogq2VFliLW06rcg8MelfwPc+zeVPvztbYjIL2w/6ASpXtUDhT7GImSmlyGk1DYdFDE5
KCM8tbiMUmj3sTwW+k+l9jV3I8/c0Z7cFz1Tuxo4dDbyCSxRhnQJwTwfe2/8bRMG9tjbErJZQjIp
dcUpCb53om5x7c+2jPyCzfBU4GwdWSzpD0scTiO5jdDzhXH1m49kdzo0XWmTbid8B4IhdR9Sj3D8
uMDkdOffwPhIm9QpgItQQzogbfYm9IXiSUsNNM62bshy8ZQmKwPMfNvRnaIlsNEHx+LXRvClhMBq
WWHtgL9qmU+jqP1lCpsbTueblGi4scDWKdgXL2P7JvDWRvCAgumgV9S7gsu+hN3CZvMx5E2tKvtO
MsgrIs7noMWb42TLoR1B0yMYvOieZAwLj8Vfa64lhapGaA8rsgddMLcyGBnkDDeD0PSFpp9GzuNo
AhM5yH+kPHMo85vZWCAs1s7AMj4UM4ERYR9J9RY68X7StmNWXCuP+VI47WPWrx4m3izOD8piM9fW
7JqzVUs0GAHDKLSqfaaTzIfHdBrorUP5Y+TDvea4yTSDgot439SU97RC4Eh9XSRqYb2wAKuOprrm
cE5y1T+ls7Vxm/BdAXV0i/RIrPy1Z2MgpnSv1TxtS/5DhV7GTF75bW6N/Krm8RTWkoFQuQKwvykG
XtVWrAp4fMY4bQa2/8ZiEJLumxXSuI7lIQcUUaXIU0zvr03tCM1qB2xHXokgjPC06UF2rzluiCJA
UB7Nj1YC1o/PsFCC4K98Uw7eqcMrJub+JaTwnid8Uwn4nxJIXrHlldnLUeFbaGc/yUoKdqbfuiO2
wry3FhWcrvAfpDwQToNezqjFW1w/YzTzEmdfDgV6dUrCVE8vpDg8WcN3md6Hfj5WFudjZT96puDu
+V7CXGygfKW11kcsf2CdResd53Hay7ICJufpm6FlrBRi2Ve9R1YAOkXRQiXKzi2UBS/1sD1QNlfV
zcgRtOSRL4jYaxKkES7z07Y7mtLhClEkmXQUajQNNopVJ45f6snZOQLBrwOAiATvMLuLACnKkiJC
FEInvVsBLqkaJjwEy6KvxoLIRAoFlzLtbWKchtm5q7rdNaZ57iPXN9k52nm40kV5qOS4ter2mLUF
MiAkZows/1VBdhwqnsPlEhwavMPp1iLUypxYiEhnO5T1fUi+VPY9t8BNqmIL4JtjiC1T3m/NWR0y
MeyjZH4KynLjoXtmC8TkO1lZM7YvnM3m/GgyAws6ueFiRt+UwTYi5lL/bL2th4LAhU5aCXk2GvYk
idh1yFWy9BQFXCaqJ7/3l4cCQw/peVCMx5kWCjpjmkruYPusYjCVkNx7Ze8HD5YiS5gCYkilS7Q5
jA2nxOCMHa4uO/+BbJYwinyDrCXMEpZcuobF5eocSL8CAM5KhAVgSJqtKAbcZd4JJE3bF88B4kHu
2tvUdOshx05gK3YjlL41wKBZ+87oSg1kmJaqHtPQ9ePY+VEDmg3R7HRr5kDcuPFt6UFi0bzTb7FG
SFm2dShJPkuUcSNi71kMhzKqkRj/qRZFvsSruUgRWrQvetlfMoE9RRcXU7q+XZc4ucbDaIPcT0KS
INh+a1I/1V6wD0y5sfvmqukOxjnIHUxU5aQwpJ0d7Sxm1+90sHYfud5v0pLDFKViysSw17HUFjvV
oISl5Lar+jsbPmsk0rn3ZTPa7or5xZtZb8vCJzyOFOc0/Uy4kcNowpQzhsdwYEAbt9+OE95K1u/r
1Omw+AQs4C19WGxICQZoYd9lf3HL/KS8ZDVmN7lY6jElutGjqNJDhkO4ZwMEBIEJG+/aMHA+OreF
dJLD+UviXVG9p3N8lO2zBUEmSqYTZg+/wtPgOeMljWcsnTgBEI2b1oDpu1nFI+XfAhYY3I8SyYDZ
DS/TlB3lYNwMYraEKu9WyIxsdDYteqCHScATBOrqDKghKSwDO1sc//M1DGdgGtlVlxVaxvJPqwKW
fQNzovhHbwrKv4GHrutssDnx+I7KjjQkxVyoiVyGHVYdEEMV+HFEkBJplhJ4RVEmvkCLMlfnasqf
TZ2MK9QneZw9eQYcAnlKVAS+qsmIv0s0ihHrsYx+VS7pZhH1hWxpKjvdMsE7jDgk+wKQS6W/hRlT
zKlZ1MZAMCDeWklGCAZS/vG3s5imQ6vbiKA7iMlh+lP6yaQwxAMCb41T1eAX8op1MCgDHQ1V2uyd
wry/WkiAY442TbRn5TrPZRKdpZi2RmLvhrzj/uxwWEjiay528ToHT9pEOTPKS+vqWP9xEWTlc1yY
xyls9i7urRmNcWNoT5orsUoyGCbq0uy7SwJxug5h8nuzt58UskYTsPUycyZ7IdGwYNJNaXV3UpCV
o4UWCCQPYjQXdXZMRrGq+3cvbX1lc0VCjxtkvWpJRYw4hvjzWDIh4g7T42JEr0oB2dfwqc8XxLfO
0aX8pMv2tmafNS7rQSmeesfXwEhFGUBJMoLskc5w0atzyccmel7BYBKtBPnwPLz2qskWLTnaOTNm
vNhiZucA19W+Er8ToREGe7U0FnsPCkoCsBj+DOnd5r4zpl2l8VtmBiYL9Gc2/ItAAuydQtBfA1jc
Inyep/ofIrxdE9mvYRU1TBfoxTDlok8dUDhC7e2M4u4usd4xYs0OGVW89MG4l1pvuFD5obXAXGZ7
nF18rF8pfVqzuF009hqpbn0aWvvYB8GLVjR/HCWXqbbPU1z8sySqoBxtpqBXdGYIUgl708JxN73r
GQx6DIaVHX1jxg0BShW0rZy5t93I5IXuvotFgN1k2B+NwCF0vgSw6+JcDKvwlUHyWhUKbxaw4Afu
tIeuxDgUffb6ez3dqnL2+yBhT0dQ6lDsl+gmesoH0wy3Uk5/rao59ShVq7oi0hMqup5THXOf9JDQ
IZGjgWnoAeeIsJk42+tl+lLLN8PkiakpHkxLAlSGjxRAZZJIRMaGhNqBzlVz2YZHtXtNNEB5Rnzo
Oasm2A5yUEcrNc8ZgTtgmizU7PzkESC+XlUfU2ncLY84bNp9LZP7tLVAkMCuDHTbz1xtxwBzRY29
s6FSxa7wNQphxnvbwRhe4txY1ns4GDB0ceJqaXOI4okFhsOwKV+3in1m2t4aFnzbkDc/H4btxFGq
kB5MjXVuAOK3svjq2uGgO7Tamb2e0/KUwc0zWf7m2r+geEmIwmM8i08bk46RE/M7I/Ah9ojmi4Eh
bn4LtafWgm3EzZnHODrL+KUjx8cuCsJa80MSDju3+h6o87tmXvX9zaG2oVvBWY7wrU2uJf4tPKmA
aO5uMb4XM1qggchz+0bX+1Hg6Yt0wzexJmtpybSngXuMu0fBleS+1hagAh1WHz2qFilZvAg/1gOg
zsAiD8xpHxtVXpN4uDm5ftVyqMOzCZQE3KNwXsZ0+LJVtyunnYs9sqq1ddlRA9qkb2jBR9k4q5nd
rMvAQQyYPRlTxZOOLGHim251pg3pb6S5xCItPgER/RJEfu0n/Oed7r4OZf/ZwC17CJsFkK4fYXHS
Kim4RnNuXhHOXmWMJF4bcfTZlCg6erXSdMBXubi3xGeFQzrlA8zwwxb6CPNtxoNTlU+Nkxx00o0M
GfxAgH9kEQ/3V109zCGdxbeZD8+VKZ8qk7gVMo0MRNUoRJ65GEYmWUy0NJSvUXbJ7OKqM9eLp0Zj
Uh74Vl0c7Zy0z5L2sEAajczE1rzP2kRbLcSL1uon18TBNqiWgKPIN9HEzKZ1tnLXV2HsNx5SIuQ6
9kClFRsvQPwhGcEmY2JzHgWTzdzhcOhCdh8iooaAeWM09S2urK0u3NeiorFpk3Fbd4oa0UJVRtZK
Zn96KALwdv1FlCfEjzw7Xehgop1wP8Ncz2LdplZAwqI0wt4DANVqyR3qIrEkb0MboTai/SvaV71R
T5bX3waaUAaaoBcNwHBjgYwdchqfvd8AaWoZ3NELXzKEICIJmWI2jx5fdall88PoEYjnqoLuMPX1
tt041LRNrD0ztSAisIctjBVwGt6Khp4ZY3hPgx8ZPZAlyr7E5lBs45CeZXij1/yjQ8UnhMKsKhmO
VRDzUcgzeWRGL617xboixXeZjs2v0bP7NMhRqebVmKIkV+Ojwa5Tg1/Mh0OznO2ncNw6ubcRlo3H
UG5CzyWYGlgFlFmddgWR9HqGAKB1xtrB+yOhvFpIVRzGXV0kb0Of9uvMXWLB0KqU3nthgguk7HCa
hv1T/cUN66yy0N13ekV/gVM8Gr0Y//qCpKYtXkDajRK3PkWzWzpnnHiE3wb4yQrAGP+aDkZW/p63
JSWb+Vhb07EpnWPZzOcyS5+zPvGDDO6YUVv7yHwJYQGZLUJYh8EFEnSLbexqqg0ECtJwdkxGnprQ
XBXLnNErTyy8/9ISDK4Eu1VEJMNlc3dCyYnGPovPVQhCPScAINVc9lQIXwvOzs3cWDfJORsGBbLK
Es8olmQMd1kMoapADR3L+qjV7XNfNGeC7rYlpQTQKPO9TJFLlHHHhl5LVkXt4sd14GsYm6Kv6FPN
/OYMTFuH8sJU7IzfBaOAfq+NTqDJ4liXHb1TETv0ktlXazolGRcu+1pRHWytfyum/NuLh/WcO8fW
jK6MuJkpgWchYRK4r9rifv/pPdb2bUUYY8NriFmbf5EQEWxZvBvlfFBd8perjDAz7ZigTbdLh0ch
erZ6pP/8R5YXTKTaJtjqklFRpo42JVHsIkusNBYQIcP3Bl8iByQxIwZUt5ms4CZh4SSwpKmQktal
FCtwZetV8N1l+SP6/l1NjoEykcMa4Z9IhqfSAPxbaLOvJyiYvcl6CV3jq7fBZ8bIuSbKtLCXqBSp
pEGNTzXzGHKk5Ox4D2PHpDOHFZPbXbx2xbwfzIEIakxldsOiwYNPjJ8nwKpWtfnZCMqTM2b/EtmT
9Q0+tlDlJjFagv3sapsPxItp8SEjlpjrpjhQp+JqQPqhu/ucnsapP1K0gc2sLrWAby0hYTHf0lNS
61NvZcn4pUqET9AvBT60Z4u07qqpX1gdbgwY3oQr4UoKxVPGLnG2urWmIw/SnbMhqC+LCUuJUe35
8BCRaZthcUYlXbNlvHQcZuMcRMhlKFjrvD8ZwrwVEQd+lp/CxNtmufiXaOh6KtRArkPIutEoXOHl
1oNmiOQGr6jObo0aZXDREUk0qkyzDERs6bONsIxswBARCIs2pnkIEPHez/PLKCEHNkrDiC/c7Ux1
PSKU0uPoKCXrqITNn9ArBMXjLarbc+zddCPdK9Efo8j6IS9sUzjxsRRcyJU4GS2rb5MgK4k+Djil
KoPV6P5H2nntxq5kW/ZXLuq5iSaDDDLiorsfpLQyKW+2XghtR+89v74HTwNd2lkJCXXqsQx2iGRk
mLXmHLP8FurwsQomVGnyKtH06Sca6sTeojkBUIA43MlfM29+XF5VMQB/M4sNPwPssVh7aFsllC6D
YMRoG/yufUALpVHcdEZ/E2KyNDRbRGxfSyjOcT9v41BzgxGYXsLffQFuWzi2jcFv5MyGFicsDqMh
Hxv6WEZHs0TgLBwV5BE0FGdFmlLrVtyTeoEegYMW6DVxOVnm1u5QDE0EwDnsJGEr77opYZsCljKa
94T0nuW9XNE337kpKW2ck89yojpzqwOYzikGBXnfWS++RqBPP5mIao3XDrcSpOHMrQ+mpLBRYHbz
JffbkXM6pmuiFFu5CkvMKFOUXTUmRuhWos5re4yQ+SKAbcKLWXlPWUygHRbNxeOESGXf4PCpTeu1
ssbHzl2UK4W/NfW87of+zXMNxg63nhceUni76BatVY2rC17PvdHRfG9c5yH3q107w9+yggu3a+5m
3nshUaVkwKBDJ0Si8UNJ0FfR9CBtxblL5DT20qeupOTqao5sw02qG1bA/K7jruYChrP9/KEL4kfT
DS+mbn7KZoNGFP6bMnnIwCYUDvALWtd0YSgpg60zAd4TN4edEwAD1pEh2BNMyAUXlgz6rP5eYvfn
1rVRwUJ1L3Yqlmt7SK8lodFCA80zO/2muIMYLPJhJzUEOFSa4/CjUS+sGa+W3z1YigIxASHSenBm
9zwquIUPxn0HFGniaCrd+k7hYHJz8epO+jak5JYRCl5xS0EBsBf1HZhZ7BP12naeEvApbD1wqmgX
oQ0Uk3GYR8QUPTOmzLyniOaRizXFdapfSLReQi/Gt/kkB3GHS+eXzUpcRA90qw9VLPdyhOsffZMp
v0/kIIVk560gBzvDlZWhf4ny5tKyx2tCDHGXPjlWSoczQl+WuN1V7C0xL6jEg4g8AdLLtEmx3UEE
WkzfK58OEN5WG1qLgSmQDvDtODGpPPd8LJ4N2eC6S7lLg4urxL4X/j4wfhbwAdu22E0uUHTRNRxW
oUDMDV+3hdXWq6eqeB0TXlEwPUc96miqpBYgliIlQRlz6ehQ2CpCckYIbprYxbsZR53OoBPBC0ly
QBigopdew/wtipF7+O4vabFW5gCsElCBBAoCRlcObjDzveY2POBxT4aJ2OnuqkhAjbf6GsPjwR/c
N5ttoRzEq6rysxqOw6Dip8lySGv/MdTFkxcAuB5aWJnIgekVWXm/NRafU3M1STpiAiuZrVFAJGlB
zTS9KCyDEpVe6GLrkmAslRII4hIOM8bXsQkywqjNneF2oBZpZUQEhY4+JKiZkypc6pu4Ro0mVXQ3
BM1BBkhIrU6SjtwRzUkPnh4MqpatiJrLCHet5/yYl2aL697g2+B89r0a3Z+Jam/mYilTozBIQ6m5
EeF1qqinDMOPCXHz7BFxHhnOXalquunTyocMYdMmgTHd0Hu18Qa1VfSzKXOkknxy3U0HUjc2I3I1
qv37Cel1G5GcwBQxW/UCKv7VqMnFwhdWIO/MpF5SF42zvGG/yCb3au7R2rY5ffo236KeMlf1ROsk
phOdI+I+q+0ix78BZjrJItbDHOQN7HbD+J4GE9JD7e+8qduZUXupTRZmYZAenc3jjTGm4I4aTmrZ
D0O55lVe0jFzB8zARY5eNAnID+x1Q+ZgiXXDbObX1rTv67TZlx0OWsEBt25+Y9q4D0varNTcCXrS
aHnSuieGodDIWfotllA8U6n45UwY1ibPeKtRxHMEdLOzZXIo7jkoHpAtjMBE8p7ipmVTP2CZvJ/z
hthA7wpRCf6DMLqpF6SYVdEBM4eD05f3dkepnbIAaIf2chghhwyZuGC34Z4yIaIeXPoMg0gOQMc8
ABKg2+ds/m4U5Y3I1X0ZU5ivKv5m1H93cVZeiSDfOSXh1l5z58jwwiBLXbbJcwOSYcBKlBG1hjRA
f5NUw2qO7M1gAPyKuCcrBzJw6rpYzXDek+23RDVYMN/slvceV9ABJrPczykidMMrkOXb15GZPeig
eteo5AfPxBRh46kDw+UC8CJOy7XJDk4jLhlW+hMM8WpOfquGT2qoCwBl9+OQv1M9uCUIYhenbM59
/AMmkr3pPAe5GWA/ekiUttlPNI2KKJX7mM37bNDvDpBmCamgxqTlyfKn61ivXTJfUIm8k2O5Ddrw
sVTzRouRRFWDelfQK+xpwUWSmpyIDJzqIKoIEzn34/ZRVs2DLbObqgBCyWkVVQqhxSjH4pkodkwB
I3oPzfaZCOct7oNVlcqHuEb5PHFSmMBCxcmAsg5l6miRnafIPrSwiCpRPYpIP6UCOrUq9aNj2k9E
PPwaKHWMjYKcCi3CC/dAPK7cqYdjprqLWpr7kR9/kGZXQVlf05paKxOfq2ccBl+dKwv3udnu/Aju
Xcz6zcEaSyrXaNd5TR1gJ+1EOBqLfOlnFKAlRm40d5YbQcSLsU3bEBD9kjx2w98lRXgpzORmEtZL
khMP11gb4g8gUi04RDCutkcV2EVmUPb1QXcYVcEHRla8GrwbCx7iSP1HiiWIwazvOl1s2fI34eju
a/tikNICNJI6164FsS0Pb4mOns57sqravNuIMSVTi6omylRrQoMmUeAOY02mxBRvJlsSQNOsx7S6
shPa3jwmCa3hbZfCsvRtc435MyHCC8alGLk5BAMI7blbsF2EoGXUmOcBDExlUvjkvDIhOJ8K49FG
4TNZ8VXdgC3OA8QWBmfBkmxkyQ1wJSbofYkxX/S1dS/jeZ9bJO9MFmqbJqmJyZQ/+k4d2rp7HC0Q
rE1ufhON/aoy7oHVAgkfUJa6BZ4v3SQsqSWK7zEqdk0+b+qChq2Isp2PmXDMAmcz1O68ysLwqVUC
xxvLvIDT4I9P8ZQ+2Q15IvTqWYSUsdBmWKWaotvL0H4bYu5kIH9vIk7lG2vQm5mFyDUcTgEQnahL
FOsCf8FZYyXfi8D98VeVX8yvkU1mbDAbvwPtPpambtaFgbWUGMy9SsdLYvquk2h+V6aPyGVWTyrD
q97W4QX5qtsRMik7HyaoEcpZEXovnZreyjm4o8a3TUmNrIZuF3JXQ1jZPUA68sGY+qsuz0dY9DCP
TEzLhV3eO272ZGS9hRqxf6Oam+2WpPm+HkxUV8M+qFlMB7XcrWOkHe1ITQtyMZ0XSrlZkmFSNEs0
cwu9Lp/PS+GvW2d4LLIY83gMK6Jv6Ts5OYbCMLPvORMvOXPlQ+ZK+rbImRr7MhrUSz9hcfSTZFii
1VjbWuuhblo+YAhLrAzyazdRBycd5DkHCqI6xoFmxYRPBrSmadKh9XpuEfFigq1s6z7UeX01KCDj
jPxjsOntVsp9dnv6k9bA+bXlpn9m6OI5g0GhB4gCzchLMA2j3liks+okJQx5aH8aGXbsAQcMgB5A
NqqrvqMSeYzMyVkZ1QjFUdwb/fCWxyUaMIv7thOEu2BIKCbll3WI7CJC5T6TUZjddH71w3E4wiQC
57cuhuvGkt+YqN855TY0firQSPxpXCn4rKOacCBIIINlRPUPEsJj5HTeQSKFxz+VGmz/KTg0L/ZR
lUVAnUTqQXDuzN4cbjIr5Ow++iG9Q8roUQYuJc+3OdXeKEp+96DmDPK8sq4ji4HcIECZZkmDyYP4
rMjivg6KZ5If11Lpi6b/XlO98CncYqeNfM5/8RsQe7pNMU3KNxAzdwG53Drn/jqz9Brc3ruuoYmT
M02CYJOXWJjT4trspnePBLTEKwHMd/TpbrRlHsZm2JhdcWPEuFfQHwV8MP6dB920t2YlzyDll810
3vTW3TT1l643QJl+h5y1MhfpBk3sWXjvTpBdER+8LTHF92QLDAhvV5K0iYsmtLJthZaO1NH2e91U
vzgU4/CzyWTp8ZOtuwhWZRM2+cVYubRHATIp3VWXI27O295CYOI04MmoKSGAAC5el+504bVpfF+5
VYmBuECTlZJfGtwmM3hccP5tSbWWUAKX8NhugXeMLDAtrhWXC2do6nsz9/EAF+J3NtPzSmB71JBR
gFzhOZrubSRnKLVorfJKr0ZuM+pQLpL7N1YfM9tmAGfqV3dYddWhnQ9Wu8hPuETIXUzweYJK6Rys
Xh9vvdRYQzI9j/sHkP4hnXRBN6V6mr29bF5tta8KYheyYq3qfOUX70UAf9TYCADaI0lQXrADNrmy
kmztN/AB9Arh8IAVmISfzrtVNLlQKTRvuDLpldD1OSuHZ0ypFCCjdgMfreyuQVrZBYj33Uw7bonO
WNj/zCEErzuBR4DWaZg/2BMNVFSqS0rCIeu3XNrx/CaoQvLgJYCG7bvose/HZq06OGiwe2ZAC/B8
ihTPLDLO6MCBMeW+b8vrqXyP8FaFvua6+dsAPkmgAOWgXwFeor7PzmP0da4d3VDa5CfLrZ/V1KPP
p5m+dhCfxzVtcoNtouW3a7SHFNmfi+MwYswImwBIFNRsFH3Bbr739LZIJ2yv7BpacbGvNO8D+vRb
aF+0xgudeiLBDP/SvsM4uqJ7Tf2d7FVa9+fC22YQT50QKjCmwGBfgDSHgRO9TK67G2uEaGfijc9j
VQQgq3WB4JIrHFr4y5HKuMMmSouPm1YR3SzN/6p6LkkOCOlM02UsiOwtOB8SlgHonV7bPs3XkYM6
ifMKF2/cLWw6/VJ4Ps9R+ZrZM0xni98CkWWq/haGF0zjrt1SOSH5TPYXY79B83NW00ELzwzOSnn5
a3m3zWWZX0lrgWkV5bc83tvtbQMlpMO+EVHhOq9G2iPluZdf9+ltaI3naLCsXzUFXdAHwr4h5MLs
vo8zmo9DM9wl9sYRWxmYJJRtuWScWT89LvEuRWHL2xX1pkfHEy9dHiTKycHL7/G5aYCCXGlDuK85
gRcN//RLgp6hjS6WPj3mVeSzuXyu2vup+lUmmEnGXyWpB4qLhabeQ7RYzSdMyn0bH7iZ1dgSfI3w
AJQ+6Ms8P3Oov3DfQXaSXcbTcG/BYSwi48LlUoBDhm0Qc8Kl4i+aH6r0MtdISbkyAA+qeA74BB5+
YfcFM/3s3NcKxsFzgw3SWJd6b3T7uv3RpTdzcz/bl9g/kIfyqwg4vd0DeyJOIaPmZlQra2IN9mGP
zjAT00dBAAWoDxqIVI8w/njALd4xNzThMyfipQ4+7wZnHQWrsUDwvZvb7RhwkulRZ58NpXmGSYVb
Knr37SLMouuRuuwNzL48oq6MfFGsREMt/x4GhA29vH/34wfXu8wsgV/R2eULMsPJccF0a0Xnsjn0
8TcjTbfzAuW3ujOCOtDKiOYvW+sSy8vtOzOuSzhQlb6ul+lHPcVdWcVv27yLintz/IZHMsOxihIB
GNuWRZ2QjyR8T6pdZT9RF5QsJKPDXAIRkNzyn1auh/+lQOjIBQ5rR3JtRhBi66vMJ399ZdJWKrkp
u73a6AY1ytpCYWq8y95/yMS2k/wDWPwmB8A1pw5cdzSezqLpMNGU4hq2bkJEdD249PIBv+2qMnFg
ODSRIrKmPDIct3L8BolkAzDgXOF+CyQHGJe75G0t74poHehtDIRhFnf2uO+pesxLUlvz5KOSbeea
/XPnGkvT4xsbb5i8h2pTjfAFy+fGeS4QeBmPWbLQJPA4nGeqPKsCl2vwd2hoUb+JAX+67aXLHrMQ
zYiVRe9g7yB8kF8jjLWADyaARHB3nCIwK/D51a4tDpF4iagnCNgySXqgLYbC5MKYYZmaNx0b8tiR
dOWs+vYHuFCnvRzDaxrYSYFKad0NCOAjmjPnLTM0uwvRXbM9Cv2zHq/C6Wdjv4NMrdDmFlRakvEq
Le6HQaCs3cWLE3a8qCZge+Fh7Oq7oLwqh/mcRLdtEgPTh8XoX7fRSxD+1HgaxvhbwM+KZasHNmGW
V53YAhvowyf0PM5NLG9JudE8ORAgXWws/IUB76e2X2zrt8lJZl5p+5UrrAM1W1ya4w1kSTQH2biZ
UjwytwOKwIHliJ8Y0ZZT8iICyoUkv423Xs6ZljeS7CuuVaSKpA0Em5d62TCo/FIbPUuY34W/4Yy3
l0QNhbsSic50qIYni3K8/G5g0Ao7cksfIOCf2fUCL0gBNpT6Lmhu82kjObH7gOvgB9uvDfFNNMhr
gdITEbm8wOWS1Vc1CkADACAw0q7dpViTs1mzrF+E1mUrf9TGm2fse+IwYvLtpEPnZW29NThjTNSN
zd6KflpgZLrszmieZ8PG/QS4RrJ54Hah95rzq3AIzgzbfUM+rGHol2QibANYZjzvPBdsNEVajs5h
sLKc57iAQ3BRq2Y92M+pIRCX7XP3tW1uS7JKzNcciY3P9bwmfA1NWk+UzrTwIK5GRJC45XNBgsu9
jJKVDd3S9S8MfrywgriorWw2mLQ7+AJNFMUulpZsI3S9bfJHF+lqH90v0gqmpwhsjAm7hSXVwXGk
DIg9vRyQNON1AHScXVTcyUX4jXi1Ir3wAHLG8X2sn0oLFZf5JPqlZEX1NtRErtyZIB5oo8Mv2NFH
YuF9k2YKTMtGxX9dR49j9urp566mLbSzacopFjI5sO8Ob5JKegZ6H2sHt52SQ+W1m5YIkLoVoXCb
VtXniBFZGaBaTlfd1NONKbdtQjd0Y+pg39jTZqJyy62Uq/5rwTysxx3I9u3cZNshPzgO5mH7oHK5
awwg4PaudRDuAJuPd473uvD2Y+h16Mdq79VKojXyxfMGNSxu3JkwRVXQs+x+WOogscAgT6fghGoe
iy/7Hw6pGugBGLROPRjBeytwbGHE1BEEjhEHcA2gEOf1IoZyh2cPjtMQejtRVPeFFb75JOaoSjB5
FqMZ2iZ0BBaScaUIQaIX7BcF/nhx1nT6mi4n8RbjhVEZD21PoVzj5kgXv0bkRnu4F9uQ5DkrQlkM
JAUi7zcUu1z9MvigZg7etvAla7dcSXobJjHwIVtPOqTr2l1MaURfja5ZXhd1IaBT+uhZdPKIPgQQ
LzCozBTnkad37SIvysPwAc0yfVO0HnaEA1Z72wlOA77z5tKUQOnGhXtg0DA+r3x7K31vmyqfQDM/
/hV6FAALJpBq02DfyepxqpC6aarCt51s/L0I4QJPgSbQvhyzlRF15UvcVhi2JujsiFsnzlq6i76P
+q8KCPSRatJXg/b2o10u/MMZg7XkF2A7/KJL8iMaOYfQ4Du5D3Lj1vOCZOdnXXXReYjWpiZHSCrN
66JyX5RljSCLmHJDVlJiC1yLVRx+OcSB5qD4c8+SwX0hKpkmozc4G3eU/jMyBxoLdgtCdaQnCwGR
+o13MWdQ/dFJcp6bx4M2MOxkpe0tb/N2KJzu0jSC6txziJ/yBmz0rrAOFHm5T83XKV4HbdecNobp
MuKgl2YCs4y6sTWFxJCj1bmo8VPTWNyVWInb2Hy3bVyUHfsHwgFuqOW5WQt3lVU0agq6H5nDT1ZE
3UAhH7oIHLfRJTwFzEBSTBe5AtM5yR/KQKcOLJNttsUr3lT2dhTS3tVBvRujJZoovpDSA0SkR6wV
Ds9TZf1htJOXiOIJXl+1n7nsTAj0J6uih4czbFqoh2y1DR3yQgGerLslyyChSVVCaTRdlxwLcgkw
SClMKxPQeD+Mf6PGJRWYFNdO3guSOI0YEnPUgjDLSVmbEJTLjuJJ8S1y1H2P9i/EgrBq+n7blt6v
fE5+BBX9Ef42Ojoj9JPGeB9D7H0OTYK8Nd/bdrGHGz9FHPwKbeOpkOBQNEd727hOyf3q0Ao0ogZ4
V1zHTrRvQ764kR0yFYLWCEmjZI2b7X3LwT511DPiHaSPOr+mvyXosOPoabM9jsNN73EtV8EuBg8c
xfipSWZz3AZTZ3Nhe83WNs3nbEArifwH8Vm0imvAji0GitnFW+LmBy7HEOHc+C6rSTBP2seo4b7U
aBgrEAeNhguMeEt9owWNYuFGb33PJjHYjdWkicqiU1T/9jtq5PezpHZPmycOWMqC1sT6C//RliGY
ceJnudY7rYwG9opa/Zwyq572iTQT59WVg99eKSvyzIegzARoGlV1wJOteMK/n+fYGVyIewNCNNwp
YXFVzPbsMqlDzJWO45KkGDvgTFiNRjzvxtDBX0vyBOtMEE+w0YSBLXNJsSWNxhASUidlfAWktnNz
u1lxR+uj9TAkmGtiwfFiPTVtNnDImJofTboIkuJGab0LU3DAzBe6RltIHmKAGqSIHtFRWmJ9n8Wi
DYhdDIiyyUS2S/t4gr0lfByKloy9+Zp1226JMvMJYhyisZKPBWNzk4SBFXNEpg8/G+8lhjpCfcZ4
4PeSspPxKn0xWvLejGSIW6xPuM1oGufFtbJ6WwOjLVqBVkA5gAxRB3M69qizhW7u8xs1bagV29QK
Hee6V1wxOF3MGV3Zc0frqvrpWWjDERMXVXSZ+Tqcd2jx5vxtcoTDDZ2y+ZjcQfwlfdOIJgmyL5rc
wbrN4pReHZpnv+OwhMy8RaVF9364DH0XGQclQC+sbrjp91BURWFOTNvEN+tL5aaxRjveJqkNDTmO
lIkRwTRkeag6zlWvyqXguQ2adspu4a5yn2pkOtuHPLPmCHbdbFEvaxqUSy8qFcqAKTxEiRBnRU87
93JIsj5PV83UFtMztcuMiKlhIMEM4jK/xEjawrjKFBraX5Smue6ghrHL88YNSPoYQu1c5PyjsL1b
1vXoR1NMttdDfExc7sceeiUoQCk07PncxqEfviLY7vKrtDNttjKYvHgfMkNxJ1Sa3vl7mNMQucMN
brVveW/p+9HH+lZu3Aa5nMkMRvpmBsjUyilwBNfH0OSzOSaN2/u89r32p+O1Rf6tq4tA3VhGMTWb
oBg6+r22YO7KwXMkSsq6FHelCYkTwIcdD3obVe1A/rXR5KAvK9oQ5D1MmSNw01Syu+hdjGEDFzPB
j4ksKxl4gnsltEtd8a4Ats/4mWXkldFr5xYLD9XutC9/541lhjd5IDoNQspI4/6qiND9UE+uFj1y
6RUjcR6VG8bs4HSzcv970Iwt8p6JD1jcC+n1rJ3g2koaXAlaDCJdB58rJGfzzmBDFr5XUhHhZ2G/
1FWJVnNsAuepkVnesU9kKfVC7gedn8RTuRkHf+o8BJKq5xq9+sd//c//879+jP8d/Cpui3QKivy/
8i67RfbWNv/7H+4//qv8f//t/if/SeG0Ni3XVRpht1TCs/nff7zfR3nA/9n6H50f2aLr0J/72daC
VFYVTw1Mtyg1rj4fSJ4YyLYtJYQrtda29+dA6RDNaRCCES2GUm04IQ/nU9lBIGrcy/9sJPXnSKHE
PG2P7Ct++9e1qVAIIkDbicT0zz8fyjr9VMrltGV6rnv8+lQkowlhLvGt+qy+Kg54S1bRr2BLPOSW
7Opdf2fu1PrzQU99MtvVrqVsT1haLX/Th08WRJEa7RpRUNMZh6hV26ynXTvFPzmi3X4+1PKqjmeH
YzmCvroteED951CccouE8j71jUkelEslj/If6h4fT0PSxRdVXXDzGXafj3riAS0HA45lSmEL+/gB
E4QyKIpon0+Rc947V1jRKPU65+xrZ5+P5Pzr81mO5Ult2lo4Qhy/SiOrc8ukrG1WP+lGYhqPvhjB
sk4NISxcvrbrCqmPfmCTzCzPChgCk9zGU2do/a+mDUcFcW6s4i/m44npaEnHEko60pTO8XS0oyk3
R0Fb1I/AD9m2pKQSwcc306T8YhYun/5oajCUwwxkp7SVszz3h1nYtLknohBhIUzinZzNH6ZY6mz2
ThsZJH2O3AKzX2M6X6wjpyaHpK3u0lTRnm0dvU9tSz8vAvgro3CeZVvQjZnWk+jvyWk9fD47Tsx+
6+NQy+z58IhVzyFkbhmqF7eCtMhSaOIoH+YuvXYSwqHU3efjnXo013ZM6XoOvzrz6Ndm1k7o+Xha
iepCext2zvAwx7bLMbijSICCafM3xpOO6wmp6OdZR0uyikqNhJUwUlo3ZwbqWINzbzVWe4+G1+dD
nZqYnqldR1mukszNP1/laKc8xCJDzQYStxqijnzSxea++/35OMuffDQrkca6pitdZXO6OBrHbgcP
KDyPVBrcVPXCqjVjujtx1j7pku6yls74xWs8sYgIhrI9xnUkTIo/n01FfjPOsHzPaMTWBUvlqK9Q
Mmj3i3d4YnowDpUvJDDK/pcd1FDs35Fd84ub2naTufm0NYE9x4tLrnDg1H3+Kk98MsE9UivNr1x6
3tHsEPyG697uoGhAAVoTPxTfWb6Kqc/48Rdv8OSTIRsS0mE5sZyjr6bbRFdK4wFZSvFyyThtz9P5
MUOD+/kznfxUnidYOKiyUxb681OhxENH5/CpKrpptQsQ07n5fIRTExDLihCWZduudbzc265wJEBJ
5LeZdTWHKaqOMChnuNPUD7G65VcFGSNfPNap92fh4DYx1DksiUefKsuwXjcxLVIHMqZJV8ugBtBG
HEAAh33+fCeHUrai8iWVKdTRZJeW1qMO0Eep/NAD1a8StQ/7G4d8ic8HOvWpLM1eZjqelkz3Pz+V
yC0vwS+NOb0PnjqUJhzbLz4fwhInVouPYyx/w4cF3i5cQdHK5GgN/kkrcRcOvQtS1730FkgJEcY6
mb/PVeWvZUFzHzhzRYns87/i5Bv98KBHk99VVLiycPkjEoJLfbmNku9j7VMWS9afj3TqF/3xcZe/
5MPjJuHUhTV0wTNu8NwmQJPMLwJ01eejnH4ej4XQkTZqyqPfWM85MvZNNJ0xdLgYsQ431JWCypx9
tdj/tUEdr/YcAv7/UMv3/fBAs6yzIQ+YI0U9BRdQtOb96OU4l0dCmFG16LVMm2ZLEkmNAdnBJ2/6
yb0lTVDUsw6gJ7sOZyXJVjH3Jb6XCS26i+N18/krOf3i//l3Hs1le+a0jjB1ObNcJUKtKiPdZOPv
zwc5/YP55yBHk3mc49BGH8YiEFwLlBkxVf7PRzixtrnKszVbuCOFe3w+wfoNUsNlmcntAm3RPI7m
t8FSzpOpRjRzY1BgNc/qMDS/mFIn3p+rlOkp5Wmh7eP9wZ9bv+Z4xyGli16ioUpWvcp3YYOa//Mn
/Gqgo19IR5sCOyUD9ZOLsKjBuoYBmXbpfzbM0XrtN33SuBHD8JLRAbxPdKUQuP+NQTS/QcG7E+r4
dMepbza7nK81iPIxUvbPwERG6OHV+c/GObpuW4ZROmNok/ZFAzP1HosC653+4tR/8sN8eJijbYfS
UdWGy9TDK9O44S6vypXuv7o+nZrgOCAUumVTM9WOlq5QRmXNF+c6aF6ni/82/D27j7hgt/Xw+Plb
O/Fr5QTyz6HEn0sXR/0kSlDB0meu13FzG8fRF7/WkyNY0nJw4Vi2eXy3zetZQ6PglUlNwZl3Jjv7
+W88xIchjn4uBS2sXFvLp++9n3MT7lQHpP3zMU59ec2qww1dWcqTR2sn7iG/rJDy4ZguXo0of6vo
V1q180XR6MTb8kzoJ+DpOB/+SyVAygRrVML3GFWY7yyYwrheAWZ//jDLCznasBjF01RtBKEBx3tj
pt0kDx1GoY1L5mR0DjS5PWMfI5EP+ezng524vhJTg9KPG7rNCero62BPsGM3wABtI3rf1tkYHiof
R7pfapvAcfgvgDu8nd98eQT4auSj9a0vIt0BP6zYZNP2KUxDcd1LKtSej2wC4NywCTqsew2why+e
+cRnVFgGtFTSNbELHI2cQWxo87/Q60P7HMfzpm3KL77hiQm5TEN7WY1srY+vspR1m1BZdOPtBgdw
nIApm/rmPYdltPr8A55YjrRlmZ4tFT9g6/gGZmBFxzVA9ELfWFDey9m5zUZwyoDcx8vKayx6aCFd
6s9HPfF8jEpVzKKNshSS/lyZ8gyxeJGaYILHAkDDk1aEzMOv+HyUEx9KW4KbpebWwiQ9WmobyeHB
TBjFhXSpUBX5EKU+H+LEj00LCEhUt+ENYv3+80FG4GiNFBxE+4UPYsjCRJ8O5RjwFLU3Q/z78+KP
4ZYn/nAYjWJLqT7ikNcTdQ93Gs9phC1k9zceitdmL0chV4qjjXCmaIqigVG4BbaYzIj2zN0XTrDr
ZFDPn49lnXqD/GJYd1m0vH+pbODa6XVQcERu1hYYEORH5+57unFXWHXO52f8KATuqeY8WH11iTg1
PT6M7Jl/vkyndRsDQRjLMS7uwVRn1mBtP3+6U/P84xBHM7B3he6tfBmiQo7TAKb0a3TKwRcf7Ksn
OdrobYrZ4DDYI0U2/0x8xoun/t/fI6l7OnRxtJSOfbwk9bIzBiNgWymT/GBYt7WerzDlfbG2nnxh
H0ZZZsuHCd4NeVtPJaMEo4ec+rmZ8nUa/P78q5x8XR8GOVrA88bnUpcyiAXHCjBPfCWS7t/f6/94
Xcv29eFBEqtrinD5EjBmF+REfRW108PfeA62CVN6mtuSdbT4eIPNUXLp8Uf1b+W/98X9f/bvH602
kEuiDKkV+cV296RbcusWtevnY5zYxqky/vMZjnaCZKpYGXyeAXoyySKtdWNCgJwsoHc2gXjsfcCz
UVJ/PuqpaeZqNiCOLJZDne7Pr2O1rob1z6g+5hIrIVjDxH7RfjXMqYn2YZjjFUb5bZ05JS+wmN4t
kphM/4tZ9sVzeEfrixEOmeHS9cfJCSrKuZTAqfrq/fOX9dVTHK0uRYTrxFxuxrV6r7xwxYH8i0lw
chOgv6mYw+w33vGRittD7pbL4kL13L8z1+Yv3Ep0l4xzpLsL2uBsuoKNfQ6cxdSrzx/v1AmI/rQn
6BwL/S/9LNFjokujpTuxpEhGEJvr74qw8Dl4jOIvKrenXqVHuZGRbMeh4P3nvAu7ZuySMcDdyEmc
tiC+8OyLxzk1JWi2sJXyNIpa/p9DdNVUxkao2Qvq8rKZzY0/gd3vuy9OIqe27Q/DyOPN05oRjWYM
E4T+HnMnr4vMhmzaG0n0NyY5jBCL/DiXEsPxccSbte84FR9I1d5jY+eksgL07f9G+0h/GMY+eqKu
de12ihkmaqM1KpON5ev12JlfHAn+WpWP7md/jHP0m22NbhLFMt/CZl39rq8QL50Tn3Ley0u9LVY4
278Y8eSkw30muakJOiBHAwY53g0sjMiXjcd6WGyI2frzn9Ayp/7lkT6McLRCxHPp6rJjBE9mT2OX
XYM+eukqolL+L3tnkh25tWzZqbylPpSoi7Xy/4YDXpHurBkko4PFYESgrmtMJ9s5ij+x3AhJ79NB
TyL1XjfVkkQnzW9l167ZsXNKGo01wXgpusyY+JEXztO5XUjeiRcEx4liy2yze15khlnqw+w2ovdZ
itGF3Eg7IF9QESBx8vkoPxozebuDQKC0qFPdmW2QXB4jXQ9gesOJiV9rBX63MpgIDjkLYQrederV
+9zkx8OMSY0SGbTPIkW5mb/oQK1pxBFQoRrerWkglqCPo5MCKV0w9HGPmCRxqEQbHAGqwjNDquUN
tUuj4Apg6nXvWz8hmdIWbEhLRmYxURaHg5WFbUGor17o8S6gKWUNfdd9g04GdCXoKjq08C0ErmfQ
EdPYeLBTPQVHMK/X6p2QiX5DgxA3scGrgkYHZSUkrnijIop1p5VS/S3LpTCEBgyeHNrw0gg2K5g3
VoFmhUv533PbiBIW2RKADfqHQiRgLi/yUqY6U6w9smcrif6uzhehmFkCXp2b8Pempq/yLgj1xzxW
2xhTHXKBgCWUJ9jmFryL9PHws29knXSWKlOsm9c7tZK2Uug0IEDchjdqv1Kh04Jr1UM5NbIOyVZ1
eluykWNur7vxUGn1qkNqHp7GhXU+d1YmVAO5KBFHN9/CwNmMyoDBlTZvUwZIXDR2n3sHYTEsPmto
qoNORxJc2/Tzd7OK/sVYAc8jOnFdyMxA568ipM9XVGvThTFNx+7UsTK31EFJGmLpAzYK/KamJp3G
sey0C2JifVX78U1YeXfAYpAYjxfi4o/R+GQPnAH+DTIFZXZCTeCIQlDArVSPrnhpTp0UbnllCjQ2
4aKa675CcTFRjHj9uZ87P87/tjvz4w09hwGrhmcIatq9il6koAa2YvDqrUjLd+WEfQ2J7r9g1VLB
HphkiOT5xTgOkoA+LXB4wbO+tpFxXaIBOBCBOE0WXAGi2X1u70wtGGgKThYc34Q9m8dm9H0IYWbU
sGlEhnwFksqjSazwL6COgHox97N1p8XBVyVpB3squdiAwYlHe6NC8qtOFyb93D5+923mIVwyKhEk
pHwbMdqF1gucDnBrL0zxmWjnZMjzHJxUV7A7ShU7ipbNVQOdtK2JK5CpsuT4EAnaET10a+LIhame
gpr5yXk/OPn0kCLAp4W+gV0o/N7UNQTiz+WX2o42EDMuLOs5L/ve1OwZDibN8yUdU1IO7XKFLkpK
WWxhQOduDbJFE95oyrPLs/FoQkWyCjQ+BLB6QIvr2Nphg/pYXN15ZbRUhT27NYCWGDDFKACdZn4g
Gdsk9yZfqpcmMoRCcdn5sMkDWJf+BQ+Hu/mnpdnJL2mLL4OCHG1sRZ0jukW8rguxdwQ4n8JefvAa
vXA+3xtn14tSxQQvoT42L1pRyBo9qHhIrmfMZzeYx2IcXz63cXYCCTkmZAm4xfmbpRTj1G/KqSm5
mYDr8asIGVia1Qvx74ehcOlSeJk8tgpUd57HMBqvIVlPEqt0VcFbN7Ee3jVx2sYLl/xZO4oI7wdo
HI379fQ0ESEZIMyhtQV95sJdoSDZSNd63hTHz+dNmoLok3PLiAyiI/yjRUp4XlH2vEwy9Y40QCi6
1aYashKu2jZ6y3QlvIx02kEbLaBpeBigUtbpju9SWiAXvsQH5zF9CVmeYmFAfh/AwchghcCCmdZC
Qp64SZEpDMqUpvuxV3dUfqZW6Va13UqCH2qciPf0VoNvS5CXjsf5+ZhqF6hdi+CwZydREiW5MtME
daxaVyCLHwVUS3xEaGtfWWctGixwtMAGibTOTiP+/ZLAhbyw+h82s6wR5ShUNya0GcHI6erHrRIA
KiMKqVq6xCWzu6i0dK9q5hLGbBrMbPFPDM2cXBdZVSxbGAJB4NlqqlwVUGXpekePVICETWA+aAa0
Mp8v9/nhsd6MT/tYgXBzlbZQXSlWchshixDyuNJjb2KrMYL1v2VqnhBMfcELYxVTJcQwedJs6b++
QMhnwcN9vHV/rdg/hzTPCxZ509BfRTzlIgCoFX14qGC0uysvm3zoUOZ2uPpl24jkcp2zaQGxiqgo
+kMCr3DhPfwLg4Yyja1qKh8rB2MNAZBnEFQKrfjYab2tddF6aJTbz82c8VE0R/B0Bc5PRXMezblq
b/RKYsKyIqEA2b2OwRKk5rwFlefxhJH9gJ1G+lXJo1aHswSxtlgiaBnD+sfnozh34KdiIpVRCVUN
oBWnhw3HIlRGPhmBEwORYaW7i9L2UQ1H/w7koHnj0eSE/Co6fbfky6BhkPq6zRdimg+PumkDUVQg
qqd7xzJnDn/oqxYaSK7lstS9bSFtE+FLdJmyo8rGyq+82hpW0GMKXz8f/dmj+M7s9E5497TKlYxe
NhGzGejBfGr6h3NxYqz83Iw0OZIPjuadnZlXVWuXbtypEdYUc8LQFF6K8ahl1lXsRmuY8+BliZEM
7uVN52qO1Ij7OC8X0prnppi8MwgNKmpTUHc6VjWN0rDWiEAq6QHGrOKSOAiaTf6BpyuFZMmEvEP2
4R0BQb/UWfEhnGR9DRFwgYz56a47NS4nXtxWNcs5JtJTrUgqejnpXYPqpG316RL89NzBIVlMgp+3
rAq87tRaIrtDlUwetiiTg2XW92OeLFUOP7ZJTUNSUB+lh+jMs9xNzHEI6MuD9rIM6QjXtfw4SCI0
FWqUHTrQMK86vcvPgp/1R4i5xDt1qPLrRoeeJQrpKzdcbne5SaxjEVvp3edb7tzOfv/tZgcq6dTM
rwO+3dBBH9PXICjLR9+zFuKns+v6bhJmB0jzNNpkTHxtN7EBkYYlL685QBqB6PW98y+MSScoxBsC
AJujOHyUBYJmwOM2ogGlX7kOoDIAR/WvmDHIgepsVAWk0Wz3ZJZYgNTGsUM+lA79JoV3NDT+Nm5q
2j/vzEwr+N73dEE6IggEEiaaMtkdGlEDyDNwZ9mPXlCW0lVnzwRpAA2Aii6L87SZIUm6XA9WsQoi
/0psh3UcBv6Cnzu7G4DATDfi9GicBW5FiC5NIfglYOxQ2mq5f0937yGKiaWaIJUX1um8NSghpkeC
/AG2H4ShXAiqwIiQAVr5kv8ktNGXUNG+1n//DUeFC0yPbE3PBBLks5H5xVgk1hiis9FC8GSgZFFL
TbH+fH+fWSLiCXwJBTvgdPOqpAT5J9g2Xj1mPzYXUQ3NFpQq+QLsdMnK7C4KaX1xkzRmkfrqZsx6
nFH49wcCbIOAgqKgyVt75hXCJkGa3TfL1QCvie56lB6NhXf8mVGwFhRGFPy7+gHR5eapMHadO5Ej
vynGgysvVSjOOFAMAIabSEdkEJ+nx1MQu0b0S8aQhndxBLGbC2ea4C/s4Y/D0KkzkmQh2wqkdX4p
EwwX3IgRalrBXRG+qVq8cCQ/DoO3nKhzOpgtEo+zi3cAQQ/d6oByZGAoV40gqI46iOo69Pp68/n2
PWOKtyu5d4PUpkZi/HTGUJ6iqKRQ0EB5xtKuNah6ZejHPzfy8dDD4jw5F43uXZl0yqmRRgwqsTYs
dm+pjHACETVnoI9KBCJCLaWZpR99/+9mqWVsTg6AtyDtBta0iO88tZCEY5abbAUf7pqVVSpIQUhm
tKJpaCtJVTRdEnfjIqL+zN7QNR4xFvQpgFLmQ0VwWso9lS3etHH4HPvU1tPGtxZW7ZwVnVomSSM2
4Ifbrqc9TTc9rAx9fuMG0QPEpUsPmem8n4a/U3Cv0UwOnAt3MPMHUehBaayHyH8hbeXHKG9Zz1aa
HMbhZRS+f75BztjCU5vgkxjTxxaBXA5RPpWSiS80aQ4aUuvwoWTIL5E9QY6M8mkUhLXzudEzk4jn
5mZQTPYJDul0h8hpUwllCauYEHeQQimjBEpSS/afW5k9I0wFkgFcHueYZy0t0fN5ROOp4H7gnZkZ
zb424J7xyU6gLXALWH0VwvLbQ2oYDOO+FMSNiXzPn8i//3HCrVD94lp4y/KhDJC8mf3nfx6DtzKr
sp/1/5x+7Z8fO/2l/7zOf6T3dfnjR318zeefPPlF/v6f9p3X+vXkP9YpjPzDbfOjHO5+VE1c/8UC
MX3y//WH//jx6688DPmP//jtFa301Amqugze6t/+/NFEG0FX14Sm/SfPxGThzx9fvSb85k3w2vzX
/z7zKz9eq/o/fhNU8XeFcI7HOlmHqdSK6+p+/PEj/XdRpkxIOGlihnP22z/SrKx9fk3+ncZoMqkW
6VRq/PTB/vYPSLB//UwSf+eviRr/E6+DC9B++2sCbv44X3+szXlajNkmVUFAg9CXudBkUsSgW043
qaI2oRb26ARlCF/rHTzj6bd3E/KnxffEG7Mnpk5V1qKniWymiC3emqcWwkrRC1/3Ikqz3q7Z1jtl
K2zDi2q3YOZXIPnOocwNybNboMpRbdVTFZ6vTA7SfZ6ayYMUDBmcYO4QX3iaBMQ26jX1UW0rE8q/
Tr4GHDk9ftXCfAhQwH4QBld/rBW1kla1DI14pOZpYWd1r0L96umo1aSBBXd6lAb1rkZeHLfVdL21
MnS/faE5tH/oBalGeRoRkm9+KlW17SEFzdO274WDJyUwEUdq4yKZ1gn9tzqluEYNN4ElZARfVGwC
ip4GShOB2QKS8YzvZdum1yXstqg7jgmCFo2p+Xc5UksRSj9DjRjOCKkaDNCJBiVnX2WmYwodzGlh
M2lLqLTg+6sIecbjMHjoLBgwEtMerpjPXRsKTzRb9zeZJCUHglnaAsVQpxxnjUH9mvV+9jUkW3gh
tU2i2IM6WA9Z4SffQznov46ULm0BDWskYZOeJ5hUWsEDLWxpvR0EfziG0iCskwziHwW0PVxjrojE
vSsNkmkjhQWSZMxaZFw6JAa8vRbLYmbXPFIRs0FMAjnC0GizdZir0tc2hDx+VchaEF5xbron6J28
1zSgKOzVKgS9nVTIB6T1usPYufmFWyJSl4HaepMjBERXFvxNXwHpK/YI+80B9vP4TgiL+K4MjG5r
GoigdkV1n1JO3wZlZ150oQuLlRHx4WxUES9za/WprrsSOd7GYN3pzGoyJ4rM8lnpDMUuvUQllSoh
qzogMHihU6LeiU0CwU8yoEqMWkO46bwICrUorfzbVIjQ20JTDqVLuWbrrFtm7oJ3mnkcrbF8jusR
7sC8hpZHHYXLauhkpAWpPlwEZpk86HGqvDRjwN/ziNgfUH8CBJCTkzuQrs/lVQkuM7MHuCG/usZE
4orKYrrydYjhV2g5tzE0o7F2l+koxlEl8r5nEQKJqzoJYHoM0laNN8CNyueyD1zWIg/lx9Qoi9s0
NqV9lZhhs0cdBHkyzS809A6rZhJJVCfgbAjFtm5CC0TTnxy+QkIa79FTQ8WoUpKrclCQiO6K+DGo
kMIRPD3cJookXqptYEEbL1oHUyjztWC1vWrHjWnsoFFv4LzVzeoQ5l4J91o+Qr06ljnKrWkVZ88l
pPZPWhZ0+7isEGdDB/QrKk4+VRpLkVbKMBSaLUhucO/RtYsIlSsbjyWprycrSJoXIbEgORPkjM+a
rurdiJBhXyqmXpiO4AXiNgbDu+kyslVGmGvHPOjyIwqUySPZ2PFqDLRomwZNcGiDCGK5RNEvpLyw
1lWWZHvdirufkVuMN346tjehH31tVPXZgq6ppwEVQWKY3ce9VKS34SgelaQudpEB/S9yVq18Z/YR
YipR47+gXQ7utekVdQ93nQGTliFeowJEm2/QNxB/wbUOp6hiudblxDKGL6Q2KO+0Am0fKPpLLEpG
Q2s3LG4DdF+Drt7yXU3LjgEcfWv9pIJu1EUDIqgUsbxoK2HQndGTxDs/sKAehr+xvE9NpaD3MdEG
GeyAkqJmnoce5MLWoHhO5baUn5tSo6If1OJw1cOEcAUXBjykmie9mIbf3kdVwGEPYN3pV50Ym4/d
hPh39Kjz3lqhrmw3F+NLjRrCi4dQCELgKZSPg1AJb6KR8PdapYMEPlV9BWmXSpLvQhD1uPIB0n2J
ZyC66A11f7tIvfRWQHVF43WuDwjjjqKKmFSAJ4MqXrwVlTi8igQPjRuTOfhRAwbXtkWSq7haWmSv
0R4u72OzreVVJHkhejqJKn6JkAne9dYkHkWAi6BZrY94gbYZpEsYEdvW6Vq/4QFSxcr3CCavQ6HE
pNwCxLIfUiVFLwfE6to39eC51uTwkfXUFNuQevjLg8HfZ31WrkWpg/Ww9LWmhnHZ6x/EMfMueZ/K
O9QJEpizC6t4GrpheJZRYHiEMz84moUlPlSFPO6jNvRQ80p4bcdRLeGOGm/TBXl0lcITfJ+obf/D
GMRcA5fVm9/HvCreBBGy0dTVtY0kycLe6ENvz3qTAnZdvb3SOlXblCB3bnIzBUbX5IK1jwuD60nz
zeIo9bn0JGud9iX1LXQoVECfBczYNKPftqkp0LQO0/82yhT5qeUxd2vkrnAJL2+BKDdYiXE9wgqK
G5hUXPq+ijlDRTcOu7y14mPZxkm4TtMxeUTRbRxsiYAfQn0hgIQb1fAvaTEoU1yfere8a0oFpkmA
2+B6tOtKNV1mJDIdSQogZenQGHpx4Wd586NS6tZpIgbcYUmVHsewwaMleggavIBg7U5E/uoKojwf
4SGShE4Kwz2yeN2v2mdUJN9S1KP3ojrEyB7nimM2UrSpcql8QIFCuom6nB4p4pL41oV77UZR3fRa
qarwgVpq/Q3hGhQq3aHXoKcOqnUwyvWz4vvBQarTyU0jm2Q3odAceWY0+bOYKckR/pfmkp0XwuyM
4CB6MEGMXBvMLBGsy5X8EshR+2x2ikCJyC+VwM4Hd2L2B6a4G/IWzv2hMft75FIQos1QA6y4uJDC
sBs/hdYNyQs4SFPXL99cSYkRJzczCFj0xIXsrS+hfSWhfqUlnV9vkPZBo0cpU2/negoc1ak/BFCl
50p0pVpNk0A4ag6PMlCPAHmNwkMy0jCQTpMaw7op1Sb6GSi9doCQrrxstY4k5CCGxbWZjVplm3le
P9ctFGS4tonczm36+MkQE9BZfmnkm04Nki2aLvAUp70CiUae39Rx5eHl9VDHL0fGpafmOUWUEvZs
Ax2Vh2wwGnjvcy3+JiVtvB5iPYe7T4REMRk16yeT3sBiP/bHdqA/cCjgC2KOq/FRr8z2jjxp56A2
rv4cWwtahTxVgu3YABojkp6SqEU4qKCN5Sq61ZEDNteu15tEi2omm5R2ZY/OH71RfoSp3913jVx8
q8JRuw8SCSp1lG3DZNMyw5Az90O1031Jhfay5uZLLUg1V7rXjZGtojkFY3U1MZ5mMPGsaeeXfvSJ
6qPBkFfW94o6Hroxhed9IfhC0MucWr9XIpAonH9u3hqRx4wgu4EGgRRb7Y9YdekTSVqUkbtSOEZW
ioRmbWr5jyDuqpjLB3TeRlaaGJbKZKgu3FhCIqtIlOhWy6Xqrc7H4XtXDMXNgOhdbpelQagh9LVa
O7HrwrpYNo32mhRFnsFrDBSdAnGuZ/s41EAVaanapkgAuzCcloNRgWke8/FFjQdx50Z9ssstlNDt
ERntazHz6kNvht63CPZKlMsjC99TquEb7If1ExkStUXHxSx/ogMqPGRazP7XMjVv7U5AKxwW3QKp
kWq4FLl3m5XBZx/NMmC/FrKSF+gS5MGNVVsoslGeMh1VFsaHhoCBR3ZiiSEKjIN3O9Q6efqAS/dB
6gwcx+D1mULupIGdoh2C6ovbhMSggtlOzLdBhoo9BSCoqQ353lN9a+tGGUrcfohCw8pX6v4Vgudc
d/q2E4+e58mEEaK0jaHdnB4gbfAUlx7yV2rth+XaQJGTDklQTAlXKfyPlEKG5pjVkpggYhno2arN
egAF2SCqHt0eCAOvylb0e3ugO5oyrp/3V6NvxE+tHtb3sWVUr5Dy5sfAHSFx9PviNRaT5qGQUhd1
LjP5StCC2CeCibA1+3k5fIH1hwIC7AX3PejYbWoleei0PS3sm3xsZX8dZAkEKQ0h90ocJB9d8EYY
SzB4YvHF7Br+uCKVF90E6eFhA2O6K/Mhs4wC2OnRTLkNmwrxX6Oun3xfqJ5bxIxvzKIVNpFeFC9h
w51dE3jepMBl0JwwAv/WHBMNoVHZKo68rJqrXo4H6Pr9CDoN9Iy16zJWIV2Xu2qfGxDQopta3w6q
CLJU67P+RS8NHsZ+qXfwgutju5a7EdqRSMpRJ6c7Ov4uQQXM09nspGPfRzqdYr3hT5vHKmpn8gBw
1ZKZPCqjXxxltcyhgnUn4m7amwsRaa1G26Vm5L56WgAdrdnJeJIMYnRNUNBq84GMaiutDcR9GyjN
FQ86xL+GQmiQV0liN3DwpOZ1XkiquitE/2dhjOKtEZQZR9xq21uZfOiekoH0rcul/Hskt/mPvumC
66ly/4g6S7sLkA/eGUVQOH2PRibkvdW1IIwmhK55vW3dAnJ/tzIOslsnGwtCuq0f5tE1zYrDpvCK
8bo0c3U7ZqW3LgfOLORjnROEEHz3ec39X3Zyuy5A3GyhR/cvESpwfXYccV0hRfp9WyXqTmEDrlWo
cI9tnok71G7znZLVPnJPrYcHUZXkJsxN1AjcUe3vZSuon8YG96Z7bnErt014FCypvavqDFr4cogN
exw6SthZ46GIUGrSHuE53gv5CJjVFgsdWR6jye4105e3Ji+rA1KnEw92KyEOayCVws2O+F2JgFWd
6ODJ1UJc96UK/DfX4D8eItQmV2rpBQ/GkNIw7GnZLhy77CiNRb/jpaUeKlPNXnOvSy5aMBtbs2xV
xGsrQ1pTuYh3fYzz0V2tfgIrhxRDr6b7licO7pDdcWnJQ/NWGrVyU+ZQZmShKToWmZqvQq4M26yI
5Wt1HOVt6Crtt4aZvpZQCqZjORWb3q5ydhYQt/oKnoB8NwRufqkaQ5/AwZzWnUNYXu40rUT9VERF
PG1y+UbnMQTOt/ch/e+Rsq3ztFmJfWmg2i6VtCm6srptCE0tp+sMVXcyqRUJNbr6oevE4SJn90Uo
wramY4zIyYGFEdd13rm70G07BOCq6onsYjGhSsL2ESbd6OCaer/xRsiodF2KvkdllTqQBBtPceRx
FnrrPh/uanjnAjvJrPSb3CAZvtGDcWwdWuk8f83xTg5tmFJuHoFqoz2mdx5yrwaaRxJU4BQZXenC
j9vuS8XmoTUxzjoRzxIbxxG1pn1U9irCB/BOU9aJSvUiRzjr2FmKTKRqSgdNr4UAsnlSaCv4pmnR
Hnqzl+1CDeIffTWY+QbqS+J9keJ/z+2voIUbjTxiKzXEA6sQRMQXZdYV94pc9t+MwQOmV+Wq+1jz
3jBWtVim8spXEwWViiLTkl0T0IIqqK73qtLWjxwkEiAedxGrjbL7lRaXsJSXwuBf5zzHdjHiRjgE
b5AOZWqaV6LeWtfc4EIA4QoAMlsqYcG2CWaVh3yIyp9dLftPmutF6PWZyACZbizs4AYe3so+QxsA
EQr3XpYqYZPHJJaCtLstEHJznc9TdnO0hE4pkNQn+VFoV8FazpsY4FNO3AKu3BVc0dtyL6/zTXrt
bwK7XYcIva5yOjSWqG9m+XLKdjOjUzHpfeFGHYZAV8lHdnbvoDnn+A4c2ivpQlnnW/3u3xzirMqh
E5qBXmaI7OT9NETFaY7J9s8h4uBoKF0aojarh30Y4izlWkXQM5cmQySdg0Dj3rtM1tIO5KET7seN
k11pG91WEN1obPeWfNeuO6Jwaad7/QIZ752WMPH8u7ZBcIz1QBVw47qJk6+n3sD8CJX8FgFUm/cw
EOmvqpPtoRl7fJQPeT6uIcNeLfMkLO6VGXwHSQW5FkomMvrSrcs9Gpwb6fKPvWIUNvK4TmzHC/Xk
edfWfCLnUElSocQQChNJ7689HmIndMpddkCOZqvdLOyUqXZ8kr6e9iX3Lm8gMOHSHEaNZGIkptE0
wHjVfUHPxUHZcdvajcNZQArebhYy5r8KUJ9YnI9Osty2ljJGVzuto9pYQS/XdbrjuEOJdWfK3Up3
2vV0LihErEp4fNGvtNG1Cu6X8DW/ADSffZkZmGLQfVeKO4Yf7vVtfGNtULvYTcdk1FfyiiTf4jGR
F2bcmJXBjaHM0Ppl/P5h3Hg7aUeNcDNe5rvioG/EnbdpbCRak02wMRzeuF1ll9vu0l3r619L///r
Z79R+ZnKNP/3+tn9f/2v7B83r02cva+h/flrf9XQ1N9pWKIaBoKIYpg6nYw/a2ia8jsFNFAlcLfK
JsU0fvRXDU2yfjdM+ukt2HhFflnBS/5VQ5O130FZ84twPlDAn/r0/kYNbeZuYUS3JtY+cSrVAZkS
Zz4+IWU0keiLNvB8JBZl2ooI90AFuN3bu8k5U0ubE0H+aUqZcA504kJXe3p5iULFe13w0Nbaj2SM
vCMKfyjQrKz1sJE35V3Srrxk49HQhE7IgjecQTk+2J4NM6Ba0gMXEO0mR5qgu9P8p8L4m1COX0aA
aEJmBPUv0N+ZkbHrB3QGmEtVzI5dIl7xuWcFTdioLJZYUWdtHh9sza5J36vSgvq6SF9FfStn8ZE8
24R7RZGy9EfEvpPgNiwnRhA0pxUvffl8Mc9tGwsZaXo8QEFQ6T1dS5fsIGhbzMeS5NTo8o3kUcSK
3v9FwM+8yjvt0AkmAEclmAuaGE9NGVrXmCW4GTsovKc+zl5IE/3hxE4wAO/LvOd2B+0hIFLAIGhw
9p+a8NVMRwyb3dHWz3ryrWueg2ih0ejMhBn09rI9wMFNHECnJpQw8vQckWzbrA3iZfIsPfWSEGIJ
dfX50pyZr3eWmLhTS3oQlErMaSdZojoy2XM9qRZO05xuZNp9xO0WgE9pAg+KszVpvETSGo9eNnHb
rNMHa4PQ1pP3+Jbssxs0oe3oGnXYBZjfuRmc4AQ6ouxgZuctVJUwIuyS+7ItuSGZmYGSDL3QiU2F
qXdao4kX7M37sn8NEreNX8R7Q/4wXcHvgm0DiY+4nXYFKZQrSgQok0GytU2dbBsR2XgXuhN/ETek
eqwf9aOyEFOd2ZPAnf/b+rTM76wPPm9do+eEFbC4Sv1bK70o/rCwV5aMTD9/Z6SPXYo0mY70H0lG
R/SV+0opXixhsXH33KZ8P5qZv4iNXhASgIG2tkK9LF7lm3ZXr/TrSX5D5iFh7f8mPPjD6s2csZRk
kUibAiqJjbsNExIe2d/se/pgYuY2Sl+yPARxZLuqrdtRHLemTBptEuL5/ETPQ/k/DE3kgnBsTu05
s+PWayUEhshe2TT2rUfk4zNpPciwK4CAtEyUmMrx6LbqJhezbZov6W9Mw3gX3X6wPjsH9FKXfchG
RYcHkLVebj1SFiuwGk6bwfgT9AKiH+bD52M+e9ohRFB4TNA+a81C6rgTWyISduZU9hm81O4oYVjZ
TxfZzs8t/eqgfjc+qqeEXzStShIFN+7M2d4sPXKHvRspMCN56IkL3WhMaBDxpUgNFLMVQbgT9DDa
No1YPgsSwmXC0Asbs0cPLMyrSZuvG1FdAhizlygSXpE7Tdeq3lAhpXxi12GCpxjlHGk0WdsFvmfc
qabi3WsGyT4rF+WjShe5thb8SH1Ba624hNU4Rdlc0YfruvI08zqkE2FvOOHhkt7UY08qx0Mur0Bo
SrDCeI1avX4BLMvfiEopkFyD6ECOQ+lQlVTnpQTZCF2M3BtZFSikpi1ZPkXPL8YqkHafz+bsoP+a
TBSKgEmrgG90fbZZwrCKEJhkMiuTckD+vdAWDMxb8z5YmDlGdZBlFHNjKiwOmne3AW8f00FRcFiJ
pF0EZ8mRLBqcOUnEHBLFbRiSdp3uzYtk591GNrKWLm+7yPEWY9WlKZztRyIFIdN17CV1ZiNfZ8vV
QufUr4BmvuVNQpGpm5Cmwnl7I0KqZZMD9LARnHb6Q74pD9aq2/a7fF0ccNLIIoW70rZeliZzduH8
sXjvDM88Gciu3EdJEsP5F8l9qGBdM5f0kM7O3zsbsy2oAkqi6QEbdRbarXVvdQux3NwffxjFbAsK
rlz1IJTwGBfBTvuW2HDDXKEW5Fg3i7mFydGdLhVLNCUYeTzSgaLMRuNldVMOAGbs+OBu0RnbBQfE
o1f0Ui/yec7zVIzr1NZsXGE7yBG9vMyc06zRkeq2oSOsDbvbKBeKrazjdbdbItc6sxcnED1vCJjj
DKLJmacfwqEWhYFucPVWtMW1IjkkhKM7AWoj6w69OBTNI/pR7fyutoV99vS5vzpvHjpiOKmmbvl5
ax29xDXE+Jhv3xBJdNQLxYF4+X5aU33VrxH8lmxU7Z88R9l/bvrXyOZLC372L9NzPiwtLrSmbybT
m27d2AimX4QvOuJkgh3YwepBWNNdzHeggJBeDDvT/tz+x7PIxE8CK7Dys8HmfD+CgbAXtC6qbXWx
9uzRDwSDX9nYpMz9u89NnR8quH9IjmT4HObZ8kGz9EDRR9UeLpIvemH/CqfRI99FR2BFe9AAq/DK
GG1145K0CknCLmUAZgHFr71NMzBkQPBW4PhmXlxV46it80a1vQosl1mtxvyej0FgmS0FFB9PrEaL
oAq/DMAgDJ8G1RR4SigEJDa0e1Cir76RQMY6/P3FOzEyuyQousuo2LN4ifpQFk9Iepsoo3++avNy
wzRnJ0ZmMXTvVmKZ1Iyks6UNaEZHuAMrRia93nqbbOlSmv7a7DicWJuF03BIAm9rp3nbGs3WtyOQ
A3ZmlzvhEUnSeCVvalvkMP5QQ1tzPh/qmd1xYnv2PB/jHG66Adu99CWJ88uB/LHvtY6FhMHnliYf
+nGU5Ig4B4S18wapnhrboE0nQYkOVkopLHv8+wagkp/SJnQvWfOeCl12KWCjU2wPoB+jDFJJ+fnf
szBbqKjNYZtSsOCOcKtXh7ZdePD8crqzSQIqzL03cZEB7p8tR2YUlhW0ICABFqzR3bgOdtmdsEn3
xRX74tZ3IrtyzBUyxSt9XzjRw7jO8NhX2Sa3LSd3lm6JM66STgCEwxSdliIyr6dHum69CtRRTaW3
Tw6eSWXKqu/k+OHzeT1jhQsQCygdToTos1ELKLqmDW02dhejYJxbW9oANiVl38/NTH9mNrkIyVFM
5GU1vSlnZmS3oubq0lujbsGqbKOtsvV35XapqeHsaP5phhTz6ZxpeuvnKL5qdptZX6WieUp9OOs0
ecERngnPCRve2ZnFD3U7UepMdvSjcd1Q8N82W6AhB3oCq4PolNtw+/n8nfEVkEsQkcF3Ql/Ih2KX
qOYgJKFPNcN7v9lFDegz41LCY3xu59yl+d7QvMY1IIvbVREL1dmqb1cBEULvRLtia60baog7MCXd
IVyrMPtO96V3tSxjesZb0Z6umJS5GS08U6eLOHjII/seSoNJD7ZDVtBf/vn5KOe5xOmSOTExu2Q6
T7OGIgYEioT4nVdthnV7XxxpvDeOgcVDRLgY7oUbAFiL19u5wdFBAhHJ1FVJmeZ0cJnbav+HtCtb
jhtXsl/ECBIEt1cutalKUmmz5ReGLLcBruAOkl8/h+qZ2yqKURz3jQ5HP8hWElsikXnynCgC8toj
2/rg3AE8uUt9tA94ovKVreFNtbPrg52X7T4G+9nk9EmfEm7UgLgzcjzYrOfyjT8NgdzWz1OJW5ym
una8Ubx3+T29FffyjlteHsSHf7N9P3/CdG4/fULRNQlDpt3w0Gvgt6x5AE7nHMel8GoK+O31AS85
AcRcEx8Ldg/0CS6NgaXHQlu7YXhFezDZsE1CoKeVzXUji+uICrSJVJWB7umZByghJDyMEBr3SpCR
MBPF/uzndQsfGba5z0TF6j8myOU4Wtqg16WHiWYzeJ1yUIMUaeDwPnyKcQh95mWPjfeN3KNFwXMO
2UZ5pQ/XP2FpJpFut/AIRBgLKszLLxg7yy54pxieTk23akyAECuURB7/3AoqjhRpNyDkET1cWkG3
iExIiHHmYbIlNYrm9TnqVo780nqZKG5C5k6FyA6dTaaVQ0VeNRhgHM4bsf9KupXU+ZwC6OOUfTYw
m6siUbNOr7iJ1wZQIadw/z56yT3aDvbXZ2uajfmusMB5hasUTxvQfV7OVgrJiLFhU0kiBatYfM5L
IKhbcUdRikuMFWaSpQ2Axws0iifNnC8PmCF0TL1WAN5SFSewdKAeyvZQF2skzUvRwVRpgxjLRFtk
zq5tp6rjum0lIPItr2/0jOfbHOKYXtOjN88AeeLG4aR2O5DFnrO0IStrN10o8yn9UE9FDhEt8fMp
jY0yzWVBUBdoeCI9rgDw2SlkOGYaKjwZI8P79TVc2oyfDc49MuBlRj/CYK9mu544u0bJt9dNLKyc
PV0xkxby5KJm/slpOj4SyBF5tnhE71FDD6rxZ7xP045HTR3/TcyW08vicicyoaJrBKQPXtsV5UaA
u+agJ04UEDseveujWZgwkBBBTR37DfwL85BAdPU4ylxB95TeeLy2XF2+XrewNF9wdGiNmp7QqPle
DkZXjJQzjRAvkYAKKMibl9F2GJKVGvr0a2ZbDVxHFLOC1A/IiGduqO/zrLNGDCS0pV+AUtnsHtOf
Nkc1DPgEcw3/sDQqgiZi8HugrgGKjMtRcc4BwUWztTfmALUPoxcmz5qzRni8tDoEFFFAjcC3InF4
aSUzwArQxxhUW8eutJ9Ta+WAzmEcH1sNSq/T6wGcil/CX/gCAP5zOL0SRA4Bf5UvWRAF7CS+A27l
ZRu6qY+4Dzdr74mlbMSkqPx/hufhcAmfGNMMhs1T74++5qa+dQvPXtyS3VqQNId0fYwS5CLIoKDj
EOCY2UUo8hAUp0pBEJW23uD1R93HIJ/RLekZQFsq98rT9U2/cJcgIw9YDOA4oJm0ZneJkkNOKQJi
3avBk+NWffioV2BoKQXef9xQWp+CLv+6yQVfi9rX3+hVqPbNE1W5WqHD3oHJjElv4OYWredA8Enf
Sf8QGvMxnZ9NTZ/yKehMyi6JIobGK0k3vHnS0FhsRm86i9zrQ1o6ZAaiW5BCTSqoc+0+ZoRg/4sk
KqWduTU7e2plCqaWjetmFi5JsH9M8ctEyvZFywna3qCAakcNu8M+/P2Epptqu7ZAC4UGcKd+sjOb
NnQ/AoEMZB/sON+n+kzj1n70a0IX85XwYvFcG7g54FiBBINfvFwikqcmq5xa88JTcqsGONSHbpfe
aNtyL3xg1QGZjfDObFeuk6X3H8b4j93Zxq+dPLH7utEQrDWb/Eh+o8MnOTiB+TjealsEblBicZO7
VczqkqcERxG8JEUK/ks81fRoOozRug04Gj1MGiLWzZR5R3uV39yqfrrK8rDowAD5gvz8dG8iaXE5
w3UnMgOtUYht9tGttdF2bBs+jp7uxYHj/4vs/oRD+4+xmQMDO16m1J2FiCD9lsrI1aNTs6aPurhn
EDwBKKkhsAFhzOWIyohkeH2F2kcdsdmbHgtQMfeQn9tCMdML3fYuuktPa7n8pZv7H7Og9r80G5oy
MRMK4AVL5aZMTTQUnTLrmAxFYFe6B86f68d9yTd/tjcL4HKjq5BDwDCTKATb5B5qun5uhF6JFq36
X8QJHwRJoAJDAhct7peDE8kg+0ygvl1U32vaezkPg7jfXx/R0spBGxNvL5QocKfOM6yQGB8hvIUS
Jpi0Cr85Aou51fz4zvSt07Bpj9pB9emO+eYK9dSyYcckKLXBNiRvL4eHVsi6lwmGJz3VIx734GZ+
Fpt4Q1/JUxOoPjrlNc8CSnPNaS8ceEReqHdNLJr4/2wV7VIpG6ctdLSmoe/NuKftt+uTunCfgtgG
IR7SBMYUNlwOjYQOumsVlE/HKn5yQgRgA6luyxENL2i/XrvqPp5Cl/ErqnYo3oMCAslcqLhfmjPa
qqApXlAeRJAiF8RkHKXDZje8T312mMZ1KMTXGYRFDA3owSW6pgJoEg1oHTAF2KBqYkP2QtHjen0S
F2yA1QEEwUgL4g06v8EbHioNRzSE6j2a+9KCVD4w0GvCLgu3zqTPiVSKDgJXaBJNgcSngGRUe8Jk
DzP6Hd8271PZN/Yd5jYgT3FDzTW2U+uA/qqvuBLydZPAMEr5iLxAXoO3/KVh22CQBkA2yUte9Pd8
nzzwfecPb8mu8z9OQwA/DSwRWGQClEL9Ao0hSOt+V4/Faob+axRz+Smzo4hNTEGbiE/RCns/MvWJ
Er4zI+eWJeEN0UN0zcXgVEnUFeezbHeC18MLAAA/s5s6qgBLs617wN1uUzN9r0sdXKEItjO73QL5
8phChNnNkm57fW8tpF8xYoRMqqYC9AIvcDn5VHamaGOMuNuYBzDh79Amn3poAd4jqc5c40frO4f4
bfDLTUA2CDs2u7UU8NL+tvEFeAiq4PicO96w4mEpB0499Et7YG/BQ3PFxX6NgRH+gugePYTgvQe/
3+Ug7XQCWaQUJ8g0QVKAdn4t93Tl/fpcLowD5wa8tajsGIB6zfZxM6DPFp3VqAy0YF0A61KerlhY
cnAXJub7RDWbsEcXH64KGVCv9sRz4vXeFFfkgbJfw2MszNuFuVkgmtss1uoS5qrmEGeay0WNwn3s
Xp+3ZSu4eIGtmCjQZrELqJ7MsjESYHottPDlYJABg1/erkXzX5cHiwJGygndgeTQHO6AFJ2uw4zp
1agZOZ1bnutnvpmmT9nWjVf8+H/0JE1LfnkhweaktACTuCfmW9uxs7FPQCrl6Vn0O4u5OypvJMH5
gtRESX411g9JCvAb276kCKC61h2gccUBb5na3k16F1fFT1k5Bw2wXZnnLshU/Ouz/9X7Tvhx6EFN
OxcTMzsbKPGmVTpNS5M8E7P1dQsf1LVbZo0r67ywABeWZkmsrgM8mIex6VXAZ+JS3bdFtJL0WzMx
+dnPdxiUMGkUYzBIpkExLPmOzP3KGVyZr3k2OKl5S3gKEzqrvVQZsZXonqAOiGvi5frSLCCxLtZm
fvMrQwnaDx22JrI9cejukQvxogBZZ8OtN1ORpfKKE31oTqtB6dowZ55mqCBbaJnTtvDjzkWK7sn5
GSu+9jPaZvvmNjVc7Zlpbn5a249fvcHlmGc+p3ekYw0FDFfFE95yrsjvzCFc2YoLMTfeEpY5xaXw
1V+U3arKyFvDiuwP9L31CICwp3xjh8SrgvyW30p/AuGvD25hVsFoY6mIs1CXQ0R8uT/1UuvbIdPQ
wz3cRuk25BFIad5Is5KRXDgGF2amn386BkkPVZA+Tm2vZL0f4g2YKr9XtubXiAVdTnBraPcGIurL
SNo8Z7rMwPwHJiuPnuiZPki0GdMgAV/RDycAbBaBUuqCE+8x8tc2yQf748yxglgd2XaCixb4/9lB
NwdHBQZ0sNFuI1JXKEHy4LigB/P23Q0Y9Z6KWzC9BHLTvLR7slvLQi3s0YnWfUoQGtMUzJaxDLWm
EpDy8xoj3vXM8tVE2Y98LSqcXO/XQf5jZraMWdilehdjjhPy2qlPhnoPpgvbvmvsNQHJJU9zMaJp
xJ92TGMZ4VghRPMqVHPB0RLIoN9HAffzXfxiu+FOOYM1aVferEX/CyENWjc/zeV0ZD5ZLrO8UkeC
lWw25rb3Tfi3bmfuI8/aUkT4ygqQanHpNBSekOBCnnf+yimpBcYhDeZaIB1l/NsedN/gay/RhbAa
o/pkZjaqNGqats/hX2okWwFjqJ+nPFqz13Yg90NO4an1wVx8kj444t6KbQg/lD8Pa5XLJXdjaWCa
A6MwCixzpHRfMZo6LbW9MVECw3hONGvbNrs0Xk1ZTjv+y1YF0gBRL+TP8JK7XMUO0la0s3Qbgam9
nbpYs7/ANeRmT3kw3FQbO7jufhaAQOBgnvQb0DuLatU8mBszBVTIIAf0QIkqAxP5Q3tb+Ibfb0Zs
Ia658Sbahrvc8g1UDH4BF/Co/Qsn+9GNPKkQoWF5FrbWyAFWaSktL1IeSfqzq/5QS3JyLiCAQ8YS
CRo8DI2Zj9OqAeKJFbx4BlK4Or0dQNKnG56TNyAt0tduxIU7A7S+E7mvhnIcMHeXK9iglUlEhQ5o
O54W8Suenx/QenQ+hN9b4qKwGSQ/r6/i1+05CXCgb9EG6zWkY2ahZ57WBFqyNPRygSKgDr4hF0mh
GF4VOC5tVLh33d7XIU728MbA3Yv61fz27ZBXV/UEWcokM0NPMGFtta7VVmZy0QqGhClE8IyH9eVE
ik530t6yQqRiR0/hqDbbfbU2lK9uDEP5ZGR23iyVGxm2P6auje+TXsEmr+hEu9MpK5O2Zmm2Lyot
lmpewpJuhq4txZspoTSQ//njGQOyUAbGI91GfDTbC4aAYIWu2KEHXQywHKfqq2qJlaEsrswnG7MH
yEAZmLUEbJR14XejfCT5+McFxGkYeGICL4RiszrN5qfbLAN1L1JEUHbRW8Vybe5kfjN00ImOwmM6
lKtx7OIR+mRvds/UKZjtWIIQwXgcAnFbbMQJgmtP1nnqOeaBtfeV1T7SpR3xEfYRIJGncvDlGEkn
R0UXOEG2eNfy762h+Kg4BNfP6tLArAlfBmGECWM2m8ioBDgAFIcK+NEqQBHijQ6csUpfRnm+bmhp
U6A5D0UvyyQoQs0MAcekGtJRQg/scA8K+s9Fq/+LfffZxGyRLDXSNBnCRA9ipiYvN7bgr//dKGbH
J2OVTUH6rHgg2jvRvAbRCajq/f/OyPz84CYe6x5Gcowj0eQmL9S3/87EfG9J9JuCuDL00mGTWqYP
MuiVQXwNqgEZ/Ge953AQJ4w7wlQsBpeaO9SjNwrwcNvb1Ab9bvqH0hu4wy+tzS4DhTU6uBQwZRGv
HDfPnLMS0T/Obk42UOGHGCdUyucXTlvVqQoFUwVUefoPZjTvTR7/hC7Vv1qaf8zMrpxMyQjpCVfA
bC8A6kviJ32I99eXf9G1fBrK7LLhoEsDE3mMoVTiu6kxX6mLt7Jc0yJe3AOIBIDeRp39K1ihaFgU
mjBD4wKavb2403RxaykaOob5KS42fz4qQMUBigTSCa//mYvhTDEjbujokkYVQWTfohLMTKq5kuCc
Tt9lCA700ScrMy9jdGlEiwpWaBhKv0py+mJ36a0G+jevBZ0o9DGHBg0qBQ+uD2/Jg0JBCSl8CGAg
fTs7sxb0CqjiZB/DSwPUE1Gt6cZ2pRlq0QqgsVCstYBjmb/4E50MY1Fx1F9teY8ayikeVjzDAsJp
wm/9x8S8+1B0DlrSVUXx2Bv5PbzVqN2DFvGILIZ1gHbsTlmFJCzUvi5NzvwDEJwW0ruM+dGL8W6g
rx+Pb+ml+6pzqQfS8yDxNACsNK++B9tjFQx+tC2CPnB+r3dxLKAxLj9mdsJ7XlK8WvEx1mMRuWxX
b7OteZTfncOkcr4KKJt+3ZcN+2m6Z4d9oKgIttOKgoTstrytvf7GfHoXwNakP9awPAvhBEhZPlrw
wcdmzlHciZLHMWjFmT+CGcjtTH5kufFKE+fHmIYr/nghpQF5N6jwQdFpCh/msUtiD2Y3DhhYZ+3L
3+0LoM9Qi488vX6QPgFyaHUqF87+hcXZ2R+dYizCEsPT87vc2g2oDXV3xjd7T+9Mx61unRO/tbmb
HSkPmtWq6YLXxq2DSgfAvNZX/CMFj3ODwpTiIUOljdLT9Se6GrwvpKgwq/9YmYMdazzrzLiClQSE
KdXTiGLsS3bgUOEAQeqp2g0b1TeLXdJ4cY9C9Rp6aMH/XJifnVTDbuO8qWwMUoB4m0igibO1tNFC
Df5yjLMT2KAPEuJ9GGO30YFZRm4zML5lXoJXuAQhNhhzbwyIlCc+P6ylVJcXcdKut1CDRpH0MqrP
x7pL0ZKueI4VQhAHvBE68v40WYmFFzoRMEQdfwyod4HgfWbHwUuPKgWcrHoYggnrQvfDBgR9N2uH
YiFHdGlpFq4mJUdmjGAyp4yGAjZnn52bx+KRbxr3eBQdmiVjt0G/c9DuJjzfWi/EAnnA5QfMLsYh
kXZl5RiqPDiP8RMkNSY8ihNo2/iteQFI1y22a8s452hCxAlqMABgwB6Amh5W83IdWy004rGPud/4
WERQS5c3NbK5zb7YZFvR7eynArcIWHnkI5SP5GoP/ddRI6rC4xe8lyoeiF+SjnGtREQCLOxX7wnQ
Gk8g609c68E8mnd96upvqps9rpdaP3KZF7fJZBadaxSkm0BvzbFMnSb6ntkm80lXkZMJgrcHpzOV
zNUa1rZbzY6NLPJsUxDtAJKsTHxDLqj0NDWJzSAlinhuaoO85alQ302pDsMWwCWCZ0Krj78ogEyI
PIq+AhtqFoUvCLfjVwVg9Y3agcZGGTJ27mLyI0oMEGDXIaZXFV3mTrRjvwxIHtzkasz3he60Z8ep
+XsPtvU/bi3DFKB+jgQEAfAQAmCXS09L8MQ2BB9qFbHHc7gPsMprrNlej/emHTSf6c9mZk6q1xuJ
zKSD682uN3m+05WniHwDkZwvm34lJvvidachQWYU8SU285dInXVdxhXaAGRrZV6WH1vQX1wfzRe/
N7MwuzpDSKYrdjUyX9hoe+S/hflzDP/48oARQ4PEIzLVyOR+RAyf00LSiQYCcQG/bI4sA2Cjy1b8
6tIwUFGcuDYpZmt+7Gs7cnphJtxHKuOcCXFynN4rnfD1+mx9iaOmgQAs87fKON4bl1tMD4VlVoqB
gVQxLsFjmQaQbgIT+xplxNLCI05DbXFqRVHnpYsKiacCwkXwIjSCRgD1SJ+udLssjuWTiekTPi2K
BAt6UlI8MgV+fayXHhP9loaJm40/r8/a0okBn8eUy4KH+kJAIMDRh4xZz32TTIoFoIAiezN65rTb
gK18c93Y0k6AJ0S335R7wH1+OaxKiAFyDyX3ZVGcW4ZHhUPDTVmNa7SKS6PCrv6bM2lC1Vwa6iRS
oYpDUCNk6jakr7mhQkk36M3BV9KVxMDSWn22Nf3801pRUVhjS3GraXFyQ0dyWxWqq1nZgbA0uD5/
SzsPFOYaCNBM8DnONRSJHQKDoI2YP9q5QjPd5n8VNv+/5JpgupjYff6xMIsL1CxiaRUJ7vcQ/kks
bMCqOlX5Gp5/cX3+MWPMClSiSgqkUhruE11xbXaosr/qOt222i87635dn7QvDxAMCbeOgXe5ijwq
mcVaXQzORDzduU+T4hkigm4JojOoZgwm4ABOsoUP3163uLQjPlucTSIcYZ5HZcj9tgVOEQKGXgdB
CgiOPYPgZ022++PQzO88SHtOzMCoj32BO0iNMURz0KbKY51AFiuS5uhlKbVfMtDx3ag8RcMQxLX6
bRgz9S2KUFcCyiuUjZsTRSLekhL6epblGqTMPaMeWk/vxh9J7xR+IYn2zWmMYRuZrD1FGU32LfQE
D6wm/V8ZJLCheBP11e76DC5tdItY6LtDsQqY31m4MEK4AFBX6F1nnVGDz0ax5F4bon4tLFlcKfRn
AzBkTI3Us7ObEDU2WsIixAv6gbX641hnj7SBoKNhb64PCXREU/TxZaX+sTZvLe0o8FJthJ2Iqmmx
cfTYHqEEYkgI+AlnK9VR3kDtz9ykXQXFqqZDZ1QNYvhzmvXqa+HEtZ8xy9lyzUxuGicadyZUHW6R
O+s2aVsIKACN6YZ0g/1j5ERulXi0TkWpZz8Eiv4uZbXqkkHtb1hDwGVj8ii816Kmek2Mps3R9I9m
QbcwQ4giDSFkhdS0aY5VFGmvdt2Ck1Mvq9wfoP0FTlBbQtcQcoAbqRvFNtUzE+khSHgBhSkaqT1a
6pA/V04B8R7ISLUvNFSq9jkJE1UCXUgqqAqyJMig/OK4fV7GN61lS+epMnqr8XFIgZ1pKuoy4G73
0mHFT8cI08HNbF7sULg0XjIro8pxbNsiu9esdIx+Rr1e2e9CERXaExozCV0ax+2xhxLkqbShbzWx
sJ9UBNCnXgX3Jm8a9XstwchJGjs5RsjDBCov+IHkhXglLQ13UVd1AYuM8AHrFkLxI0z7I3cEXGOk
l75k1QiNPlmfFazJnimjcaOD0GenZ3G90SE1dYSK3uiROIuCMm4pkCN6GW/Ssch8aBE9tKpU9xED
/6MDjsR7DRdkDD26ES2LGim90Swsb0g7BeJ2iauy7l06ZewVqHLWwnK8uMrDG1OryXGsqNymYcI3
bQo9tAk2KTcZsZv9SNI8qJqsu0kNLfLizE6frL5V/U6Vg4sYVkC3soXqkdarVqAg4Bl9G9rORwl5
EXR22BACA/GU3AwiNguIgefJXnfA3zh0TD1D4KoOaELKRyWU+V3rZMRXOx1KsaGRgg5RA0H4QNvp
ssrkVvZm41l53nmxadW7JDSrYFJOPZKUWPCRju0NdpjF3hAy8m0o1BrkOlkDA6jo5Voc3ztp13lh
ryR+AoFWD2XZ7lCUEBVyoa2YA9KlDcMNtMH4bZaMrQp2bac2XTsqrHtaatleLRweZAXn25Co4c/Q
BGGKq1YGaD3yoTk4Edd8BqHeYHAM8Nqpfe7ng0o2oVTt3cib7Fi1ubalXWe49uBAlcJwGpdx0znk
igm1HtkKkMrWyFMolShvhEL1EyMGiFKYo7m1nYOkLo6sYGBtBqVNzQrQbVlAuipPAr1TYy93iPVi
GNkPI5FQbGmrbpsaBDUtYWtPBnqbPBJWwD9BXvCFNG1T+TxXRetGIJ/ZjpXIAgWkow/UEPx3ZHU5
2A5qSHGlhdiohUQBFnppbhND63UQbXsTN0x7jG3Z72zopeV2c0qhqPYd41N9Bi2is1ab5FZAVPcx
bI30LRekf6akrF9I1o2bLBfRPaeDsu+JnUduRpx+nyQRmFkAgwHPOISS3KRK2bnudYjURZxjugp1
2Jmit27SsMCNU4+xCrHgyoQ4I8LBXgsrbyzairmiTpKzHHNgPoRaPEIKiiO/FHXhVoZa4ldsRBdG
GzrHDKqOfktCK7Cd0tqYciB3hVGFXl2JCc6c9QFea0ON0zrYW6Ep2QM4Zqo3qI6WmYu0O9qj05LH
z90oimdZCO1oR4QXm6G1Cp9E1PxBTEM52/nQB1Fl8YewziK0RRGR7Mswbregp1EOkmbGb7121O8Q
/ILYbzVCI81kKYFG50BDtKE5EMyCO2s8o6eIfEpLP6Ra5TwTjYEb1YYoUahCKR5qGfVNVQzOPZBa
uRc1dHjgWULPEPIKD8ChDj+VMlZ9G4qbZwe+7n60M/Ucg5RtAyrq+hFquXSjCN3Y0LqtdqRs9O+a
3pd3jL9brd2eWkrSXQRGQxD1xna6raCJ4eURIX7PjGLH8IR3hzzXfI3bbNfRJoLaG+fyZbDSdMOc
mELvKHJ8rU67s96AuTwBaLXAFurUJwgiVhmEl7toaxkFejMAAHEhLPY7BjbqrocYsFdbdnlnaqU4
KLlh7Bw1Kb8lgBQ9ZTGhB6uNxkPdymHXlKLxWpFZ3C3sIj8jAKlu7aZQH5oa4HTXQVpj17R6vLMq
dGmCr+a2jlN6M5gxGbE+YN0Vwo6AXNe0zh+p3t8B6ToEpV4231maJW8If/hDY8HDQ1kPrB2u2Svt
70JptPtotArXafFIOQ55hnZrW7G/sagczkY6WslxTJ0skEC2eBlv6TGNwySfGjiUPStxqbq1Ypde
Zgq0sJE21IMYQepDNelzd7iSPbse1Xtb5coLfl0LLW0VqiR5yUc/ggYCNkqUmdyzitEJRMSIW7O+
hlSsYqc4VKVDd7aTlCgUs+Q0pjqFwDKjuWcrvX0uawXoITVKu2MCWcdbM4zkXeqQ/lGEQ/ZeQ3Hs
rqI18QzIy+outNTiZy0t+nNRNsA46o0Kz83G/kGic+RJ0Xn7u+9pgV4OVoaPCq6axqs6kj/W4JYL
GiunjwOBhLPaRr8qoBiDUAHyFXjidldDsfg3ZE+dv3hZWZCP6szigQlbbBItbQqXjYb+xCwRv+iK
lTzWCdcgxBqXIDFRG82NUA3x1bg395pWQLHGyDXh8rTh95ledDdRVlZPXScKiKrh18V+ZDbpqc5I
+G4YA04j8HEIe3AjeiAOLbmX9x1u4J6HNz1W5ibV4izQI6J8H3QFxOA9SGJcVEiGoFIdiC2C+rnF
daWqkGtAmMuGOjkPeVj7KAEPrx0mbttL2Y3uOELyOOa1fQtVXAbNTR7xPXpGGfgPrY6fEMeW95FS
qL5Ia/VotCLloGjJ6aHSnVPNuyOv6ZnwDZQ3rEctHvl92Yj8pHMd0tK8THejBgQqTfd2rqnPeHJ6
scM8rrfxbYns4oYwswxADtpB9Y41zkbPNhZSglXvgSMbBbpCyk0FYTA3dJA3dMtUEd+gGW0H4KJs
9liL3JemVCDCZ0Y3cGz6K9UjdTe92e/qqHCO4Pkvb7UMX5IrXYHbHD+FqCa6bMFeAqXvjI8lIjSj
2jYjSyq3t7v2hA5qNIhyXAYokaDVmBvpZqSRc1YZhLfx1+yAkiY/1JFN4X2hr04HfFOuE+UODUUU
2pMZ4kmonuTnwWmzoNHq6hUy3xKXjbB+6VnRBmFF9NsMUeoTisnGOStSaBmZMbS/k5wdVL3tUF0L
HQhFRlZ6lw9R9IBGCTCaJnEe2Grs3CZEptCtNMdhg0dRlHis0yGBWfdWdAOpv/SBdSmUz+shP+A+
soOEDNa3WhexD4FddidbwPfcjzHYLSayHvCQBol9nT7UUFd5RvGS3XZqW92jk1dQtxyTbJ8KQfZ2
Wzh3H0OGwLTu13VdBNWY/TKKip2UJoSqlp0qvirwW/FAGUa8WSEmbycNFOBiI91C2STdMnDNTClO
qLpze0ToHqfwDCzB35RJjYFIM5s+2oluMO3456Tt8WOabhVb5+dMbcg+aawB1F8Sd2WG4sqOVoPc
qWFVnpqstfYI5kzcuAJ56Y5XvxgDztxFIYVDLx6yiu5Q6nkUVODC+sbKsgxSCJEGTOuS+8SKVbep
QEBTKkrsC6Vngawb6qsaC3chjo1U8irQGy0/0ZAjFrOZ+tAqmn0T9RKzwBV7E2k9tmaXWTso2Bev
Qmv0RzLkrcfymP7MkxCdEUmX71SQ3GxKo24eMkuzjq2o+h1eP8lf4JrIHknMi8CQef1sln28tXnf
HBKpGKaXQ3p8l4o2ebDbCvLybRZWmCHsTFnUdsBanIwkheCFx7gYsyAJx/hNQuCdu6LUlJtRV5sX
w0Lwqnalva0LvXwUJTRzP9anI+hFdqkc+5+iYcjj0aTOD8LAdqKGIp8ksoy+6EfdpyAr/F5keH5B
vtmmkwvHPQ/qYQahtFpW26LJii3kcMSmhFfyszYvkONMRjesYnNjKn9V4hd2S4Y4U8Bd97rO8KOI
nSM9LQa8zigEtju7xYf3TE/vm4h3kI3Fxi/rLLtNdcPZYncUB6lw9ldWFTlwtxUR76xy7AeOu9Hy
9DTtt1XvmGezjLWbXmvz0idqBZ4cafHkPJp9ecp1Q38ERYXm8wSXPSJbnr2TCJACT+dNdDZJV4wu
IYqC3JzQ2R40vBaBxrkyiZfGperXpCBPZqQ6ByogxG6k5njXI+v3A+A8MLmZ0uGQ0RYKH71KKvZP
K6kYmLA0NIhGamT74G5BsbJWp1DIcZJj2wj6C2LprAkQqqRlgOyG8QtcRQ6Ii7gTJGra/6xLyxFB
0kfsFxslFBZxS4PNkdVJ63hUD8mragul3Kl15fTI88nhXc9Lis+3sgERIcg6n2y8JkADyRB9oq1u
ehIYqETf5XwM7xK7wyYakjS5jcumecVO639CdEACCmNZHXMhgAuHMT0QtkIZlBvROFV9o6YMdLpU
iLLw7CEnBoAsIrxTKZ7AHrXa2twpMRH7AkqQEE6qIYaLuUWsb/QhMuC1ZWVsr5Wl1rgtdRK8wrXC
Rhd6JyNIOJVCYy7oNYZzR9XwRWQdZBt5X0BlUw2LehP35WChFb8EFTM1InyDyHrdT4zaOQoGJ+nX
UuSILnWtwPfVGIFt5JjB1pECqtkDdj8Ggz1nj8kQbeE+w8yr23rQXCEqeKxEVgiYpKHLJ6Hk6QNU
ZB1kNPQI7r1wjA6E/hSRvyeHFJNqW5yfEwsL5jOFyqcaMMx6Qwkp6ps66XoA/JVC/mUWWfWOjgAG
nXQ9l5uQGoO9qWPbGm6BS6hzd5z0PJFdz/VyJ0sZ23f2UMRv1C75N3ssoQkMzzlkAYvtpPVxC9vK
rpNQuwC5Maudg1mAwf5ISj3Evc31uw7M1fuQciqhyRWqph8PIUDxHDQR0muaKpwYuIYQahIJc/6H
uvNajtta0/atqHwODnKomu2q6UYnNpNIRZ+gKJJGzgvxbqb+433234FvbB40KZls0aI1vWuG0ycu
mSTQWFjhC29YVnIKBpuINhDMCLvKXa/YWWfIdjddQAki/K75rYXc4RO0NHy01xdSPXYXGoJrLbxz
J/w963y1nNU0i945iD2Fbj701oXV+QN+q30YN3NsGtuPVHI9b+OLmPEbEBj3Z0wpm9csId3Gfmpp
a6S7mIsRHKKV0BvbXndeMfinXdyIYEmjqP/imxVTmJKmf1yPOGmscycJx7lMpo/m0jB03TpNNYlY
tYj9WyTQvOSEKI6XrVJPmOEIrL7vAuwtmMqG+rmLFOZOHERio8W7b5qzsjd5IodiURcyU0Lq8+TS
KMbGnoXJOB63nMkabpAaJqVjQ57lljqSba4WtcpxSRb8YQJq2ouR4si4ykPPgDGkxsz7kA4YQ9bp
+iagKLQdLACQM0vu02U2ktmokdmYCEnXwaXUG8kJDqemtvSlRPts931buTrb+5miV2a98TINUkWd
O1a0yKb5ilKP5yyYZBwFqWOftVmlxEReNjNjVE1UgbBXZzeBs4xVa1S0HA+N3t0Z2M82s7yP662k
Supn9pxpO5CZeT4GouPMUrwxnbVK752DE6omP+runVTqrJkqK/txDWw0Nt20RHtoFqHS/N73cTTD
jbe9GZs2dlwrl1knmt93d3lpmoh0e57kIspCiDJm/EGuaN3dJPMxLmJfBG91vvpvqWp5l47ZDAM2
YaXcTNTf9CSRW5TvAS4GsyjEtXJWaEi9laaSHxue5nyOiFZPFZulOR/TUbwzBylaDGbdfGo0LftI
6uOvBBXfaPIkp+3T1hWaprjx2bOORP4qVicQlBMnEqcWdZOtFXTJpm1Qrmgq0V/VgRUtzcYeiKF0
p6xxffYNzKn79izMDe1t4Q2kB/bQFO0sGePy2NI8/67qUt+VQy3aitEyb1vdCrGOtkRzWWah8bbU
9YHNuAtuQNh1d5ZalS5q8cq67tnvojz3gxmIzexjaXP2SoqnVW6YKuOZ3XT9B4bf3tRWS4oJk2RW
DVYxVzhETqi0WEwi2T7Ney1Z7WLoEZLXnEIcKhE9HVECvO6drJTdkm5Osmoz2VwZke9siqFo3gaR
U56ZMnVwvLqFtCg9L9/4UWd+wD3GXgA7pPkck5535Ncn6ZCMnwjXWDhYDJ/HcVLN9cSg66UJCYf5
tmUhyA0aBqVdbkCBlag1UVFPq6qeCZHbG0sV6bb1emM9NkO+EtGAQ+WoSIuiqoIVNt/ZaV81+Ynp
2c2xb4l8kwk/WZLYoOw9Ye3VQRUnwk7iY1OvspVRp9IS6KnqUte1b6atm2KYLR/HqaMe677jb2vT
Y1dgrN+3vpocB3rpbdTOMGcE7ZrbB8m4MJkvrt/1warsMSnHhziZi1oJrhTozeswcsK5WsntJhrR
hBR68jsdsuvM0apN0WYli4TkH0WgYBGkquHaeYb/7OCVF30t4dw+pOZ8lMYMaR2M5H3bM/k6NuTN
svA/9MhELms9jt+lQedtsflptnFB19ewY9zgWDdQT/q6hXyCpY/c8lVqTRHRgup0OKcGp87bpOsu
CiG9z508W1WOKjaNE5ULA7jyh2hKuuK0ITEjtlsO1NZgOgnMlJkllt/Wv1Xoh4K2tB0sRALKNJHM
71GX6+5GC422WexI9aYWlXOSZL34bA5+Kc9k7C1XsablSD1Y1soK6m7DuaK9lQtzdIe0NjeOGG9D
SUmOBznRFypL+9ysSWFMmbaQmuX2ujdzwauQklWCIRfBhKfU9bzIC3uWhKa8qcpUvgudPMJkoKi7
L50sZYtySKJzITf+PAf18qmVpHgyR1eyM6FgddWY2pcEM2ZX8RP7OA6D8KRWWu1DV1XptnIyIKRC
rz/6rZq6md2bl11jeF8GSeoXkZUiv5FQyVsbFL0oIvbwSQI/OElUU9s2eZfdDsaEVqU7cCoZRrZs
NbwreoomZ2qkZtvR87zTIC7r6760+1OtN5tzXoy9Nvw6usCK6Q7UZHNsGaJakZAN60zEI4ojXjBP
bIMvpMvDNnEUCG9hVp2HyVTVVXFin7WVkBBIatnYc9xmPtalYX7Qy0BeWF1GzltR8JqlpREG88Bz
7OMQx+y16ePJRR3rM7UWY920mr7sR91YDZVhvrVLdZixgpV5GA3Jsi19Z44DUOKKgFK4jjj76WiN
1hbKQzHH6N5iH9Rpl2AXfqw0GrYgigKTu2+CdSqcdtXqUbyw/VacEBe1x/KoUKwNe5Y7WxHs2aou
XbSn0LVRx2Grp8WwAOs83EiaIt9UQht+l4q+X5IIJjLZvloQxgiq1USZ/kXiVcbSzyN/wwyNfisi
KduiF1vNoyFNylmgJok7tHbolrIEo1WJw5Vt6O1NqNeflZESO9Bwb96KNN8Mo1RfgoPN1ikDnc8a
uWkdt8o6/VOaqqzSRAz+sdQE1TICHbNwvEpfp7TBLnMRv4jF37WG9xt2kL7QN0IgQ8UY9mlrP9Tk
BmEQP3BH0WHdHtKeuZFZ71vLUuMTSrjyZvR0QqEml1ZSMVjnUapby6aoDWIsRXD0+5Z1WhtG8K6I
VHeM9N6lkefPFebw5zBM6EFnQ1FuwjGrkeCQs/RErR3/JkM27S6UK+80yUk/3JiGxPtGNsuXOqDP
QTJszlcsKMDH03F9+oiDqsYggovAbSd0SfwlDq9jBOh+3Pt8rs1q61gzThqkUM/2WvBZIEtVJ1gK
HL+uQZU4Zi/UrE/xmL7Qen/2cR7dae+NYSFYJ/oIfmEU2WmXk0aEy6SoXurlTpf5bmL8eZsdkvQR
5sNvKhoSThq42izZqL8XS21bnfsLzx0+U1B4h7KqO2zHU9KiLy85r7zwhDsVyke3hrFXibBuArcm
aiiqaN6LKScTmx+/suc68I9e2Q6Q/+g2KgRnJxh4ZVU7RRCUUOPLH9/hezgowIzHt9gDbLVZb/pl
zS0ifdFfNGvKVsfecXIFDR1spH8nX5kz/ROu3FjBI+//ki7h86v70UuchuDRI4quhKiqMVcmEKo2
SRbR66w2IbjMd1ikbrNzOGsn0bUFxyC/6lcSKmM9FRm3X/Xv46vmy0/7re0NyPTqH32hWNV7XQ2n
tUh7UY5913dSYEs3L4z7c+Cbx+O+B3qIkrxr5Wnck0100dO0K+chPhWDcI0zbCtcrZoFPWSAYS1h
ofrSsL80saZv9+ghncQXXeMw6iZNaHxGqWa89IAvbDc7uP6jW1hy1USEc9MD6tTksyVJUH0ar3Ch
ubFdAcZYXNblmr7Ci7LHz65OKHwOG92Ect7ffxxTUCNhYygX+H+c1GfDXb+t1sDxbfRG9LX65WVH
+2cf98977m9Gua1FhpdRXKdDsyjbdOnYBHGi1z7Lfvrhx5Pn2XvBUQQxiiIa/Nenb89yRmEbVAbd
VFERpyhmsvwhsO2Z0RTzH9/p2ZGcLPQUUOOT1+bTOxXUNduYngKuyASP2qzoN41y/eN7fE8rYsU5
k0QCCdPEsN3bguSgAe/YMHTJhoVgLSez4NIFf29gbP6yzOv3uP+9++1tOUbkFKYsuN+kmpQtvQ/Z
kuTEPGaKrkDo6AtzSWMlmkdg8Tf9Spzaly/hfZ8b18ePvDeuBimHQgwYuAGw0imcS2hWBYBxfjy0
zy3zx7eZJtLjNUgKEjUDT+p475P0rnhJ5ee5ifj4+nvbSEqxxJMbpkeu5TMHgUudNMxvStekO/PT
jwIx0kLORwMhhs/G00eJgZYEagp2XQ2urArGRt8sf3yHZ97J4zs4e0FYOKZ16LTcIfRk5CQnx4iM
ZMk/8DZ7qLoiwB9JrriNr46ziKeoymBGvv/z4L0nTzPB4B69+l5NwsggZXGT0q2aWwsczn9juExE
81EyQJ3T2Hv3WlHJiWYVvJDyrkoyyptnQ678/P6DksCfN9nb6ZzUN4wu4CnqqJpJUe5K5tlQBwfe
ZW9ueV3ojZ2R+BCnCn+mBcpVmCNF21svsb2fnWJ/Ps6+NpyKYGdkFTwOGflcRqWJvu0cis4Lr+aZ
ZcmoWYaJywpcgn0QPlq6UgdUgnePxkQVeVdyZ12A+XbmL+1jz2wwiJXBt9UVjE9Arj+dZVoVJ31S
QPWwqFaeSpZCBhYqv/94pj17E2C1iNwgQfyd/mtjJn3clXSPVdA6Qu/f+qX50hn00j32lktaN01o
GPBI5OPgdpI2r987Z7WbXQfr+mpyyFNeCO2/JxObmgVXGd8JGWwta/Xp0I2FprTKxFwJMcJO3d/M
a6Ckm3DTpq6+dI5R1Hn/UmD03Lxg/NA9NoxnKNLQd32B8pXvBom8jbVi7SFl3Ugedb773effnkDY
61//nX/f5MVA5zIQe//89by4y65EdXcnTq+Lf5/+9Nuv/vr0n/zlw5Xda3H95B+LTIRieNvcVcPl
Xd0kYndP/y6ffvPv/vDN3e4q74bi7h+/XN+mYeaGlOPCG/HLw482t//4BRX/yc/h3x7f4eHHZ9cp
f0mf4o//rJ/5k7vrWvzjF0k3jiYTEXRCMH8zYZsyibq73Y8M7Qj/ksmUnYUC+WZShMvySgT8maIe
aTjDTPxcU8FAVmdu1jnNnOlnzhEBEdJOUEtpI9nMkq9f7+I+Fb4fdQbk4d9vsia9yEPgZf/4Ba4b
k+pRygzCnpUKuUCzoN85sBeeTro6j4s6EPhIDajTf86DzE4WeS38nPJallViWelScKP7owRuylKC
W9mLq2JlGFHjbyW/Ahds99rgrNK6aq2FaAy5dnury9tLQ1iYrM9SMZYoelXR6MJsDIyV6bRjOpc9
WymOa8WBeWZ7uSPPtSofUNzOCmecgZbK9ZWW059zWyCbIKtqaegQPO2T7jzUJVAzclE3pkxXIhhM
6s8GnUCbyuiNZqUxyhxozpQ+xG3DaJCi7ehZAVkx2mUcF2r/ZdSGUFvoNARiKmdh/26syhZaKfi9
dhsrJTVoPzeLhVTQfroas1at5rk6NLlbAWjuFjFAQ38mcZl0oUsq/18SMs2f3Mj7d5HZRdcgbIvK
RY51agqP7YRbGEw6R6MQtFf1MQZUKek50IMBCWM3LstEbPUhzlZy4YhPuly3FTCrXB1HqnC5U8xN
6jRndtXNIAu03h2tVOA2Em2m7kRGBMmYS0YVgdMOe7s7Ub2kHGi/5V62KFIvVuiY0/91/ASch05z
8Z2dIitBTKtJ2lIeB8NelD0qnpyonoQLZJV7v3lKSGOn5ioFCkvOOCKoo4dvK/SpwI+EFD1RiD5r
DfsCbvNFb9sXqe1p4JGzoJz6GHZ/a0l0XqaoqbgNxhZ0T5KZsbj0Ginvz0rZ84hEqrreeo7c+ehd
hM54LBK1VN9mhiXQ1EZGYlhElTbIx71at053GWWDVnB1JzMpJJsIt9tWqfbLkhqn7fY55sdhkhtr
CyxtDuoqDC1UsdMQ0HsMMgQIRW2M4kQKoJ7Mct9M8erojKA9a5g+wTKrnRBUR+RE6nFrC8db5G1s
1adFXFQJqBshyaCTTB3MTex3eFXNuh78AROOdkczVEF8Ymd09JjWSUS/MANJQueA/6HHRsJYOwOT
0e8UjnmflkmMV2IsY/5j2625oG+v+BspLz1UZvpBGMGF4cURpnyhRYs4zxtQVLZteObSN/LQdOtM
SdRzrRlqaqGRk0YNNmomrd0oV5v0oy01kjMbzbAqV5ozOsM60GJWt67QC53LoyilVVZzTwLoDgSB
I1PknOe5UTYLyu0AxmLNGxOgoE48zIqs6SXXavLCmRc0KWlRAW4E+wqnoFrAnFCuqY5057lSTJiK
JCjmLBe1cb08DrKTJOwNcCutlH/OQNqy1eRVdy6gcypuog2VujUciapWbcbOmRV10gcH2EnkKmle
TZtL2arwhdqRtdwUhX5FEbvB6CcRtIsgOJRUbKkIt1hj5x6y5GFUmSv2n6j+WIJ9M04Kucw/FBL0
glOaU7LhpiLFrQXAlv9FjIkcE1EoSeuCAzAmv864yYG22v6HypLsRWOG+nhM578zZ1ko6gpxeVMX
Nk+fyP4yMHuveS+VVa5q2EbJkrUAoZhGq9IZxnFWqMFYvS1svdE+1aNabvXKtqTlUEvWuBZ2k2fb
dkS0f51nKtrN+jjEpAFlkRFLeWl1RlfcRDdL9vV2ngDTRm9z6NhCbXD4IOODIEdDnAh1XFlFLX+J
rTZMpgboBFHVSzXR57nkZD6TeYovwbGwr3Xg5HO3S3J4hU1bdPbKST3+T2ha40fJ7Cz9ZOh0B6Rw
OvRz2tRtBBrXyI/rgL7L6aCz0x5XTStw1KtzgCUJ292qLlMa4LplO0yeOJbiZS5PEDk5k3X/Uu+0
HGOYvnFO4q6gxSpIDTuA6O49MCtDLEHvkc5f0qfUvHd20Pi3VhFal5rIDZC8fA1W0eh3wPl9VR+t
uaTqeTejG0TdCjpmVFyPjp5PAGhQuOeeLuIBHDJg+zmUCX7TQMQvvXKE5rXBik6OjKqu7QdxtNX6
MNPOAnid4MJQF2feqzk65oL8/DObWNMuMfO2P+ZFz7olpObuvjHUdK/ABAH2KCEolGUet5ciokk0
hykcfXScHDcoodOJRq67pOscatIwXBd6EwcL3Y49YL2BmNAIY24pJ6GS1oCAHBo15+wKlcqX1Op8
BlQTjo2sFtlIV7tNnJMubPtxJYJBbhdWLHXKyRh3Pa3KRMnsbaLGarqSlcxPYd1kmIbSTKxDgLqV
6pXnVqBI/WpChVU3OYVlsOM9GqhuUcZauSinJiecKCkE7RDX4XClR14IHS1LOIuAotkxZ68JdJNV
IAm+cB0pTv27PEJwW1tJJWfYtBFCzCgkJf58yHHGdHX2HTqeIlC007ZzWnSNbK1LFkENHGjr2Pk0
UsyqOjmvqHMV0KoSHXFHKciEQmOvgH4klZmOUIGaojkj+wRfk7thF61ksAPUvCKV2WeKvoVXMLYC
xEFAm+PU9kRpzbwxjG8tBRDzmSS1hnql2iOInTToqZrlkZ75s4qYQXXjxKzhgrRi9Fb0UEM8zLxA
ro4NCVTkRdtFdbcuDR8vybHVlO5tpBum2EC/acD0QdAxT+vRK8uTtikDRF3bMYOHAtAiOKmNsDG3
EqDLBgKgGPuZnmmdftxmyC29hRJeRwvba5kNHRHl59r2iTe6nH1lZoshUs+B7IO747U11hc59f3g
IpOBwS0MZRjTDfDS1Huf2dDUoiaTmkUGzt7ZslVqyQfZGFpg/VllqYtCUun5hkVdKbQSKrPqQYuO
RrC0JfZWOAOR3Hzx1UHrYTpEabM26qJO5nURRNqF5nmFBOrG19YRTUXjhEKNGBe7aPqnkobT8KbK
6/x38TRDeJpp/J9LLSC+TqnxX6cWp9cif7Piyev8zW3+5qpJHqcZD3/+kGYY8hEVWWrbE0/YwnaY
XOJrmmEfTeIOpAsKPkg2RmuP0gxr+hkWAzi4KMRpFrH/1zRD1Y+Q1NRQ99dQ7cbBVP2ZNANjm700
gwsh/W2S3WLfiA32ftmmh7XKd2zdrGEXX4wU5Mcvgy85MYQRENe62w7TAQ0FyvDP2QX9kZ0BjkR6
HJtWUB7nYyWZn2iTB5O/ni/VcIpirZYu5KKpgy+DWhv6tWpwtv3WtJw889CQC04XyZdklY0g8oVy
oeNuFQIdzdOy/y23dDAdeu4pAEVCozYW8RA3ERKcYGvmqbA6GAidauUXgI6bbjXgXw/iD9W0cRWQ
M2Np2FpwCXsN8CwgZBOipN30iXqixRGENW/M1OpcdsqAbATB3kL5GNdVB3+qRejD26aTLuhnpS0o
23ehIJJLzKJIFvipQb22q5BzsyZBt95LRlD/5pc0Nma18PT3nReQx9hJx3HXDZ2Tn3AgVEsyKSO5
CCuAlhdWqwc56Fi/7NdyCtBr3qdZcxxHwMmbWVnx4+Vwv+Z9Ibp80TplT0sf3quygHvhA+HZbRgT
ScfZ9jl0Rvo1qhp+MHe7zMh55SzkJPT8i6j2owSGqR3ztWoEetXzLgM2SVge1t0CRh6xJ+Uc9rVu
t8dhmdPqx/Zu7/PhSTdzNY1Dcw0LMhnPAUQXeJYqWQmhLK5UGSBbT8fIjwtQq0Sb7JsT+4DCslyC
/u3aMqtO8pSgZRaPFt4XnT0Z43iYLMUAhha+HPFl4tHIs7d6HBBkg8cDPBxb5TCu/XSs7Ks8zCvz
becHndm6JotsnHUBYmvuIMW6vJKBSQsX3g/4XYjctnwJagqoWROlKBeoeV1eDTmRzIYGSSTea5IQ
2dKxjJHvAeaqOQbFCpUbLLkzbDK9rp0vQ4tqwFw2Jb11SwsBTlcHK9ouQQZHtOMN2Wo3pQGCCQKD
A8wQew0jPiaPccRcaYIomsPji6t3QZ9L3XHmaUi3kESmKuRNOTj1E91/33AQgTbNshSalO5L4pMs
6vBcLUKVbFEX6k2Q1Kk11+22+D0SXlnNhZxqqVs7vVFy9pZWPzNhLJfgnwthrczObgdkPNKAQDCv
9PEUmjYlgybsk2GDHrONDbuXaHdRNjI/QuqO+lmLuE8y60PLil1fjIa9SeJAs129cCR1YWop52lp
5+FiLKRhvCt1XtcV9Cq724rGdjiXcSbvz3KL4ZuXCcZuc63oQ2kZphVxlt913aYx0S+cZZYj+XPH
E1q1kqoQcFoVmkky5zAUw4xQTCZyGeHTzMqh6dKLTgLrPXPkELFDP42cL1XWe8wVTWRt8QHJx7I+
KQqjmGmShESa7OF6BK+rmdvJCMoWrGaiOBAZO7kV1MzMrN3aEZAX8iTL193altpwVuVhCQa08dUa
MoGle/UH4ZNQ1gsRZtFd11OWdzu9DxpQ06nRzXJqDgIkbplJs4GNT74Mc4I9t5bkzJ9HlJooRSvA
3eepwRdYagk6ASvI1roP+jAqjYs2s616YrPGkNM7o6xXwDy04ARC64D+QRo4FVpPSb9sFdFNsW84
trAWCz1nok5sOaCx2FdDwQB6C9SNUisAOj9fdCDP1MvMKJ3f00rtrLWjBPA+S4k4Yas68I7fD2mJ
EIEF2ceahZLoPLBTMiAiOfQwitTr2Hzfe4WTrFQzN8WC+E7RZxCjpXqtaqoHHwbXcUGtvVI+VSTA
sLPZBil6VNDsVtRqKmvmKDHl/0amRgLfQPbetU1nXgGXG9+1pupHKyOPs3ztF2oMqDsQt5o5FKdN
R2NtLgKjxJs9Unx9pioA5heD6BsQ5b7OpIYnZMFmilOhzXxPSNp6pJchbU09i4Bmq9ZYLpHp8oO5
I4lenWGz073X6qwFslz0gQX+VW46V4IERkHCFnV7OsKwqC7qtraVbdFJXfPBSx1SVcDtpb4FgzMx
ImunqmCrFF172fENzbeQEgCmeR4otTVkviF7lwPrpORtS8HgVp7AJ4DdXK/maSc6jdUMIfd9UKWZ
eF9WSh5xTcmgjx8qTXcW1HT9jhPBNrFVe8y6T4TQ+o9KP/VramHp/tKyhuZdVukNEpJ2DGINeghE
3t7GUnedFeYgo0UQ5MrCAlE4GDBRJg/CWQrkOTghYm+E2yf54CxtDzL23IyNEMk7Q8ODqEddPThF
FLwuIK0UebuoWqexlrony7fUHUdlVmitrV8onhc7b82ilTNW64B5xf+1gPJRWfu7YvW3yu1Uyt6V
bN/l/71f+loSfv5Cf6/6TfSn7Ve/d19qV3v/0TWSa0r0zS0FckmRj0AOW8DxEFjdfX55k+SZ//Xn
un2ERBdxpk3XY/rQ/CQofjRKfzUOP37E71sD31/nR49w3x+YmgAO2nAc1Hux+k8PhH2EDaPNCBj3
zzk96OOBMLWpVUBs7EAPmz6vbiCwiCVqf5Kx/PQoOEd0IGVmw8NDTld8PAqacQTmkY4UKcLuc3/H
VzQdSF0m+Mhhw6BqRwb4VdIhPN4eXvbjYdDNIwANNl2j+1GY0qVXtirw/Dx0FBReNjkfbSyyxSeP
bx0hDIv0j/2wWF7dWiChJsc+bBLQ5XMwaZVZDk8fX7OPDAxinuyZr+vtP9cY/em9QGGSw3+mz/2w
GTChnswC52jC9kxeNq90L3A0OriTqvBhE0E1jnRN1nEnohSz+3w/ELSIFYX6ydefv675oKLcevDZ
QDWKUbAd1PWf3RQ1/Qgzdk2Gkn3/8/sV+IrOBlr5LOXDJoN2xOKaDj+O291nb1WY8hHFicn6+2GY
7rfh//lRuIGzKiYMhh/m2ePa5N89GPYu8DRo1Hafydj88ZYwgSZ2g/I1fvjfevi/hIyAeDp0Bjgc
Czbmr/rDNJepEz8eBJPTEdMEII9YRU2f+9j0f34G/OUgTCf6/Zu5Rwd9y0J+JnNQZTIDPEeAH91v
enuhor77OQgdk+jhdW2HUw3+0FOBZa6BGHrY8Hf/2RsAQzliuySAUF9rlIS3iKZaBwdK2hHE5WkW
/EXqNMVLU/4IVOo1zoSDn984whVMsbC6vl/v+7uirh7ZmFGhyfln/PC6FgSMhIntcdjJqBIvEwuS
GT/khnths87RCWxyRwvcDdSriw+wEbH3m34/HTbbR6RF6Ax/mw17hQTCJDCFJk4oD/vm/R1f0fHw
XO/zp4eB44GQGKzswyG4X08x9CP6ZzjqkUDsPq8vh7Rs9f7oOuCUNFj6Oyzow8uemsqPgwUKKmCk
Deh0D9HEqxsGTabgc+jeQJlxsk6kA76/Gqwj/veUVNzvP69pGaCffHiUZB3x1NAGJzrW7vP0/VNf
NXRw8tRY75fBq9sUp2Dp4GEAFe3AN2AYHraDvWnA2YAxAJyyr8nlqxsGrE/+BTHzEVviFATcv+td
EfnxbqDrxNQE1Ww895PlFZ4NFIMO3g0M9n4dSrsJ3+Hx8xvmEUY36mS0ev95fZsCp/bhz089idgb
GsnDPNhfDfYRxByE6SHN3X9eW9xMwDgxEQ4LGLUph3JgNXyfOIGGcjh4HtbJq0wbDg0NSArYUVjn
Xxtve6NAIQmKHnAsCvC7z/0h/LcOyL/xS996mfMgTG53Xczwrn5E23nxF742+L6/wEPjburOUWx6
8nsTo+f+yvcdvOnfvz4pVOx6i49++LXXuLvNw58/PN/3d35yr68P9fV/rsO76rq6QYN2Ry56+Jb3
TKH/uKnuHhfJdnWiP7/FdySkbzP/hxdNrv38un583fsm3cEXTq/HPNu78q64eeiVZ9dBeP34C993
Ug697PLulrFP3jzH4oLxzwI/9A7I2v3xzyoElHl1nYn86wV3NLH7ctehd/hrMtlfc9X+1jQ5va6u
s+CP//fkSz/EG4d+6b8HUz34Ab5hYR+PO2InU6xw6CNcXFd//OfXy0zvE7et6Qz+F1z3+o9/ftmb
7btGycGXvquy6/RLc/P0ld6XFw69OGCyN7d3b46vs7uwenqD+zLOv+IGK6YkNwHZfAbp8cnWOJ39
HH7/2rvs46fv44tD7zFtBddv5qB1qjB7+qLvk7uDb8CqfXNx3SRP38M9BuHgi99Vflg8GfuHZPzQ
K7/LbxiZMHtyND3giQ699n+k18XT9fpQbj/0wqe8wvrNinMkfPq97xPUQy9/EV43f/zz67zexS5c
mDz00Atf5nzj9Mnsm0bkX7GE8uz2j/+fPT2wv+GhDv3e7LvX2dM3+a2hfui153f7m/q3XsSPL/1c
5PcNjvZ9PPgVZvbcnz2NdaffuEn4Wr/+FwAAAP//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463922</xdr:colOff>
      <xdr:row>49</xdr:row>
      <xdr:rowOff>73955</xdr:rowOff>
    </xdr:from>
    <xdr:to>
      <xdr:col>22</xdr:col>
      <xdr:colOff>67236</xdr:colOff>
      <xdr:row>73</xdr:row>
      <xdr:rowOff>79562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428625</xdr:colOff>
          <xdr:row>46</xdr:row>
          <xdr:rowOff>9525</xdr:rowOff>
        </xdr:from>
        <xdr:to>
          <xdr:col>18</xdr:col>
          <xdr:colOff>352425</xdr:colOff>
          <xdr:row>48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 (apenas nacional)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533400</xdr:colOff>
          <xdr:row>45</xdr:row>
          <xdr:rowOff>142875</xdr:rowOff>
        </xdr:from>
        <xdr:to>
          <xdr:col>20</xdr:col>
          <xdr:colOff>457200</xdr:colOff>
          <xdr:row>48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461401</xdr:colOff>
      <xdr:row>49</xdr:row>
      <xdr:rowOff>73955</xdr:rowOff>
    </xdr:from>
    <xdr:to>
      <xdr:col>14</xdr:col>
      <xdr:colOff>773205</xdr:colOff>
      <xdr:row>73</xdr:row>
      <xdr:rowOff>78440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43201" y="3664880"/>
              <a:ext cx="5102879" cy="389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22</xdr:col>
      <xdr:colOff>324969</xdr:colOff>
      <xdr:row>49</xdr:row>
      <xdr:rowOff>89648</xdr:rowOff>
    </xdr:from>
    <xdr:to>
      <xdr:col>38</xdr:col>
      <xdr:colOff>179294</xdr:colOff>
      <xdr:row>73</xdr:row>
      <xdr:rowOff>78441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587186</xdr:colOff>
      <xdr:row>19</xdr:row>
      <xdr:rowOff>118780</xdr:rowOff>
    </xdr:from>
    <xdr:to>
      <xdr:col>4</xdr:col>
      <xdr:colOff>56029</xdr:colOff>
      <xdr:row>43</xdr:row>
      <xdr:rowOff>124387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21</xdr:row>
          <xdr:rowOff>76200</xdr:rowOff>
        </xdr:from>
        <xdr:to>
          <xdr:col>6</xdr:col>
          <xdr:colOff>257175</xdr:colOff>
          <xdr:row>24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 (apenas nacional)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428625</xdr:colOff>
          <xdr:row>21</xdr:row>
          <xdr:rowOff>57150</xdr:rowOff>
        </xdr:from>
        <xdr:to>
          <xdr:col>8</xdr:col>
          <xdr:colOff>371475</xdr:colOff>
          <xdr:row>24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DAD338-3C11-4544-BBBE-AF3F14AA5ADE}" name="Tab_Presidente_Estados" displayName="Tab_Presidente_Estados" ref="A51:G78" totalsRowShown="0" headerRowDxfId="8" tableBorderDxfId="7" headerRowCellStyle="Normal 2" dataCellStyle="Normal 2">
  <autoFilter ref="A51:G78" xr:uid="{89DAD338-3C11-4544-BBBE-AF3F14AA5ADE}"/>
  <tableColumns count="7">
    <tableColumn id="1" xr3:uid="{05A1688B-3AB9-4B32-9C5B-E2762F7EA45C}" name="Sigla" dataDxfId="6" dataCellStyle="Normal 2"/>
    <tableColumn id="2" xr3:uid="{DBFEFC50-EE51-4B22-8E73-1D76DEF02872}" name="Estado" dataDxfId="5" dataCellStyle="Normal 2"/>
    <tableColumn id="3" xr3:uid="{9EBF6A28-96F2-4CF8-A8BB-6791A3B59E41}" name="Lula" dataDxfId="4" dataCellStyle="Normal 2">
      <calculatedColumnFormula array="1">_xlfn.NUMBERVALUE(INDEX( _xlfn._xlws.SORT(INDEX(xlFOCUS_ReadJSON($C9, FALSE, , "cand"), {1;2}, {4,11}), 1,-1), 1, 2), ",", ".")</calculatedColumnFormula>
    </tableColumn>
    <tableColumn id="4" xr3:uid="{FCFC0ECD-CACE-40B6-86D8-94E588C359FB}" name="Bolsonaro" dataDxfId="3" dataCellStyle="Normal 2">
      <calculatedColumnFormula array="1">_xlfn.NUMBERVALUE(INDEX( _xlfn._xlws.SORT(INDEX(xlFOCUS_ReadJSON($C9, FALSE, , "cand"), {1;2}, {4,11}), 1,-1), 2, 2), ",", ".")</calculatedColumnFormula>
    </tableColumn>
    <tableColumn id="5" xr3:uid="{CD85BF1D-BF1E-4D07-8E64-753EAAA673A0}" name="Eleitores" dataDxfId="2" dataCellStyle="Normal 2">
      <calculatedColumnFormula>_xlfn.NUMBERVALUE( VLOOKUP( "e", xlFOCUS_ReadJSON($C9,FALSE), 2, 0), ",", ".")</calculatedColumnFormula>
    </tableColumn>
    <tableColumn id="6" xr3:uid="{E28E9BD3-956F-4DC1-8851-48F0E06156E0}" name="Apurados" dataDxfId="1" dataCellStyle="Normal 2">
      <calculatedColumnFormula>_xlfn.NUMBERVALUE( VLOOKUP( "ea", xlFOCUS_ReadJSON($C9,FALSE), 2, 0), ",", ".")</calculatedColumnFormula>
    </tableColumn>
    <tableColumn id="7" xr3:uid="{A0D3E7BE-1EFD-4CA6-A6FE-E3163EEB0364}" name="%" dataDxfId="0" dataCellStyle="Normal 2">
      <calculatedColumnFormula>_xlfn.NUMBERVALUE( VLOOKUP( "pea", xlFOCUS_ReadJSON($C9,FALSE), 2, 0), ",", ".")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sultados.tse.jus.br/oficial/ele2022/545/dados-simplificados/br/br-c0001-e000545-r.jso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esultados.tse.jus.br/oficial/ele2022/547/dados-simplificados/al/al-c0003-e000547-r.json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resultados.tse.jus.br/oficial/ele2022/545/dados-simplificados/br/br-c0001-e000545-r.json" TargetMode="External"/><Relationship Id="rId7" Type="http://schemas.openxmlformats.org/officeDocument/2006/relationships/hyperlink" Target="https://www.youtube.com/watch?v=_OwLQoPYxg4" TargetMode="External"/><Relationship Id="rId2" Type="http://schemas.openxmlformats.org/officeDocument/2006/relationships/hyperlink" Target="https://resultados.tse.jus.br/oficial/ele2022/545/dados-simplificados/br/br-c0001-e000545-r.json" TargetMode="External"/><Relationship Id="rId1" Type="http://schemas.openxmlformats.org/officeDocument/2006/relationships/hyperlink" Target="https://resultados.tse.jus.br/oficial/ele2022/545/dados-simplificados/br/br-c0001-e000545-r.json" TargetMode="External"/><Relationship Id="rId6" Type="http://schemas.openxmlformats.org/officeDocument/2006/relationships/hyperlink" Target="https://www.youtube.com/watch?v=dm-TDjnl0Uw" TargetMode="External"/><Relationship Id="rId5" Type="http://schemas.openxmlformats.org/officeDocument/2006/relationships/hyperlink" Target="https://www.youtube.com/watch?v=jSOVyhaymvg" TargetMode="External"/><Relationship Id="rId4" Type="http://schemas.openxmlformats.org/officeDocument/2006/relationships/hyperlink" Target="https://www.youtube.com/watch?v=gilUNUWcCc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64E0-C47E-4094-9B81-07811ACCD248}">
  <sheetPr codeName="Planilha4"/>
  <dimension ref="A1:AA78"/>
  <sheetViews>
    <sheetView showGridLines="0" tabSelected="1" zoomScale="85" zoomScaleNormal="85" workbookViewId="0">
      <selection activeCell="Q41" sqref="Q41"/>
    </sheetView>
  </sheetViews>
  <sheetFormatPr defaultRowHeight="12.75" x14ac:dyDescent="0.2"/>
  <cols>
    <col min="1" max="1" width="9.140625" style="4"/>
    <col min="2" max="2" width="22.7109375" style="4" bestFit="1" customWidth="1"/>
    <col min="3" max="4" width="17.7109375" style="4" customWidth="1"/>
    <col min="5" max="5" width="11.28515625" style="4" customWidth="1"/>
    <col min="6" max="6" width="12.85546875" style="4" customWidth="1"/>
    <col min="7" max="7" width="10.28515625" style="4" customWidth="1"/>
    <col min="8" max="8" width="7.5703125" style="4" bestFit="1" customWidth="1"/>
    <col min="9" max="9" width="11" style="4" customWidth="1"/>
    <col min="10" max="10" width="12.28515625" style="4" customWidth="1"/>
    <col min="11" max="11" width="8.7109375" style="4" customWidth="1"/>
    <col min="12" max="12" width="12.28515625" style="4" customWidth="1"/>
    <col min="13" max="13" width="7.7109375" style="4" customWidth="1"/>
    <col min="14" max="14" width="12.28515625" style="4" customWidth="1"/>
    <col min="15" max="15" width="14" style="4" customWidth="1"/>
    <col min="16" max="16384" width="9.140625" style="4"/>
  </cols>
  <sheetData>
    <row r="1" spans="1:27" ht="18" x14ac:dyDescent="0.25">
      <c r="A1" s="7" t="s">
        <v>14</v>
      </c>
      <c r="F1" s="28" t="s">
        <v>100</v>
      </c>
      <c r="G1" s="39" t="str">
        <f>IF( (E45-E46) &gt; L45, B45, IF( (E46-E45) &gt; L45, B46, "INDEFINIDO"))</f>
        <v>INDEFINIDO</v>
      </c>
      <c r="H1" s="39"/>
      <c r="I1" s="39"/>
      <c r="J1" s="39"/>
      <c r="L1" s="28" t="s">
        <v>106</v>
      </c>
      <c r="M1" s="39" t="str">
        <f>IF(E45&gt;E46,B45,IF(E46&gt;E45,B46,"INDEFINIDO"))</f>
        <v>INDEFINIDO</v>
      </c>
      <c r="N1" s="39"/>
      <c r="O1" s="39"/>
      <c r="P1" s="39"/>
      <c r="R1" s="38" t="s">
        <v>116</v>
      </c>
      <c r="S1" s="38"/>
      <c r="T1" s="38"/>
      <c r="U1" s="39" t="str">
        <f>IF(ISERROR(json_br), "Fora de serviço", "Ativa")</f>
        <v>Ativa</v>
      </c>
      <c r="V1" s="39"/>
      <c r="X1" s="38" t="s">
        <v>119</v>
      </c>
      <c r="Y1" s="38"/>
      <c r="Z1" s="40" t="s">
        <v>120</v>
      </c>
      <c r="AA1" s="40"/>
    </row>
    <row r="3" spans="1:27" s="2" customFormat="1" x14ac:dyDescent="0.2">
      <c r="A3" s="1" t="s">
        <v>0</v>
      </c>
    </row>
    <row r="4" spans="1:27" ht="15" x14ac:dyDescent="0.25">
      <c r="A4" s="3" t="s">
        <v>81</v>
      </c>
    </row>
    <row r="6" spans="1:27" s="2" customFormat="1" x14ac:dyDescent="0.2">
      <c r="A6" s="1" t="s">
        <v>1</v>
      </c>
    </row>
    <row r="7" spans="1:27" x14ac:dyDescent="0.2">
      <c r="A7" s="4" t="str" cm="1">
        <f t="array" ref="A7">xlFOCUS_WEBSERVICE(A4)</f>
        <v xml:space="preserve">
{ "ele" : "545", "tpabr" : "br", "cdabr" : "br", "carper" : "1", "md" : "N", "t" : "2", "f" : "o", "dg" : "28/10/2022", "hg" : "10:57:05", "dt" : "", "ht" : "", "dv" : "s", "tf" : "n", "v" : "1", "esae" : "n", "mnae" : "", "s" : "472075", "st" : "0", "pst" : "0,00", "snt" : "472075", "psnt" : "100,00", "si" : "0", "psi" : "0,00", "sni" : "0", "psni" : "0,00", "sa" : "0", "psa" : "0,00", "sna" : "0", "psna" : "0,00", "e" : "156454011",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9" spans="1:27" hidden="1" x14ac:dyDescent="0.2">
      <c r="A9" s="4" t="s">
        <v>18</v>
      </c>
      <c r="B9" s="4" t="s">
        <v>17</v>
      </c>
      <c r="C9" s="4" t="str" cm="1">
        <f t="array" ref="C9">xlFOCUS_WEBSERVICE(SUBSTITUTE($A$4, "/br/br-", "/"&amp;LOWER($A9)&amp;"/"&amp;LOWER($A9)&amp;"-"))</f>
        <v xml:space="preserve">
{ "ele" : "545", "tpabr" : "uf", "cdabr" : "AC", "carper" : "1", "md" : "N", "t" : "2", "f" : "o", "dg" : "28/10/2022", "hg" : "10:57:04", "dt" : "", "ht" : "", "dv" : "s", "tf" : "n", "v" : "1", "esae" : "n", "mnae" : "", "s" : "2124", "st" : "0", "pst" : "0,00", "snt" : "2124", "psnt" : "100,00", "si" : "0", "psi" : "0,00", "sni" : "0", "psni" : "0,00", "sa" : "0", "psa" : "0,00", "sna" : "0", "psna" : "0,00", "e" : "587765",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0" spans="1:27" hidden="1" x14ac:dyDescent="0.2">
      <c r="A10" s="4" t="s">
        <v>20</v>
      </c>
      <c r="B10" s="4" t="s">
        <v>19</v>
      </c>
      <c r="C10" s="4" t="str" cm="1">
        <f t="array" ref="C10">xlFOCUS_WEBSERVICE(SUBSTITUTE($A$4, "/br/br-", "/"&amp;LOWER($A10)&amp;"/"&amp;LOWER($A10)&amp;"-"))</f>
        <v xml:space="preserve">
{ "ele" : "545", "tpabr" : "uf", "cdabr" : "AL", "carper" : "1", "md" : "N", "t" : "2", "f" : "o", "dg" : "28/10/2022", "hg" : "10:57:04", "dt" : "", "ht" : "", "dv" : "s", "tf" : "n", "v" : "1", "esae" : "n", "mnae" : "", "s" : "6626", "st" : "0", "pst" : "0,00", "snt" : "6626", "psnt" : "100,00", "si" : "0", "psi" : "0,00", "sni" : "0", "psni" : "0,00", "sa" : "0", "psa" : "0,00", "sna" : "0", "psna" : "0,00", "e" : "2325814",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1" spans="1:27" hidden="1" x14ac:dyDescent="0.2">
      <c r="A11" s="4" t="s">
        <v>22</v>
      </c>
      <c r="B11" s="4" t="s">
        <v>21</v>
      </c>
      <c r="C11" s="4" t="str" cm="1">
        <f t="array" ref="C11">xlFOCUS_WEBSERVICE(SUBSTITUTE($A$4, "/br/br-", "/"&amp;LOWER($A11)&amp;"/"&amp;LOWER($A11)&amp;"-"))</f>
        <v xml:space="preserve">
{ "ele" : "545", "tpabr" : "uf", "cdabr" : "AP", "carper" : "1", "md" : "N", "t" : "2", "f" : "o", "dg" : "28/10/2022", "hg" : "10:57:04", "dt" : "", "ht" : "", "dv" : "s", "tf" : "n", "v" : "1", "esae" : "n", "mnae" : "", "s" : "1740", "st" : "0", "pst" : "0,00", "snt" : "1740", "psnt" : "100,00", "si" : "0", "psi" : "0,00", "sni" : "0", "psni" : "0,00", "sa" : "0", "psa" : "0,00", "sna" : "0", "psna" : "0,00", "e" : "550131",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2" spans="1:27" hidden="1" x14ac:dyDescent="0.2">
      <c r="A12" s="4" t="s">
        <v>24</v>
      </c>
      <c r="B12" s="4" t="s">
        <v>23</v>
      </c>
      <c r="C12" s="4" t="str" cm="1">
        <f t="array" ref="C12">xlFOCUS_WEBSERVICE(SUBSTITUTE($A$4, "/br/br-", "/"&amp;LOWER($A12)&amp;"/"&amp;LOWER($A12)&amp;"-"))</f>
        <v xml:space="preserve">
{ "ele" : "545", "tpabr" : "uf", "cdabr" : "AM", "carper" : "1", "md" : "N", "t" : "2", "f" : "o", "dg" : "28/10/2022", "hg" : "10:57:04", "dt" : "", "ht" : "", "dv" : "s", "tf" : "n", "v" : "1", "esae" : "n", "mnae" : "", "s" : "7454", "st" : "0", "pst" : "0,00", "snt" : "7454", "psnt" : "100,00", "si" : "0", "psi" : "0,00", "sni" : "0", "psni" : "0,00", "sa" : "0", "psa" : "0,00", "sna" : "0", "psna" : "0,00", "e" : "2647123",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3" spans="1:27" hidden="1" x14ac:dyDescent="0.2">
      <c r="A13" s="4" t="s">
        <v>26</v>
      </c>
      <c r="B13" s="4" t="s">
        <v>25</v>
      </c>
      <c r="C13" s="4" t="str" cm="1">
        <f t="array" ref="C13">xlFOCUS_WEBSERVICE(SUBSTITUTE($A$4, "/br/br-", "/"&amp;LOWER($A13)&amp;"/"&amp;LOWER($A13)&amp;"-"))</f>
        <v xml:space="preserve">
{ "ele" : "545", "tpabr" : "uf", "cdabr" : "BA", "carper" : "1", "md" : "N", "t" : "2", "f" : "o", "dg" : "28/10/2022", "hg" : "10:57:05", "dt" : "", "ht" : "", "dv" : "s", "tf" : "n", "v" : "1", "esae" : "n", "mnae" : "", "s" : "34424", "st" : "0", "pst" : "0,00", "snt" : "34424", "psnt" : "100,00", "si" : "0", "psi" : "0,00", "sni" : "0", "psni" : "0,00", "sa" : "0", "psa" : "0,00", "sna" : "0", "psna" : "0,00", "e" : "11282999",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4" spans="1:27" hidden="1" x14ac:dyDescent="0.2">
      <c r="A14" s="4" t="s">
        <v>28</v>
      </c>
      <c r="B14" s="4" t="s">
        <v>27</v>
      </c>
      <c r="C14" s="4" t="str" cm="1">
        <f t="array" ref="C14">xlFOCUS_WEBSERVICE(SUBSTITUTE($A$4, "/br/br-", "/"&amp;LOWER($A14)&amp;"/"&amp;LOWER($A14)&amp;"-"))</f>
        <v xml:space="preserve">
{ "ele" : "545", "tpabr" : "uf", "cdabr" : "CE", "carper" : "1", "md" : "N", "t" : "2", "f" : "o", "dg" : "28/10/2022", "hg" : "10:57:03", "dt" : "", "ht" : "", "dv" : "s", "tf" : "n", "v" : "1", "esae" : "n", "mnae" : "", "s" : "22796", "st" : "0", "pst" : "0,00", "snt" : "22796", "psnt" : "100,00", "si" : "0", "psi" : "0,00", "sni" : "0", "psni" : "0,00", "sa" : "0", "psa" : "0,00", "sna" : "0", "psna" : "0,00", "e" : "6818192",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5" spans="1:27" hidden="1" x14ac:dyDescent="0.2">
      <c r="A15" s="4" t="s">
        <v>30</v>
      </c>
      <c r="B15" s="4" t="s">
        <v>29</v>
      </c>
      <c r="C15" s="4" t="str" cm="1">
        <f t="array" ref="C15">xlFOCUS_WEBSERVICE(SUBSTITUTE($A$4, "/br/br-", "/"&amp;LOWER($A15)&amp;"/"&amp;LOWER($A15)&amp;"-"))</f>
        <v xml:space="preserve">
{ "ele" : "545", "tpabr" : "uf", "cdabr" : "ES", "carper" : "1", "md" : "N", "t" : "2", "f" : "o", "dg" : "28/10/2022", "hg" : "10:57:01", "dt" : "", "ht" : "", "dv" : "s", "tf" : "n", "v" : "1", "esae" : "n", "mnae" : "", "s" : "9239", "st" : "0", "pst" : "0,00", "snt" : "9239", "psnt" : "100,00", "si" : "0", "psi" : "0,00", "sni" : "0", "psni" : "0,00", "sa" : "0", "psa" : "0,00", "sna" : "0", "psna" : "0,00", "e" : "2922264",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6" spans="1:27" hidden="1" x14ac:dyDescent="0.2">
      <c r="A16" s="4" t="s">
        <v>32</v>
      </c>
      <c r="B16" s="4" t="s">
        <v>31</v>
      </c>
      <c r="C16" s="4" t="str" cm="1">
        <f t="array" ref="C16">xlFOCUS_WEBSERVICE(SUBSTITUTE($A$4, "/br/br-", "/"&amp;LOWER($A16)&amp;"/"&amp;LOWER($A16)&amp;"-"))</f>
        <v xml:space="preserve">
{ "ele" : "545", "tpabr" : "uf", "cdabr" : "GO", "carper" : "1", "md" : "N", "t" : "2", "f" : "o", "dg" : "28/10/2022", "hg" : "10:56:58", "dt" : "", "ht" : "", "dv" : "s", "tf" : "n", "v" : "1", "esae" : "n", "mnae" : "", "s" : "14620", "st" : "0", "pst" : "0,00", "snt" : "14620", "psnt" : "100,00", "si" : "0", "psi" : "0,00", "sni" : "0", "psni" : "0,00", "sa" : "0", "psa" : "0,00", "sna" : "0", "psna" : "0,00", "e" : "4870621",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7" spans="1:3" hidden="1" x14ac:dyDescent="0.2">
      <c r="A17" s="4" t="s">
        <v>34</v>
      </c>
      <c r="B17" s="4" t="s">
        <v>33</v>
      </c>
      <c r="C17" s="4" t="str" cm="1">
        <f t="array" ref="C17">xlFOCUS_WEBSERVICE(SUBSTITUTE($A$4, "/br/br-", "/"&amp;LOWER($A17)&amp;"/"&amp;LOWER($A17)&amp;"-"))</f>
        <v xml:space="preserve">
{ "ele" : "545", "tpabr" : "uf", "cdabr" : "MA", "carper" : "1", "md" : "N", "t" : "2", "f" : "o", "dg" : "28/10/2022", "hg" : "10:57:03", "dt" : "", "ht" : "", "dv" : "s", "tf" : "n", "v" : "1", "esae" : "n", "mnae" : "", "s" : "16423", "st" : "0", "pst" : "0,00", "snt" : "16423", "psnt" : "100,00", "si" : "0", "psi" : "0,00", "sni" : "0", "psni" : "0,00", "sa" : "0", "psa" : "0,00", "sna" : "0", "psna" : "0,00", "e" : "5039307",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8" spans="1:3" hidden="1" x14ac:dyDescent="0.2">
      <c r="A18" s="4" t="s">
        <v>36</v>
      </c>
      <c r="B18" s="4" t="s">
        <v>35</v>
      </c>
      <c r="C18" s="4" t="str" cm="1">
        <f t="array" ref="C18">xlFOCUS_WEBSERVICE(SUBSTITUTE($A$4, "/br/br-", "/"&amp;LOWER($A18)&amp;"/"&amp;LOWER($A18)&amp;"-"))</f>
        <v xml:space="preserve">
{ "ele" : "545", "tpabr" : "uf", "cdabr" : "MT", "carper" : "1", "md" : "N", "t" : "2", "f" : "o", "dg" : "28/10/2022", "hg" : "10:57:01", "dt" : "", "ht" : "", "dv" : "s", "tf" : "n", "v" : "1", "esae" : "n", "mnae" : "", "s" : "7652", "st" : "0", "pst" : "0,00", "snt" : "7652", "psnt" : "100,00", "si" : "0", "psi" : "0,00", "sni" : "0", "psni" : "0,00", "sa" : "0", "psa" : "0,00", "sna" : "0", "psna" : "0,00", "e" : "2469797",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9" spans="1:3" hidden="1" x14ac:dyDescent="0.2">
      <c r="A19" s="4" t="s">
        <v>38</v>
      </c>
      <c r="B19" s="4" t="s">
        <v>37</v>
      </c>
      <c r="C19" s="4" t="str" cm="1">
        <f t="array" ref="C19">xlFOCUS_WEBSERVICE(SUBSTITUTE($A$4, "/br/br-", "/"&amp;LOWER($A19)&amp;"/"&amp;LOWER($A19)&amp;"-"))</f>
        <v xml:space="preserve">
{ "ele" : "545", "tpabr" : "uf", "cdabr" : "MS", "carper" : "1", "md" : "N", "t" : "2", "f" : "o", "dg" : "28/10/2022", "hg" : "10:57:01", "dt" : "", "ht" : "", "dv" : "s", "tf" : "n", "v" : "1", "esae" : "n", "mnae" : "", "s" : "6912", "st" : "0", "pst" : "0,00", "snt" : "6912", "psnt" : "100,00", "si" : "0", "psi" : "0,00", "sni" : "0", "psni" : "0,00", "sa" : "0", "psa" : "0,00", "sna" : "0", "psna" : "0,00", "e" : "1996066",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0" spans="1:3" hidden="1" x14ac:dyDescent="0.2">
      <c r="A20" s="4" t="s">
        <v>40</v>
      </c>
      <c r="B20" s="4" t="s">
        <v>39</v>
      </c>
      <c r="C20" s="4" t="str" cm="1">
        <f t="array" ref="C20">xlFOCUS_WEBSERVICE(SUBSTITUTE($A$4, "/br/br-", "/"&amp;LOWER($A20)&amp;"/"&amp;LOWER($A20)&amp;"-"))</f>
        <v xml:space="preserve">
{ "ele" : "545", "tpabr" : "uf", "cdabr" : "MG", "carper" : "1", "md" : "N", "t" : "2", "f" : "o", "dg" : "28/10/2022", "hg" : "10:57:02", "dt" : "", "ht" : "", "dv" : "s", "tf" : "n", "v" : "1", "esae" : "n", "mnae" : "", "s" : "49981", "st" : "0", "pst" : "0,00", "snt" : "49981", "psnt" : "100,00", "si" : "0", "psi" : "0,00", "sni" : "0", "psni" : "0,00", "sa" : "0", "psa" : "0,00", "sna" : "0", "psna" : "0,00", "e" : "16284615",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1" spans="1:3" hidden="1" x14ac:dyDescent="0.2">
      <c r="A21" s="4" t="s">
        <v>42</v>
      </c>
      <c r="B21" s="4" t="s">
        <v>41</v>
      </c>
      <c r="C21" s="4" t="str" cm="1">
        <f t="array" ref="C21">xlFOCUS_WEBSERVICE(SUBSTITUTE($A$4, "/br/br-", "/"&amp;LOWER($A21)&amp;"/"&amp;LOWER($A21)&amp;"-"))</f>
        <v xml:space="preserve">
{ "ele" : "545", "tpabr" : "uf", "cdabr" : "PA", "carper" : "1", "md" : "N", "t" : "2", "f" : "o", "dg" : "28/10/2022", "hg" : "10:57:00", "dt" : "", "ht" : "", "dv" : "s", "tf" : "n", "v" : "1", "esae" : "n", "mnae" : "", "s" : "18235", "st" : "0", "pst" : "0,00", "snt" : "18235", "psnt" : "100,00", "si" : "0", "psi" : "0,00", "sni" : "0", "psni" : "0,00", "sa" : "0", "psa" : "0,00", "sna" : "0", "psna" : "0,00", "e" : "6078857",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2" spans="1:3" hidden="1" x14ac:dyDescent="0.2">
      <c r="A22" s="4" t="s">
        <v>44</v>
      </c>
      <c r="B22" s="4" t="s">
        <v>43</v>
      </c>
      <c r="C22" s="4" t="str" cm="1">
        <f t="array" ref="C22">xlFOCUS_WEBSERVICE(SUBSTITUTE($A$4, "/br/br-", "/"&amp;LOWER($A22)&amp;"/"&amp;LOWER($A22)&amp;"-"))</f>
        <v xml:space="preserve">
{ "ele" : "545", "tpabr" : "uf", "cdabr" : "PB", "carper" : "1", "md" : "N", "t" : "2", "f" : "o", "dg" : "28/10/2022", "hg" : "10:56:59", "dt" : "", "ht" : "", "dv" : "s", "tf" : "n", "v" : "1", "esae" : "n", "mnae" : "", "s" : "9602", "st" : "0", "pst" : "0,00", "snt" : "9602", "psnt" : "100,00", "si" : "0", "psi" : "0,00", "sni" : "0", "psni" : "0,00", "sa" : "0", "psa" : "0,00", "sna" : "0", "psna" : "0,00", "e" : "3091719",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3" spans="1:3" hidden="1" x14ac:dyDescent="0.2">
      <c r="A23" s="4" t="s">
        <v>46</v>
      </c>
      <c r="B23" s="4" t="s">
        <v>45</v>
      </c>
      <c r="C23" s="4" t="str" cm="1">
        <f t="array" ref="C23">xlFOCUS_WEBSERVICE(SUBSTITUTE($A$4, "/br/br-", "/"&amp;LOWER($A23)&amp;"/"&amp;LOWER($A23)&amp;"-"))</f>
        <v xml:space="preserve">
{ "ele" : "545", "tpabr" : "uf", "cdabr" : "PR", "carper" : "1", "md" : "N", "t" : "2", "f" : "o", "dg" : "28/10/2022", "hg" : "10:57:01", "dt" : "", "ht" : "", "dv" : "s", "tf" : "n", "v" : "1", "esae" : "n", "mnae" : "", "s" : "25721", "st" : "0", "pst" : "0,00", "snt" : "25721", "psnt" : "100,00", "si" : "0", "psi" : "0,00", "sni" : "0", "psni" : "0,00", "sa" : "0", "psa" : "0,00", "sna" : "0", "psna" : "0,00", "e" : "8480626",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4" spans="1:3" hidden="1" x14ac:dyDescent="0.2">
      <c r="A24" s="4" t="s">
        <v>48</v>
      </c>
      <c r="B24" s="4" t="s">
        <v>47</v>
      </c>
      <c r="C24" s="4" t="str" cm="1">
        <f t="array" ref="C24">xlFOCUS_WEBSERVICE(SUBSTITUTE($A$4, "/br/br-", "/"&amp;LOWER($A24)&amp;"/"&amp;LOWER($A24)&amp;"-"))</f>
        <v xml:space="preserve">
{ "ele" : "545", "tpabr" : "uf", "cdabr" : "PE", "carper" : "1", "md" : "N", "t" : "2", "f" : "o", "dg" : "28/10/2022", "hg" : "10:56:59", "dt" : "", "ht" : "", "dv" : "s", "tf" : "n", "v" : "1", "esae" : "n", "mnae" : "", "s" : "20572", "st" : "0", "pst" : "0,00", "snt" : "20572", "psnt" : "100,00", "si" : "0", "psi" : "0,00", "sni" : "0", "psni" : "0,00", "sa" : "0", "psa" : "0,00", "sna" : "0", "psna" : "0,00", "e" : "7015086",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5" spans="1:3" hidden="1" x14ac:dyDescent="0.2">
      <c r="A25" s="4" t="s">
        <v>50</v>
      </c>
      <c r="B25" s="4" t="s">
        <v>49</v>
      </c>
      <c r="C25" s="4" t="str" cm="1">
        <f t="array" ref="C25">xlFOCUS_WEBSERVICE(SUBSTITUTE($A$4, "/br/br-", "/"&amp;LOWER($A25)&amp;"/"&amp;LOWER($A25)&amp;"-"))</f>
        <v xml:space="preserve">
{ "ele" : "545", "tpabr" : "uf", "cdabr" : "PI", "carper" : "1", "md" : "N", "t" : "2", "f" : "o", "dg" : "28/10/2022", "hg" : "10:57:00", "dt" : "", "ht" : "", "dv" : "s", "tf" : "n", "v" : "1", "esae" : "n", "mnae" : "", "s" : "8963", "st" : "0", "pst" : "0,00", "snt" : "8963", "psnt" : "100,00", "si" : "0", "psi" : "0,00", "sni" : "0", "psni" : "0,00", "sa" : "0", "psa" : "0,00", "sna" : "0", "psna" : "0,00", "e" : "2570253",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6" spans="1:3" hidden="1" x14ac:dyDescent="0.2">
      <c r="A26" s="4" t="s">
        <v>52</v>
      </c>
      <c r="B26" s="4" t="s">
        <v>51</v>
      </c>
      <c r="C26" s="4" t="str" cm="1">
        <f t="array" ref="C26">xlFOCUS_WEBSERVICE(SUBSTITUTE($A$4, "/br/br-", "/"&amp;LOWER($A26)&amp;"/"&amp;LOWER($A26)&amp;"-"))</f>
        <v xml:space="preserve">
{ "ele" : "545", "tpabr" : "uf", "cdabr" : "RJ", "carper" : "1", "md" : "N", "t" : "2", "f" : "o", "dg" : "28/10/2022", "hg" : "10:57:05", "dt" : "", "ht" : "", "dv" : "s", "tf" : "n", "v" : "1", "esae" : "n", "mnae" : "", "s" : "34068", "st" : "0", "pst" : "0,00", "snt" : "34068", "psnt" : "100,00", "si" : "0", "psi" : "0,00", "sni" : "0", "psni" : "0,00", "sa" : "0", "psa" : "0,00", "sna" : "0", "psna" : "0,00", "e" : "12827044",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7" spans="1:3" hidden="1" x14ac:dyDescent="0.2">
      <c r="A27" s="4" t="s">
        <v>54</v>
      </c>
      <c r="B27" s="4" t="s">
        <v>53</v>
      </c>
      <c r="C27" s="4" t="str" cm="1">
        <f t="array" ref="C27">xlFOCUS_WEBSERVICE(SUBSTITUTE($A$4, "/br/br-", "/"&amp;LOWER($A27)&amp;"/"&amp;LOWER($A27)&amp;"-"))</f>
        <v xml:space="preserve">
{ "ele" : "545", "tpabr" : "uf", "cdabr" : "RN", "carper" : "1", "md" : "N", "t" : "2", "f" : "o", "dg" : "28/10/2022", "hg" : "10:57:05", "dt" : "", "ht" : "", "dv" : "s", "tf" : "n", "v" : "1", "esae" : "n", "mnae" : "", "s" : "7674", "st" : "0", "pst" : "0,00", "snt" : "7674", "psnt" : "100,00", "si" : "0", "psi" : "0,00", "sni" : "0", "psni" : "0,00", "sa" : "0", "psa" : "0,00", "sna" : "0", "psna" : "0,00", "e" : "2554326",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8" spans="1:3" hidden="1" x14ac:dyDescent="0.2">
      <c r="A28" s="4" t="s">
        <v>56</v>
      </c>
      <c r="B28" s="4" t="s">
        <v>55</v>
      </c>
      <c r="C28" s="4" t="str" cm="1">
        <f t="array" ref="C28">xlFOCUS_WEBSERVICE(SUBSTITUTE($A$4, "/br/br-", "/"&amp;LOWER($A28)&amp;"/"&amp;LOWER($A28)&amp;"-"))</f>
        <v xml:space="preserve">
{ "ele" : "545", "tpabr" : "uf", "cdabr" : "RS", "carper" : "1", "md" : "N", "t" : "2", "f" : "o", "dg" : "28/10/2022", "hg" : "10:57:05", "dt" : "", "ht" : "", "dv" : "s", "tf" : "n", "v" : "1", "esae" : "n", "mnae" : "", "s" : "27201", "st" : "0", "pst" : "0,00", "snt" : "27201", "psnt" : "100,00", "si" : "0", "psi" : "0,00", "sni" : "0", "psni" : "0,00", "sa" : "0", "psa" : "0,00", "sna" : "0", "psna" : "0,00", "e" : "8589684",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9" spans="1:3" hidden="1" x14ac:dyDescent="0.2">
      <c r="A29" s="4" t="s">
        <v>58</v>
      </c>
      <c r="B29" s="4" t="s">
        <v>57</v>
      </c>
      <c r="C29" s="4" t="str" cm="1">
        <f t="array" ref="C29">xlFOCUS_WEBSERVICE(SUBSTITUTE($A$4, "/br/br-", "/"&amp;LOWER($A29)&amp;"/"&amp;LOWER($A29)&amp;"-"))</f>
        <v xml:space="preserve">
{ "ele" : "545", "tpabr" : "uf", "cdabr" : "RO", "carper" : "1", "md" : "N", "t" : "2", "f" : "o", "dg" : "28/10/2022", "hg" : "10:57:05", "dt" : "", "ht" : "", "dv" : "s", "tf" : "n", "v" : "1", "esae" : "n", "mnae" : "", "s" : "4198", "st" : "0", "pst" : "0,00", "snt" : "4198", "psnt" : "100,00", "si" : "0", "psi" : "0,00", "sni" : "0", "psni" : "0,00", "sa" : "0", "psa" : "0,00", "sna" : "0", "psna" : "0,00", "e" : "1230172",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0" spans="1:3" hidden="1" x14ac:dyDescent="0.2">
      <c r="A30" s="4" t="s">
        <v>60</v>
      </c>
      <c r="B30" s="4" t="s">
        <v>59</v>
      </c>
      <c r="C30" s="4" t="str" cm="1">
        <f t="array" ref="C30">xlFOCUS_WEBSERVICE(SUBSTITUTE($A$4, "/br/br-", "/"&amp;LOWER($A30)&amp;"/"&amp;LOWER($A30)&amp;"-"))</f>
        <v xml:space="preserve">
{ "ele" : "545", "tpabr" : "uf", "cdabr" : "RR", "carper" : "1", "md" : "N", "t" : "2", "f" : "o", "dg" : "28/10/2022", "hg" : "10:57:05", "dt" : "", "ht" : "", "dv" : "s", "tf" : "n", "v" : "1", "esae" : "n", "mnae" : "", "s" : "1268", "st" : "0", "pst" : "0,00", "snt" : "1268", "psnt" : "100,00", "si" : "0", "psi" : "0,00", "sni" : "0", "psni" : "0,00", "sa" : "0", "psa" : "0,00", "sna" : "0", "psna" : "0,00", "e" : "366641",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1" spans="1:3" hidden="1" x14ac:dyDescent="0.2">
      <c r="A31" s="4" t="s">
        <v>62</v>
      </c>
      <c r="B31" s="4" t="s">
        <v>61</v>
      </c>
      <c r="C31" s="4" t="str" cm="1">
        <f t="array" ref="C31">xlFOCUS_WEBSERVICE(SUBSTITUTE($A$4, "/br/br-", "/"&amp;LOWER($A31)&amp;"/"&amp;LOWER($A31)&amp;"-"))</f>
        <v xml:space="preserve">
{ "ele" : "545", "tpabr" : "uf", "cdabr" : "SC", "carper" : "1", "md" : "N", "t" : "2", "f" : "o", "dg" : "28/10/2022", "hg" : "10:57:04", "dt" : "", "ht" : "", "dv" : "s", "tf" : "n", "v" : "1", "esae" : "n", "mnae" : "", "s" : "16242", "st" : "0", "pst" : "0,00", "snt" : "16242", "psnt" : "100,00", "si" : "0", "psi" : "0,00", "sni" : "0", "psni" : "0,00", "sa" : "0", "psa" : "0,00", "sna" : "0", "psna" : "0,00", "e" : "5501284",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2" spans="1:3" hidden="1" x14ac:dyDescent="0.2">
      <c r="A32" s="4" t="s">
        <v>64</v>
      </c>
      <c r="B32" s="4" t="s">
        <v>63</v>
      </c>
      <c r="C32" s="4" t="str" cm="1">
        <f t="array" ref="C32">xlFOCUS_WEBSERVICE(SUBSTITUTE($A$4, "/br/br-", "/"&amp;LOWER($A32)&amp;"/"&amp;LOWER($A32)&amp;"-"))</f>
        <v xml:space="preserve">
{ "ele" : "545", "tpabr" : "uf", "cdabr" : "SP", "carper" : "1", "md" : "N", "t" : "2", "f" : "o", "dg" : "28/10/2022", "hg" : "10:57:02", "dt" : "", "ht" : "", "dv" : "s", "tf" : "n", "v" : "1", "esae" : "n", "mnae" : "", "s" : "101073", "st" : "0", "pst" : "0,00", "snt" : "101073", "psnt" : "100,00", "si" : "0", "psi" : "0,00", "sni" : "0", "psni" : "0,00", "sa" : "0", "psa" : "0,00", "sna" : "0", "psna" : "0,00", "e" : "34684876",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3" spans="1:15" hidden="1" x14ac:dyDescent="0.2">
      <c r="A33" s="4" t="s">
        <v>66</v>
      </c>
      <c r="B33" s="4" t="s">
        <v>65</v>
      </c>
      <c r="C33" s="4" t="str" cm="1">
        <f t="array" ref="C33">xlFOCUS_WEBSERVICE(SUBSTITUTE($A$4, "/br/br-", "/"&amp;LOWER($A33)&amp;"/"&amp;LOWER($A33)&amp;"-"))</f>
        <v xml:space="preserve">
{ "ele" : "545", "tpabr" : "uf", "cdabr" : "SE", "carper" : "1", "md" : "N", "t" : "2", "f" : "o", "dg" : "28/10/2022", "hg" : "10:57:04", "dt" : "", "ht" : "", "dv" : "s", "tf" : "n", "v" : "1", "esae" : "n", "mnae" : "", "s" : "5498", "st" : "0", "pst" : "0,00", "snt" : "5498", "psnt" : "100,00", "si" : "0", "psi" : "0,00", "sni" : "0", "psni" : "0,00", "sa" : "0", "psa" : "0,00", "sna" : "0", "psna" : "0,00", "e" : "1671241",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4" spans="1:15" hidden="1" x14ac:dyDescent="0.2">
      <c r="A34" s="4" t="s">
        <v>68</v>
      </c>
      <c r="B34" s="4" t="s">
        <v>67</v>
      </c>
      <c r="C34" s="4" t="str" cm="1">
        <f t="array" ref="C34">xlFOCUS_WEBSERVICE(SUBSTITUTE($A$4, "/br/br-", "/"&amp;LOWER($A34)&amp;"/"&amp;LOWER($A34)&amp;"-"))</f>
        <v xml:space="preserve">
{ "ele" : "545", "tpabr" : "uf", "cdabr" : "TO", "carper" : "1", "md" : "N", "t" : "2", "f" : "o", "dg" : "28/10/2022", "hg" : "10:57:03", "dt" : "", "ht" : "", "dv" : "s", "tf" : "n", "v" : "1", "esae" : "n", "mnae" : "", "s" : "3957", "st" : "0", "pst" : "0,00", "snt" : "3957", "psnt" : "100,00", "si" : "0", "psi" : "0,00", "sni" : "0", "psni" : "0,00", "sa" : "0", "psa" : "0,00", "sna" : "0", "psna" : "0,00", "e" : "1094302",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5" spans="1:15" hidden="1" x14ac:dyDescent="0.2">
      <c r="A35" s="4" t="s">
        <v>70</v>
      </c>
      <c r="B35" s="4" t="s">
        <v>69</v>
      </c>
      <c r="C35" s="4" t="str" cm="1">
        <f t="array" ref="C35">xlFOCUS_WEBSERVICE(SUBSTITUTE($A$4, "/br/br-", "/"&amp;LOWER($A35)&amp;"/"&amp;LOWER($A35)&amp;"-"))</f>
        <v xml:space="preserve">
{ "ele" : "545", "tpabr" : "uf", "cdabr" : "DF", "carper" : "1", "md" : "N", "t" : "2", "f" : "o", "dg" : "28/10/2022", "hg" : "10:57:03", "dt" : "", "ht" : "", "dv" : "s", "tf" : "n", "v" : "1", "esae" : "n", "mnae" : "", "s" : "6748", "st" : "0", "pst" : "0,00", "snt" : "6748", "psnt" : "100,00", "si" : "0", "psi" : "0,00", "sni" : "0", "psni" : "0,00", "sa" : "0", "psa" : "0,00", "sna" : "0", "psna" : "0,00", "e" : "2207628",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6" spans="1:15" hidden="1" x14ac:dyDescent="0.2"/>
    <row r="37" spans="1:15" x14ac:dyDescent="0.2">
      <c r="A37" s="1" t="s">
        <v>10</v>
      </c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5" x14ac:dyDescent="0.2">
      <c r="A38" s="1" t="s">
        <v>6</v>
      </c>
      <c r="B38" s="1" t="s">
        <v>7</v>
      </c>
      <c r="C38" s="1" t="s">
        <v>2</v>
      </c>
      <c r="D38" s="1" t="s">
        <v>3</v>
      </c>
      <c r="E38" s="1" t="s">
        <v>4</v>
      </c>
      <c r="F38" s="1" t="s">
        <v>5</v>
      </c>
      <c r="G38" s="1"/>
      <c r="H38" s="1"/>
      <c r="I38" s="1"/>
      <c r="J38" s="1" t="s">
        <v>9</v>
      </c>
      <c r="K38" s="1" t="s">
        <v>8</v>
      </c>
    </row>
    <row r="39" spans="1:15" x14ac:dyDescent="0.2">
      <c r="A39" s="4" t="str" cm="1">
        <f t="array" ref="A39:K40">xlFOCUS_ReadJSON(A7,FALSE,,"cand")</f>
        <v>1</v>
      </c>
      <c r="B39" s="4" t="str">
        <v>280001607829</v>
      </c>
      <c r="C39" s="4" t="str">
        <v>13</v>
      </c>
      <c r="D39" s="4" t="str">
        <v>LULA</v>
      </c>
      <c r="E39" s="4" t="str">
        <v>PT - Federação Brasil da Esperança - FE BRASIL (PT/PC do B/PV) / SOLIDARIEDADE / Federação PSOL REDE (PSOL/REDE) / PSB / AGIR / AVANTE / PROS</v>
      </c>
      <c r="F39" s="4" t="str">
        <v>GERALDO ALCKMIN</v>
      </c>
      <c r="G39" s="4" t="str">
        <v>n</v>
      </c>
      <c r="H39" s="4" t="str">
        <v/>
      </c>
      <c r="I39" s="4" t="str">
        <v>Válido</v>
      </c>
      <c r="J39" s="4" t="str">
        <v>0</v>
      </c>
      <c r="K39" s="4" t="str">
        <v>00,00</v>
      </c>
    </row>
    <row r="40" spans="1:15" x14ac:dyDescent="0.2">
      <c r="A40" s="4" t="str">
        <v>2</v>
      </c>
      <c r="B40" s="4" t="str">
        <v>280001618036</v>
      </c>
      <c r="C40" s="4" t="str">
        <v>22</v>
      </c>
      <c r="D40" s="4" t="str">
        <v>JAIR BOLSONARO</v>
      </c>
      <c r="E40" s="4" t="str">
        <v>PL - PP / REPUBLICANOS / PL</v>
      </c>
      <c r="F40" s="4" t="str">
        <v>BRAGA NETTO</v>
      </c>
      <c r="G40" s="4" t="str">
        <v>n</v>
      </c>
      <c r="H40" s="4" t="str">
        <v/>
      </c>
      <c r="I40" s="4" t="str">
        <v>Válido</v>
      </c>
      <c r="J40" s="4" t="str">
        <v>0</v>
      </c>
      <c r="K40" s="4" t="str">
        <v>00,00</v>
      </c>
    </row>
    <row r="43" spans="1:15" ht="15" customHeight="1" x14ac:dyDescent="0.2">
      <c r="A43" s="1" t="s">
        <v>11</v>
      </c>
      <c r="B43" s="2"/>
      <c r="C43" s="2"/>
      <c r="D43" s="2"/>
      <c r="E43" s="2"/>
      <c r="F43" s="2"/>
      <c r="G43" s="2" t="s">
        <v>88</v>
      </c>
      <c r="I43" s="1" t="s">
        <v>84</v>
      </c>
      <c r="J43" s="2"/>
      <c r="K43" s="2"/>
      <c r="L43" s="2"/>
      <c r="M43" s="2"/>
      <c r="N43" s="41" t="s">
        <v>103</v>
      </c>
      <c r="O43" s="41" t="s">
        <v>102</v>
      </c>
    </row>
    <row r="44" spans="1:15" ht="15" x14ac:dyDescent="0.25">
      <c r="A44" s="1" t="s">
        <v>2</v>
      </c>
      <c r="B44" s="1" t="s">
        <v>3</v>
      </c>
      <c r="C44" s="1" t="s">
        <v>13</v>
      </c>
      <c r="D44" s="1" t="s">
        <v>5</v>
      </c>
      <c r="E44" s="1" t="s">
        <v>9</v>
      </c>
      <c r="F44" s="1" t="s">
        <v>8</v>
      </c>
      <c r="G44" s="18" t="s">
        <v>12</v>
      </c>
      <c r="I44" s="22" t="s">
        <v>85</v>
      </c>
      <c r="J44" s="23" t="s">
        <v>87</v>
      </c>
      <c r="K44" s="23" t="s">
        <v>86</v>
      </c>
      <c r="L44" s="23" t="s">
        <v>99</v>
      </c>
      <c r="M44" s="23" t="s">
        <v>86</v>
      </c>
      <c r="N44" s="41"/>
      <c r="O44" s="41"/>
    </row>
    <row r="45" spans="1:15" x14ac:dyDescent="0.2">
      <c r="A45" s="4" t="str" cm="1">
        <f t="array" ref="A45:A46">C39:C40</f>
        <v>13</v>
      </c>
      <c r="B45" s="4" t="str" cm="1">
        <f t="array" ref="B45:B46">SUBSTITUTE(D39:D40, "&amp;apos;", "'")</f>
        <v>LULA</v>
      </c>
      <c r="C45" s="4" t="str" cm="1">
        <f t="array" ref="C45:C46">LEFT(E39:E40, IF(ISERROR(FIND(" ",E39:E40)-1), 999, FIND(" ",E39:E40)-1))</f>
        <v>PT</v>
      </c>
      <c r="D45" s="4" t="str" cm="1">
        <f t="array" ref="D45:D46">SUBSTITUTE(F39:F40, "&amp;apóo;", "'")</f>
        <v>GERALDO ALCKMIN</v>
      </c>
      <c r="E45" s="4" cm="1">
        <f t="array" ref="E45:E46">_xlfn.NUMBERVALUE(J39:J40,",",".")</f>
        <v>0</v>
      </c>
      <c r="F45" s="6" cm="1">
        <f t="array" ref="F45:F46">_xlfn.NUMBERVALUE(K39:K40,",",".")</f>
        <v>0</v>
      </c>
      <c r="G45" s="5" cm="1">
        <f t="array" ref="G45">INDEX(Listas!$G$15:$J$17, 3, IF($B$45&lt;=$B$46, 0, COUNTA(Listas!$G$16:$H$16)) + MATCH('Presidente 2T'!$G$44,Listas!$G$16:$H$16,0 ))</f>
        <v>52</v>
      </c>
      <c r="I45" s="24">
        <f>_xlfn.NUMBERVALUE( VLOOKUP( "e", xlFOCUS_ReadJSON($A$7,FALSE), 2, 0), ",", ".")</f>
        <v>156454011</v>
      </c>
      <c r="J45" s="24">
        <f>_xlfn.NUMBERVALUE( VLOOKUP( "ea", xlFOCUS_ReadJSON($A$7,FALSE), 2, 0), ",", ".")</f>
        <v>0</v>
      </c>
      <c r="K45" s="6">
        <f>_xlfn.NUMBERVALUE( VLOOKUP( "pea", xlFOCUS_ReadJSON($A$7,FALSE), 2, 0), ",", ".")</f>
        <v>0</v>
      </c>
      <c r="L45" s="24">
        <f>I45-J45</f>
        <v>156454011</v>
      </c>
      <c r="M45" s="6">
        <f>100-K45</f>
        <v>100</v>
      </c>
      <c r="N45" s="24">
        <f>ABS(E45-E46)</f>
        <v>0</v>
      </c>
      <c r="O45" s="6">
        <f>N45/L45*100</f>
        <v>0</v>
      </c>
    </row>
    <row r="46" spans="1:15" x14ac:dyDescent="0.2">
      <c r="A46" s="4" t="str">
        <v>22</v>
      </c>
      <c r="B46" s="4" t="str">
        <v>JAIR BOLSONARO</v>
      </c>
      <c r="C46" s="4" t="str">
        <v>PL</v>
      </c>
      <c r="D46" s="4" t="str">
        <v>BRAGA NETTO</v>
      </c>
      <c r="E46" s="4">
        <v>0</v>
      </c>
      <c r="F46" s="6">
        <v>0</v>
      </c>
      <c r="G46" s="5" cm="1">
        <f t="array" ref="G46">INDEX(Listas!$G$15:$J$17, 3, IF($B$46&lt;=$B$45, 0, COUNTA(Listas!$G$16:$H$16)) + MATCH('Presidente 2T'!$G$44,Listas!$G$16:$H$16,0 ))</f>
        <v>48</v>
      </c>
    </row>
    <row r="47" spans="1:15" x14ac:dyDescent="0.2">
      <c r="F47" s="6"/>
      <c r="G47" s="5"/>
    </row>
    <row r="48" spans="1:15" x14ac:dyDescent="0.2">
      <c r="F48" s="6"/>
      <c r="G48" s="5"/>
    </row>
    <row r="49" spans="1:7" ht="15.75" x14ac:dyDescent="0.2">
      <c r="A49" s="17" t="s">
        <v>89</v>
      </c>
      <c r="B49" s="2"/>
      <c r="C49" s="2"/>
      <c r="D49" s="2"/>
      <c r="E49" s="2"/>
      <c r="F49" s="2"/>
      <c r="G49" s="2"/>
    </row>
    <row r="51" spans="1:7" x14ac:dyDescent="0.2">
      <c r="A51" s="22" t="s">
        <v>16</v>
      </c>
      <c r="B51" s="22" t="s">
        <v>15</v>
      </c>
      <c r="C51" s="21" t="s">
        <v>78</v>
      </c>
      <c r="D51" s="21" t="s">
        <v>77</v>
      </c>
      <c r="E51" s="22" t="s">
        <v>85</v>
      </c>
      <c r="F51" s="22" t="s">
        <v>87</v>
      </c>
      <c r="G51" s="21" t="s">
        <v>86</v>
      </c>
    </row>
    <row r="52" spans="1:7" x14ac:dyDescent="0.2">
      <c r="A52" s="15" t="s">
        <v>18</v>
      </c>
      <c r="B52" s="15" t="s">
        <v>17</v>
      </c>
      <c r="C52" s="19" cm="1">
        <f t="array" ref="C52">_xlfn.NUMBERVALUE(INDEX( _xlfn._xlws.SORT(INDEX(xlFOCUS_ReadJSON($C9, FALSE, , "cand"), {1;2}, {4,11}), 1,-1), 1, 2), ",", ".")</f>
        <v>0</v>
      </c>
      <c r="D52" s="19" cm="1">
        <f t="array" ref="D52">_xlfn.NUMBERVALUE(INDEX( _xlfn._xlws.SORT(INDEX(xlFOCUS_ReadJSON($C9, FALSE, , "cand"), {1;2}, {4,11}), 1,-1), 2, 2), ",", ".")</f>
        <v>0</v>
      </c>
      <c r="E52" s="24">
        <f t="shared" ref="E52:E78" si="0">_xlfn.NUMBERVALUE( VLOOKUP( "e", xlFOCUS_ReadJSON($C9,FALSE), 2, 0), ",", ".")</f>
        <v>587765</v>
      </c>
      <c r="F52" s="25">
        <f t="shared" ref="F52:F78" si="1">_xlfn.NUMBERVALUE( VLOOKUP( "ea", xlFOCUS_ReadJSON($C9,FALSE), 2, 0), ",", ".")</f>
        <v>0</v>
      </c>
      <c r="G52" s="19">
        <f t="shared" ref="G52:G78" si="2">_xlfn.NUMBERVALUE( VLOOKUP( "pea", xlFOCUS_ReadJSON($C9,FALSE), 2, 0), ",", ".")</f>
        <v>0</v>
      </c>
    </row>
    <row r="53" spans="1:7" x14ac:dyDescent="0.2">
      <c r="A53" s="15" t="s">
        <v>20</v>
      </c>
      <c r="B53" s="15" t="s">
        <v>19</v>
      </c>
      <c r="C53" s="19" cm="1">
        <f t="array" ref="C53">_xlfn.NUMBERVALUE(INDEX( _xlfn._xlws.SORT(INDEX(xlFOCUS_ReadJSON($C10, FALSE, , "cand"), {1;2}, {4,11}), 1,-1), 1, 2), ",", ".")</f>
        <v>0</v>
      </c>
      <c r="D53" s="19" cm="1">
        <f t="array" ref="D53">_xlfn.NUMBERVALUE(INDEX( _xlfn._xlws.SORT(INDEX(xlFOCUS_ReadJSON($C10, FALSE, , "cand"), {1;2}, {4,11}), 1,-1), 2, 2), ",", ".")</f>
        <v>0</v>
      </c>
      <c r="E53" s="24">
        <f t="shared" si="0"/>
        <v>2325814</v>
      </c>
      <c r="F53" s="25">
        <f t="shared" si="1"/>
        <v>0</v>
      </c>
      <c r="G53" s="19">
        <f t="shared" si="2"/>
        <v>0</v>
      </c>
    </row>
    <row r="54" spans="1:7" x14ac:dyDescent="0.2">
      <c r="A54" s="15" t="s">
        <v>22</v>
      </c>
      <c r="B54" s="15" t="s">
        <v>21</v>
      </c>
      <c r="C54" s="19" cm="1">
        <f t="array" ref="C54">_xlfn.NUMBERVALUE(INDEX( _xlfn._xlws.SORT(INDEX(xlFOCUS_ReadJSON($C11, FALSE, , "cand"), {1;2}, {4,11}), 1,-1), 1, 2), ",", ".")</f>
        <v>0</v>
      </c>
      <c r="D54" s="19" cm="1">
        <f t="array" ref="D54">_xlfn.NUMBERVALUE(INDEX( _xlfn._xlws.SORT(INDEX(xlFOCUS_ReadJSON($C11, FALSE, , "cand"), {1;2}, {4,11}), 1,-1), 2, 2), ",", ".")</f>
        <v>0</v>
      </c>
      <c r="E54" s="24">
        <f t="shared" si="0"/>
        <v>550131</v>
      </c>
      <c r="F54" s="25">
        <f t="shared" si="1"/>
        <v>0</v>
      </c>
      <c r="G54" s="19">
        <f t="shared" si="2"/>
        <v>0</v>
      </c>
    </row>
    <row r="55" spans="1:7" x14ac:dyDescent="0.2">
      <c r="A55" s="15" t="s">
        <v>24</v>
      </c>
      <c r="B55" s="15" t="s">
        <v>23</v>
      </c>
      <c r="C55" s="19" cm="1">
        <f t="array" ref="C55">_xlfn.NUMBERVALUE(INDEX( _xlfn._xlws.SORT(INDEX(xlFOCUS_ReadJSON($C12, FALSE, , "cand"), {1;2}, {4,11}), 1,-1), 1, 2), ",", ".")</f>
        <v>0</v>
      </c>
      <c r="D55" s="19" cm="1">
        <f t="array" ref="D55">_xlfn.NUMBERVALUE(INDEX( _xlfn._xlws.SORT(INDEX(xlFOCUS_ReadJSON($C12, FALSE, , "cand"), {1;2}, {4,11}), 1,-1), 2, 2), ",", ".")</f>
        <v>0</v>
      </c>
      <c r="E55" s="24">
        <f t="shared" si="0"/>
        <v>2647123</v>
      </c>
      <c r="F55" s="25">
        <f t="shared" si="1"/>
        <v>0</v>
      </c>
      <c r="G55" s="19">
        <f t="shared" si="2"/>
        <v>0</v>
      </c>
    </row>
    <row r="56" spans="1:7" x14ac:dyDescent="0.2">
      <c r="A56" s="15" t="s">
        <v>26</v>
      </c>
      <c r="B56" s="15" t="s">
        <v>25</v>
      </c>
      <c r="C56" s="19" cm="1">
        <f t="array" ref="C56">_xlfn.NUMBERVALUE(INDEX( _xlfn._xlws.SORT(INDEX(xlFOCUS_ReadJSON($C13, FALSE, , "cand"), {1;2}, {4,11}), 1,-1), 1, 2), ",", ".")</f>
        <v>0</v>
      </c>
      <c r="D56" s="19" cm="1">
        <f t="array" ref="D56">_xlfn.NUMBERVALUE(INDEX( _xlfn._xlws.SORT(INDEX(xlFOCUS_ReadJSON($C13, FALSE, , "cand"), {1;2}, {4,11}), 1,-1), 2, 2), ",", ".")</f>
        <v>0</v>
      </c>
      <c r="E56" s="24">
        <f t="shared" si="0"/>
        <v>11282999</v>
      </c>
      <c r="F56" s="25">
        <f t="shared" si="1"/>
        <v>0</v>
      </c>
      <c r="G56" s="19">
        <f t="shared" si="2"/>
        <v>0</v>
      </c>
    </row>
    <row r="57" spans="1:7" x14ac:dyDescent="0.2">
      <c r="A57" s="15" t="s">
        <v>28</v>
      </c>
      <c r="B57" s="15" t="s">
        <v>27</v>
      </c>
      <c r="C57" s="19" cm="1">
        <f t="array" ref="C57">_xlfn.NUMBERVALUE(INDEX( _xlfn._xlws.SORT(INDEX(xlFOCUS_ReadJSON($C14, FALSE, , "cand"), {1;2}, {4,11}), 1,-1), 1, 2), ",", ".")</f>
        <v>0</v>
      </c>
      <c r="D57" s="19" cm="1">
        <f t="array" ref="D57">_xlfn.NUMBERVALUE(INDEX( _xlfn._xlws.SORT(INDEX(xlFOCUS_ReadJSON($C14, FALSE, , "cand"), {1;2}, {4,11}), 1,-1), 2, 2), ",", ".")</f>
        <v>0</v>
      </c>
      <c r="E57" s="24">
        <f t="shared" si="0"/>
        <v>6818192</v>
      </c>
      <c r="F57" s="25">
        <f t="shared" si="1"/>
        <v>0</v>
      </c>
      <c r="G57" s="19">
        <f t="shared" si="2"/>
        <v>0</v>
      </c>
    </row>
    <row r="58" spans="1:7" x14ac:dyDescent="0.2">
      <c r="A58" s="15" t="s">
        <v>30</v>
      </c>
      <c r="B58" s="15" t="s">
        <v>29</v>
      </c>
      <c r="C58" s="19" cm="1">
        <f t="array" ref="C58">_xlfn.NUMBERVALUE(INDEX( _xlfn._xlws.SORT(INDEX(xlFOCUS_ReadJSON($C15, FALSE, , "cand"), {1;2}, {4,11}), 1,-1), 1, 2), ",", ".")</f>
        <v>0</v>
      </c>
      <c r="D58" s="19" cm="1">
        <f t="array" ref="D58">_xlfn.NUMBERVALUE(INDEX( _xlfn._xlws.SORT(INDEX(xlFOCUS_ReadJSON($C15, FALSE, , "cand"), {1;2}, {4,11}), 1,-1), 2, 2), ",", ".")</f>
        <v>0</v>
      </c>
      <c r="E58" s="24">
        <f t="shared" si="0"/>
        <v>2922264</v>
      </c>
      <c r="F58" s="25">
        <f t="shared" si="1"/>
        <v>0</v>
      </c>
      <c r="G58" s="19">
        <f t="shared" si="2"/>
        <v>0</v>
      </c>
    </row>
    <row r="59" spans="1:7" x14ac:dyDescent="0.2">
      <c r="A59" s="15" t="s">
        <v>32</v>
      </c>
      <c r="B59" s="15" t="s">
        <v>31</v>
      </c>
      <c r="C59" s="19" cm="1">
        <f t="array" ref="C59">_xlfn.NUMBERVALUE(INDEX( _xlfn._xlws.SORT(INDEX(xlFOCUS_ReadJSON($C16, FALSE, , "cand"), {1;2}, {4,11}), 1,-1), 1, 2), ",", ".")</f>
        <v>0</v>
      </c>
      <c r="D59" s="19" cm="1">
        <f t="array" ref="D59">_xlfn.NUMBERVALUE(INDEX( _xlfn._xlws.SORT(INDEX(xlFOCUS_ReadJSON($C16, FALSE, , "cand"), {1;2}, {4,11}), 1,-1), 2, 2), ",", ".")</f>
        <v>0</v>
      </c>
      <c r="E59" s="24">
        <f t="shared" si="0"/>
        <v>4870621</v>
      </c>
      <c r="F59" s="25">
        <f t="shared" si="1"/>
        <v>0</v>
      </c>
      <c r="G59" s="19">
        <f t="shared" si="2"/>
        <v>0</v>
      </c>
    </row>
    <row r="60" spans="1:7" x14ac:dyDescent="0.2">
      <c r="A60" s="15" t="s">
        <v>34</v>
      </c>
      <c r="B60" s="15" t="s">
        <v>33</v>
      </c>
      <c r="C60" s="19" cm="1">
        <f t="array" ref="C60">_xlfn.NUMBERVALUE(INDEX( _xlfn._xlws.SORT(INDEX(xlFOCUS_ReadJSON($C17, FALSE, , "cand"), {1;2}, {4,11}), 1,-1), 1, 2), ",", ".")</f>
        <v>0</v>
      </c>
      <c r="D60" s="19" cm="1">
        <f t="array" ref="D60">_xlfn.NUMBERVALUE(INDEX( _xlfn._xlws.SORT(INDEX(xlFOCUS_ReadJSON($C17, FALSE, , "cand"), {1;2}, {4,11}), 1,-1), 2, 2), ",", ".")</f>
        <v>0</v>
      </c>
      <c r="E60" s="24">
        <f t="shared" si="0"/>
        <v>5039307</v>
      </c>
      <c r="F60" s="25">
        <f t="shared" si="1"/>
        <v>0</v>
      </c>
      <c r="G60" s="19">
        <f t="shared" si="2"/>
        <v>0</v>
      </c>
    </row>
    <row r="61" spans="1:7" x14ac:dyDescent="0.2">
      <c r="A61" s="15" t="s">
        <v>36</v>
      </c>
      <c r="B61" s="15" t="s">
        <v>35</v>
      </c>
      <c r="C61" s="19" cm="1">
        <f t="array" ref="C61">_xlfn.NUMBERVALUE(INDEX( _xlfn._xlws.SORT(INDEX(xlFOCUS_ReadJSON($C18, FALSE, , "cand"), {1;2}, {4,11}), 1,-1), 1, 2), ",", ".")</f>
        <v>0</v>
      </c>
      <c r="D61" s="19" cm="1">
        <f t="array" ref="D61">_xlfn.NUMBERVALUE(INDEX( _xlfn._xlws.SORT(INDEX(xlFOCUS_ReadJSON($C18, FALSE, , "cand"), {1;2}, {4,11}), 1,-1), 2, 2), ",", ".")</f>
        <v>0</v>
      </c>
      <c r="E61" s="24">
        <f t="shared" si="0"/>
        <v>2469797</v>
      </c>
      <c r="F61" s="25">
        <f t="shared" si="1"/>
        <v>0</v>
      </c>
      <c r="G61" s="19">
        <f t="shared" si="2"/>
        <v>0</v>
      </c>
    </row>
    <row r="62" spans="1:7" x14ac:dyDescent="0.2">
      <c r="A62" s="15" t="s">
        <v>38</v>
      </c>
      <c r="B62" s="15" t="s">
        <v>37</v>
      </c>
      <c r="C62" s="19" cm="1">
        <f t="array" ref="C62">_xlfn.NUMBERVALUE(INDEX( _xlfn._xlws.SORT(INDEX(xlFOCUS_ReadJSON($C19, FALSE, , "cand"), {1;2}, {4,11}), 1,-1), 1, 2), ",", ".")</f>
        <v>0</v>
      </c>
      <c r="D62" s="19" cm="1">
        <f t="array" ref="D62">_xlfn.NUMBERVALUE(INDEX( _xlfn._xlws.SORT(INDEX(xlFOCUS_ReadJSON($C19, FALSE, , "cand"), {1;2}, {4,11}), 1,-1), 2, 2), ",", ".")</f>
        <v>0</v>
      </c>
      <c r="E62" s="24">
        <f t="shared" si="0"/>
        <v>1996066</v>
      </c>
      <c r="F62" s="25">
        <f t="shared" si="1"/>
        <v>0</v>
      </c>
      <c r="G62" s="19">
        <f t="shared" si="2"/>
        <v>0</v>
      </c>
    </row>
    <row r="63" spans="1:7" x14ac:dyDescent="0.2">
      <c r="A63" s="15" t="s">
        <v>40</v>
      </c>
      <c r="B63" s="15" t="s">
        <v>39</v>
      </c>
      <c r="C63" s="19" cm="1">
        <f t="array" ref="C63">_xlfn.NUMBERVALUE(INDEX( _xlfn._xlws.SORT(INDEX(xlFOCUS_ReadJSON($C20, FALSE, , "cand"), {1;2}, {4,11}), 1,-1), 1, 2), ",", ".")</f>
        <v>0</v>
      </c>
      <c r="D63" s="19" cm="1">
        <f t="array" ref="D63">_xlfn.NUMBERVALUE(INDEX( _xlfn._xlws.SORT(INDEX(xlFOCUS_ReadJSON($C20, FALSE, , "cand"), {1;2}, {4,11}), 1,-1), 2, 2), ",", ".")</f>
        <v>0</v>
      </c>
      <c r="E63" s="24">
        <f t="shared" si="0"/>
        <v>16284615</v>
      </c>
      <c r="F63" s="25">
        <f t="shared" si="1"/>
        <v>0</v>
      </c>
      <c r="G63" s="19">
        <f t="shared" si="2"/>
        <v>0</v>
      </c>
    </row>
    <row r="64" spans="1:7" x14ac:dyDescent="0.2">
      <c r="A64" s="15" t="s">
        <v>42</v>
      </c>
      <c r="B64" s="15" t="s">
        <v>41</v>
      </c>
      <c r="C64" s="19" cm="1">
        <f t="array" ref="C64">_xlfn.NUMBERVALUE(INDEX( _xlfn._xlws.SORT(INDEX(xlFOCUS_ReadJSON($C21, FALSE, , "cand"), {1;2}, {4,11}), 1,-1), 1, 2), ",", ".")</f>
        <v>0</v>
      </c>
      <c r="D64" s="19" cm="1">
        <f t="array" ref="D64">_xlfn.NUMBERVALUE(INDEX( _xlfn._xlws.SORT(INDEX(xlFOCUS_ReadJSON($C21, FALSE, , "cand"), {1;2}, {4,11}), 1,-1), 2, 2), ",", ".")</f>
        <v>0</v>
      </c>
      <c r="E64" s="24">
        <f t="shared" si="0"/>
        <v>6078857</v>
      </c>
      <c r="F64" s="25">
        <f t="shared" si="1"/>
        <v>0</v>
      </c>
      <c r="G64" s="19">
        <f t="shared" si="2"/>
        <v>0</v>
      </c>
    </row>
    <row r="65" spans="1:7" x14ac:dyDescent="0.2">
      <c r="A65" s="15" t="s">
        <v>44</v>
      </c>
      <c r="B65" s="15" t="s">
        <v>43</v>
      </c>
      <c r="C65" s="19" cm="1">
        <f t="array" ref="C65">_xlfn.NUMBERVALUE(INDEX( _xlfn._xlws.SORT(INDEX(xlFOCUS_ReadJSON($C22, FALSE, , "cand"), {1;2}, {4,11}), 1,-1), 1, 2), ",", ".")</f>
        <v>0</v>
      </c>
      <c r="D65" s="19" cm="1">
        <f t="array" ref="D65">_xlfn.NUMBERVALUE(INDEX( _xlfn._xlws.SORT(INDEX(xlFOCUS_ReadJSON($C22, FALSE, , "cand"), {1;2}, {4,11}), 1,-1), 2, 2), ",", ".")</f>
        <v>0</v>
      </c>
      <c r="E65" s="24">
        <f t="shared" si="0"/>
        <v>3091719</v>
      </c>
      <c r="F65" s="25">
        <f t="shared" si="1"/>
        <v>0</v>
      </c>
      <c r="G65" s="19">
        <f t="shared" si="2"/>
        <v>0</v>
      </c>
    </row>
    <row r="66" spans="1:7" x14ac:dyDescent="0.2">
      <c r="A66" s="15" t="s">
        <v>46</v>
      </c>
      <c r="B66" s="15" t="s">
        <v>45</v>
      </c>
      <c r="C66" s="19" cm="1">
        <f t="array" ref="C66">_xlfn.NUMBERVALUE(INDEX( _xlfn._xlws.SORT(INDEX(xlFOCUS_ReadJSON($C23, FALSE, , "cand"), {1;2}, {4,11}), 1,-1), 1, 2), ",", ".")</f>
        <v>0</v>
      </c>
      <c r="D66" s="19" cm="1">
        <f t="array" ref="D66">_xlfn.NUMBERVALUE(INDEX( _xlfn._xlws.SORT(INDEX(xlFOCUS_ReadJSON($C23, FALSE, , "cand"), {1;2}, {4,11}), 1,-1), 2, 2), ",", ".")</f>
        <v>0</v>
      </c>
      <c r="E66" s="24">
        <f t="shared" si="0"/>
        <v>8480626</v>
      </c>
      <c r="F66" s="25">
        <f t="shared" si="1"/>
        <v>0</v>
      </c>
      <c r="G66" s="19">
        <f t="shared" si="2"/>
        <v>0</v>
      </c>
    </row>
    <row r="67" spans="1:7" x14ac:dyDescent="0.2">
      <c r="A67" s="15" t="s">
        <v>48</v>
      </c>
      <c r="B67" s="15" t="s">
        <v>47</v>
      </c>
      <c r="C67" s="19" cm="1">
        <f t="array" ref="C67">_xlfn.NUMBERVALUE(INDEX( _xlfn._xlws.SORT(INDEX(xlFOCUS_ReadJSON($C24, FALSE, , "cand"), {1;2}, {4,11}), 1,-1), 1, 2), ",", ".")</f>
        <v>0</v>
      </c>
      <c r="D67" s="19" cm="1">
        <f t="array" ref="D67">_xlfn.NUMBERVALUE(INDEX( _xlfn._xlws.SORT(INDEX(xlFOCUS_ReadJSON($C24, FALSE, , "cand"), {1;2}, {4,11}), 1,-1), 2, 2), ",", ".")</f>
        <v>0</v>
      </c>
      <c r="E67" s="24">
        <f t="shared" si="0"/>
        <v>7015086</v>
      </c>
      <c r="F67" s="25">
        <f t="shared" si="1"/>
        <v>0</v>
      </c>
      <c r="G67" s="19">
        <f t="shared" si="2"/>
        <v>0</v>
      </c>
    </row>
    <row r="68" spans="1:7" x14ac:dyDescent="0.2">
      <c r="A68" s="15" t="s">
        <v>50</v>
      </c>
      <c r="B68" s="15" t="s">
        <v>49</v>
      </c>
      <c r="C68" s="19" cm="1">
        <f t="array" ref="C68">_xlfn.NUMBERVALUE(INDEX( _xlfn._xlws.SORT(INDEX(xlFOCUS_ReadJSON($C25, FALSE, , "cand"), {1;2}, {4,11}), 1,-1), 1, 2), ",", ".")</f>
        <v>0</v>
      </c>
      <c r="D68" s="19" cm="1">
        <f t="array" ref="D68">_xlfn.NUMBERVALUE(INDEX( _xlfn._xlws.SORT(INDEX(xlFOCUS_ReadJSON($C25, FALSE, , "cand"), {1;2}, {4,11}), 1,-1), 2, 2), ",", ".")</f>
        <v>0</v>
      </c>
      <c r="E68" s="24">
        <f t="shared" si="0"/>
        <v>2570253</v>
      </c>
      <c r="F68" s="25">
        <f t="shared" si="1"/>
        <v>0</v>
      </c>
      <c r="G68" s="19">
        <f t="shared" si="2"/>
        <v>0</v>
      </c>
    </row>
    <row r="69" spans="1:7" x14ac:dyDescent="0.2">
      <c r="A69" s="15" t="s">
        <v>52</v>
      </c>
      <c r="B69" s="15" t="s">
        <v>51</v>
      </c>
      <c r="C69" s="19" cm="1">
        <f t="array" ref="C69">_xlfn.NUMBERVALUE(INDEX( _xlfn._xlws.SORT(INDEX(xlFOCUS_ReadJSON($C26, FALSE, , "cand"), {1;2}, {4,11}), 1,-1), 1, 2), ",", ".")</f>
        <v>0</v>
      </c>
      <c r="D69" s="19" cm="1">
        <f t="array" ref="D69">_xlfn.NUMBERVALUE(INDEX( _xlfn._xlws.SORT(INDEX(xlFOCUS_ReadJSON($C26, FALSE, , "cand"), {1;2}, {4,11}), 1,-1), 2, 2), ",", ".")</f>
        <v>0</v>
      </c>
      <c r="E69" s="24">
        <f t="shared" si="0"/>
        <v>12827044</v>
      </c>
      <c r="F69" s="25">
        <f t="shared" si="1"/>
        <v>0</v>
      </c>
      <c r="G69" s="19">
        <f t="shared" si="2"/>
        <v>0</v>
      </c>
    </row>
    <row r="70" spans="1:7" x14ac:dyDescent="0.2">
      <c r="A70" s="15" t="s">
        <v>54</v>
      </c>
      <c r="B70" s="15" t="s">
        <v>53</v>
      </c>
      <c r="C70" s="19" cm="1">
        <f t="array" ref="C70">_xlfn.NUMBERVALUE(INDEX( _xlfn._xlws.SORT(INDEX(xlFOCUS_ReadJSON($C27, FALSE, , "cand"), {1;2}, {4,11}), 1,-1), 1, 2), ",", ".")</f>
        <v>0</v>
      </c>
      <c r="D70" s="19" cm="1">
        <f t="array" ref="D70">_xlfn.NUMBERVALUE(INDEX( _xlfn._xlws.SORT(INDEX(xlFOCUS_ReadJSON($C27, FALSE, , "cand"), {1;2}, {4,11}), 1,-1), 2, 2), ",", ".")</f>
        <v>0</v>
      </c>
      <c r="E70" s="24">
        <f t="shared" si="0"/>
        <v>2554326</v>
      </c>
      <c r="F70" s="25">
        <f t="shared" si="1"/>
        <v>0</v>
      </c>
      <c r="G70" s="19">
        <f t="shared" si="2"/>
        <v>0</v>
      </c>
    </row>
    <row r="71" spans="1:7" x14ac:dyDescent="0.2">
      <c r="A71" s="15" t="s">
        <v>56</v>
      </c>
      <c r="B71" s="15" t="s">
        <v>55</v>
      </c>
      <c r="C71" s="19" cm="1">
        <f t="array" ref="C71">_xlfn.NUMBERVALUE(INDEX( _xlfn._xlws.SORT(INDEX(xlFOCUS_ReadJSON($C28, FALSE, , "cand"), {1;2}, {4,11}), 1,-1), 1, 2), ",", ".")</f>
        <v>0</v>
      </c>
      <c r="D71" s="19" cm="1">
        <f t="array" ref="D71">_xlfn.NUMBERVALUE(INDEX( _xlfn._xlws.SORT(INDEX(xlFOCUS_ReadJSON($C28, FALSE, , "cand"), {1;2}, {4,11}), 1,-1), 2, 2), ",", ".")</f>
        <v>0</v>
      </c>
      <c r="E71" s="24">
        <f t="shared" si="0"/>
        <v>8589684</v>
      </c>
      <c r="F71" s="25">
        <f t="shared" si="1"/>
        <v>0</v>
      </c>
      <c r="G71" s="19">
        <f t="shared" si="2"/>
        <v>0</v>
      </c>
    </row>
    <row r="72" spans="1:7" x14ac:dyDescent="0.2">
      <c r="A72" s="15" t="s">
        <v>58</v>
      </c>
      <c r="B72" s="15" t="s">
        <v>57</v>
      </c>
      <c r="C72" s="19" cm="1">
        <f t="array" ref="C72">_xlfn.NUMBERVALUE(INDEX( _xlfn._xlws.SORT(INDEX(xlFOCUS_ReadJSON($C29, FALSE, , "cand"), {1;2}, {4,11}), 1,-1), 1, 2), ",", ".")</f>
        <v>0</v>
      </c>
      <c r="D72" s="19" cm="1">
        <f t="array" ref="D72">_xlfn.NUMBERVALUE(INDEX( _xlfn._xlws.SORT(INDEX(xlFOCUS_ReadJSON($C29, FALSE, , "cand"), {1;2}, {4,11}), 1,-1), 2, 2), ",", ".")</f>
        <v>0</v>
      </c>
      <c r="E72" s="24">
        <f t="shared" si="0"/>
        <v>1230172</v>
      </c>
      <c r="F72" s="25">
        <f t="shared" si="1"/>
        <v>0</v>
      </c>
      <c r="G72" s="19">
        <f t="shared" si="2"/>
        <v>0</v>
      </c>
    </row>
    <row r="73" spans="1:7" x14ac:dyDescent="0.2">
      <c r="A73" s="15" t="s">
        <v>60</v>
      </c>
      <c r="B73" s="15" t="s">
        <v>59</v>
      </c>
      <c r="C73" s="19" cm="1">
        <f t="array" ref="C73">_xlfn.NUMBERVALUE(INDEX( _xlfn._xlws.SORT(INDEX(xlFOCUS_ReadJSON($C30, FALSE, , "cand"), {1;2}, {4,11}), 1,-1), 1, 2), ",", ".")</f>
        <v>0</v>
      </c>
      <c r="D73" s="19" cm="1">
        <f t="array" ref="D73">_xlfn.NUMBERVALUE(INDEX( _xlfn._xlws.SORT(INDEX(xlFOCUS_ReadJSON($C30, FALSE, , "cand"), {1;2}, {4,11}), 1,-1), 2, 2), ",", ".")</f>
        <v>0</v>
      </c>
      <c r="E73" s="24">
        <f t="shared" si="0"/>
        <v>366641</v>
      </c>
      <c r="F73" s="25">
        <f t="shared" si="1"/>
        <v>0</v>
      </c>
      <c r="G73" s="19">
        <f t="shared" si="2"/>
        <v>0</v>
      </c>
    </row>
    <row r="74" spans="1:7" x14ac:dyDescent="0.2">
      <c r="A74" s="15" t="s">
        <v>62</v>
      </c>
      <c r="B74" s="15" t="s">
        <v>61</v>
      </c>
      <c r="C74" s="19" cm="1">
        <f t="array" ref="C74">_xlfn.NUMBERVALUE(INDEX( _xlfn._xlws.SORT(INDEX(xlFOCUS_ReadJSON($C31, FALSE, , "cand"), {1;2}, {4,11}), 1,-1), 1, 2), ",", ".")</f>
        <v>0</v>
      </c>
      <c r="D74" s="19" cm="1">
        <f t="array" ref="D74">_xlfn.NUMBERVALUE(INDEX( _xlfn._xlws.SORT(INDEX(xlFOCUS_ReadJSON($C31, FALSE, , "cand"), {1;2}, {4,11}), 1,-1), 2, 2), ",", ".")</f>
        <v>0</v>
      </c>
      <c r="E74" s="24">
        <f t="shared" si="0"/>
        <v>5501284</v>
      </c>
      <c r="F74" s="25">
        <f t="shared" si="1"/>
        <v>0</v>
      </c>
      <c r="G74" s="19">
        <f t="shared" si="2"/>
        <v>0</v>
      </c>
    </row>
    <row r="75" spans="1:7" x14ac:dyDescent="0.2">
      <c r="A75" s="15" t="s">
        <v>64</v>
      </c>
      <c r="B75" s="15" t="s">
        <v>63</v>
      </c>
      <c r="C75" s="19" cm="1">
        <f t="array" ref="C75">_xlfn.NUMBERVALUE(INDEX( _xlfn._xlws.SORT(INDEX(xlFOCUS_ReadJSON($C32, FALSE, , "cand"), {1;2}, {4,11}), 1,-1), 1, 2), ",", ".")</f>
        <v>0</v>
      </c>
      <c r="D75" s="19" cm="1">
        <f t="array" ref="D75">_xlfn.NUMBERVALUE(INDEX( _xlfn._xlws.SORT(INDEX(xlFOCUS_ReadJSON($C32, FALSE, , "cand"), {1;2}, {4,11}), 1,-1), 2, 2), ",", ".")</f>
        <v>0</v>
      </c>
      <c r="E75" s="24">
        <f t="shared" si="0"/>
        <v>34684876</v>
      </c>
      <c r="F75" s="25">
        <f t="shared" si="1"/>
        <v>0</v>
      </c>
      <c r="G75" s="19">
        <f t="shared" si="2"/>
        <v>0</v>
      </c>
    </row>
    <row r="76" spans="1:7" x14ac:dyDescent="0.2">
      <c r="A76" s="15" t="s">
        <v>66</v>
      </c>
      <c r="B76" s="15" t="s">
        <v>65</v>
      </c>
      <c r="C76" s="19" cm="1">
        <f t="array" ref="C76">_xlfn.NUMBERVALUE(INDEX( _xlfn._xlws.SORT(INDEX(xlFOCUS_ReadJSON($C33, FALSE, , "cand"), {1;2}, {4,11}), 1,-1), 1, 2), ",", ".")</f>
        <v>0</v>
      </c>
      <c r="D76" s="19" cm="1">
        <f t="array" ref="D76">_xlfn.NUMBERVALUE(INDEX( _xlfn._xlws.SORT(INDEX(xlFOCUS_ReadJSON($C33, FALSE, , "cand"), {1;2}, {4,11}), 1,-1), 2, 2), ",", ".")</f>
        <v>0</v>
      </c>
      <c r="E76" s="24">
        <f t="shared" si="0"/>
        <v>1671241</v>
      </c>
      <c r="F76" s="25">
        <f t="shared" si="1"/>
        <v>0</v>
      </c>
      <c r="G76" s="19">
        <f t="shared" si="2"/>
        <v>0</v>
      </c>
    </row>
    <row r="77" spans="1:7" x14ac:dyDescent="0.2">
      <c r="A77" s="15" t="s">
        <v>68</v>
      </c>
      <c r="B77" s="15" t="s">
        <v>67</v>
      </c>
      <c r="C77" s="19" cm="1">
        <f t="array" ref="C77">_xlfn.NUMBERVALUE(INDEX( _xlfn._xlws.SORT(INDEX(xlFOCUS_ReadJSON($C34, FALSE, , "cand"), {1;2}, {4,11}), 1,-1), 1, 2), ",", ".")</f>
        <v>0</v>
      </c>
      <c r="D77" s="19" cm="1">
        <f t="array" ref="D77">_xlfn.NUMBERVALUE(INDEX( _xlfn._xlws.SORT(INDEX(xlFOCUS_ReadJSON($C34, FALSE, , "cand"), {1;2}, {4,11}), 1,-1), 2, 2), ",", ".")</f>
        <v>0</v>
      </c>
      <c r="E77" s="24">
        <f t="shared" si="0"/>
        <v>1094302</v>
      </c>
      <c r="F77" s="25">
        <f t="shared" si="1"/>
        <v>0</v>
      </c>
      <c r="G77" s="19">
        <f t="shared" si="2"/>
        <v>0</v>
      </c>
    </row>
    <row r="78" spans="1:7" x14ac:dyDescent="0.2">
      <c r="A78" s="16" t="s">
        <v>70</v>
      </c>
      <c r="B78" s="16" t="s">
        <v>69</v>
      </c>
      <c r="C78" s="20" cm="1">
        <f t="array" ref="C78">_xlfn.NUMBERVALUE(INDEX( _xlfn._xlws.SORT(INDEX(xlFOCUS_ReadJSON($C35, FALSE, , "cand"), {1;2}, {4,11}), 1,-1), 1, 2), ",", ".")</f>
        <v>0</v>
      </c>
      <c r="D78" s="20" cm="1">
        <f t="array" ref="D78">_xlfn.NUMBERVALUE(INDEX( _xlfn._xlws.SORT(INDEX(xlFOCUS_ReadJSON($C35, FALSE, , "cand"), {1;2}, {4,11}), 1,-1), 2, 2), ",", ".")</f>
        <v>0</v>
      </c>
      <c r="E78" s="24">
        <f t="shared" si="0"/>
        <v>2207628</v>
      </c>
      <c r="F78" s="25">
        <f t="shared" si="1"/>
        <v>0</v>
      </c>
      <c r="G78" s="19">
        <f t="shared" si="2"/>
        <v>0</v>
      </c>
    </row>
  </sheetData>
  <mergeCells count="8">
    <mergeCell ref="N43:N44"/>
    <mergeCell ref="O43:O44"/>
    <mergeCell ref="M1:P1"/>
    <mergeCell ref="R1:T1"/>
    <mergeCell ref="U1:V1"/>
    <mergeCell ref="X1:Y1"/>
    <mergeCell ref="Z1:AA1"/>
    <mergeCell ref="G1:J1"/>
  </mergeCells>
  <dataValidations disablePrompts="1" count="1">
    <dataValidation type="list" allowBlank="1" showInputMessage="1" showErrorMessage="1" sqref="Z1:AA1" xr:uid="{20A9A183-AE7D-4DBB-97C7-C9861F9794FD}">
      <formula1>"Ativada, Desativada"</formula1>
    </dataValidation>
  </dataValidations>
  <hyperlinks>
    <hyperlink ref="A4" r:id="rId1" xr:uid="{4A1F45B2-EF6C-431A-9239-1917E013BB5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Deja_Vu">
                <anchor>
                  <from>
                    <xdr:col>16</xdr:col>
                    <xdr:colOff>428625</xdr:colOff>
                    <xdr:row>46</xdr:row>
                    <xdr:rowOff>9525</xdr:rowOff>
                  </from>
                  <to>
                    <xdr:col>18</xdr:col>
                    <xdr:colOff>352425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top_Deja_Vu">
                <anchor>
                  <from>
                    <xdr:col>18</xdr:col>
                    <xdr:colOff>533400</xdr:colOff>
                    <xdr:row>45</xdr:row>
                    <xdr:rowOff>142875</xdr:rowOff>
                  </from>
                  <to>
                    <xdr:col>20</xdr:col>
                    <xdr:colOff>457200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35721D-C877-4AF3-BDEF-FA96435BB5BD}">
          <x14:formula1>
            <xm:f>Listas!$G$16:$H$16</xm:f>
          </x14:formula1>
          <xm:sqref>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0007B-527D-489E-9BED-09747A4F49E4}">
  <sheetPr codeName="Planilha5"/>
  <dimension ref="A1:X20"/>
  <sheetViews>
    <sheetView showGridLines="0" zoomScale="85" zoomScaleNormal="85" workbookViewId="0">
      <selection activeCell="M31" sqref="M31"/>
    </sheetView>
  </sheetViews>
  <sheetFormatPr defaultRowHeight="12.75" x14ac:dyDescent="0.2"/>
  <cols>
    <col min="1" max="1" width="9.140625" style="4"/>
    <col min="2" max="2" width="22.7109375" style="4" bestFit="1" customWidth="1"/>
    <col min="3" max="4" width="17.7109375" style="4" customWidth="1"/>
    <col min="5" max="5" width="11.28515625" style="4" customWidth="1"/>
    <col min="6" max="6" width="12.85546875" style="4" customWidth="1"/>
    <col min="7" max="7" width="10.28515625" style="4" customWidth="1"/>
    <col min="8" max="8" width="7.5703125" style="4" bestFit="1" customWidth="1"/>
    <col min="9" max="9" width="11" style="4" customWidth="1"/>
    <col min="10" max="10" width="16" style="4" customWidth="1"/>
    <col min="11" max="11" width="9.140625" style="4"/>
    <col min="12" max="12" width="10.28515625" style="4" bestFit="1" customWidth="1"/>
    <col min="13" max="13" width="9.140625" style="4"/>
    <col min="14" max="14" width="11.7109375" style="4" customWidth="1"/>
    <col min="15" max="15" width="14.5703125" style="4" customWidth="1"/>
    <col min="16" max="16384" width="9.140625" style="4"/>
  </cols>
  <sheetData>
    <row r="1" spans="1:24" ht="18" x14ac:dyDescent="0.25">
      <c r="A1" s="7" t="s">
        <v>90</v>
      </c>
      <c r="E1" s="26" t="str">
        <f>VLOOKUP(F1, Listas!$D$3:$E$13, 2)</f>
        <v>SP</v>
      </c>
      <c r="F1" s="42" t="s">
        <v>63</v>
      </c>
      <c r="G1" s="42"/>
      <c r="I1" s="28" t="s">
        <v>100</v>
      </c>
      <c r="J1" s="39" t="str">
        <f>IF( (E17-E18) &gt; L17, B17, IF( (E18-E17) &gt; L17, B18, "INDEFINIDO"))</f>
        <v>INDEFINIDO</v>
      </c>
      <c r="K1" s="39"/>
      <c r="L1" s="39"/>
      <c r="N1" s="28" t="s">
        <v>106</v>
      </c>
      <c r="O1" s="39" t="str">
        <f>IF(E17&gt;E18,B17,IF(E18&gt;E17,B18,"INDEFINIDO"))</f>
        <v>INDEFINIDO</v>
      </c>
      <c r="P1" s="39"/>
      <c r="Q1" s="39"/>
      <c r="R1" s="39"/>
      <c r="T1" s="38" t="s">
        <v>116</v>
      </c>
      <c r="U1" s="38"/>
      <c r="V1" s="38"/>
      <c r="W1" s="39" t="str">
        <f>IF(ISERROR(json_br), "Fora de serviço", "Ativa")</f>
        <v>Ativa</v>
      </c>
      <c r="X1" s="39"/>
    </row>
    <row r="3" spans="1:24" s="2" customFormat="1" x14ac:dyDescent="0.2">
      <c r="A3" s="1" t="s">
        <v>0</v>
      </c>
    </row>
    <row r="4" spans="1:24" ht="15" x14ac:dyDescent="0.25">
      <c r="A4" s="3" t="str">
        <f>SUBSTITUTE("https://resultados.tse.jus.br/oficial/ele2022/547/dados-simplificados/al/al-c0003-e000547-r.json", "/al/al-", "/"&amp;LOWER($E$1)&amp;"/"&amp;LOWER($E$1)&amp;"-")</f>
        <v>https://resultados.tse.jus.br/oficial/ele2022/547/dados-simplificados/sp/sp-c0003-e000547-r.json</v>
      </c>
    </row>
    <row r="6" spans="1:24" s="2" customFormat="1" x14ac:dyDescent="0.2">
      <c r="A6" s="1" t="s">
        <v>1</v>
      </c>
    </row>
    <row r="7" spans="1:24" x14ac:dyDescent="0.2">
      <c r="A7" s="4" t="str" cm="1">
        <f t="array" ref="A7">xlFOCUS_WEBSERVICE(A4)</f>
        <v xml:space="preserve">
{ "ele" : "547", "tpabr" : "uf", "cdabr" : "SP", "carper" : "3", "md" : "N", "t" : "2", "f" : "o", "dg" : "28/10/2022", "hg" : "10:57:01", "dt" : "", "ht" : "", "dv" : "s", "tf" : "n", "v" : "1", "esae" : "n", "mnae" : "", "s" : "101073", "st" : "0", "pst" : "0,00", "snt" : "101073", "psnt" : "100,00", "si" : "0", "psi" : "0,00", "sni" : "0", "psni" : "0,00", "sa" : "0", "psa" : "0,00", "sna" : "0", "psna" : "0,00", "e" : "34642067",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"250001612465", "n" : "13", "nm" : "FERNANDO HADDAD", "cc" : "PT - Federação Brasil da Esperança - FE BRASIL (PT\/PC do B\/PV) \/ PSB \/ Federação PSOL REDE (PSOL\/REDE) \/ AGIR", "nv" : "LUCIA FRANÇA", "e" : "n", "st" : "", "dvt" : "Válido", "vap" : "0", "pvap" : "00,00" }, 
{ "seq" : "2", "sqcand" : "250001615967", "n" : "10", "nm" : "TARCÍSIO", "cc" : "REPUBLICANOS - REPUBLICANOS \/ PL \/ PSD \/ PTB \/ PSC \/ PMN", "nv" : "FELICIO RAMUTH", "e" : "n", "st" : "", "dvt" : "Válido", "vap" : "0", "pvap" : "00,00" } ] }</v>
      </c>
    </row>
    <row r="9" spans="1:24" s="2" customFormat="1" x14ac:dyDescent="0.2">
      <c r="A9" s="1" t="s">
        <v>10</v>
      </c>
    </row>
    <row r="10" spans="1:24" s="2" customFormat="1" x14ac:dyDescent="0.2">
      <c r="A10" s="1" t="s">
        <v>6</v>
      </c>
      <c r="B10" s="1" t="s">
        <v>7</v>
      </c>
      <c r="C10" s="1" t="s">
        <v>2</v>
      </c>
      <c r="D10" s="1" t="s">
        <v>3</v>
      </c>
      <c r="E10" s="1" t="s">
        <v>4</v>
      </c>
      <c r="F10" s="1" t="s">
        <v>5</v>
      </c>
      <c r="G10" s="1"/>
      <c r="H10" s="1"/>
      <c r="I10" s="1"/>
      <c r="J10" s="1" t="s">
        <v>9</v>
      </c>
      <c r="K10" s="1" t="s">
        <v>8</v>
      </c>
    </row>
    <row r="11" spans="1:24" x14ac:dyDescent="0.2">
      <c r="A11" s="4" t="str" cm="1">
        <f t="array" ref="A11:K12">xlFOCUS_ReadJSON(A7,FALSE,,"cand")</f>
        <v>1</v>
      </c>
      <c r="B11" s="4" t="str">
        <v>250001612465</v>
      </c>
      <c r="C11" s="4" t="str">
        <v>13</v>
      </c>
      <c r="D11" s="4" t="str">
        <v>FERNANDO HADDAD</v>
      </c>
      <c r="E11" s="4" t="str">
        <v>PT - Federação Brasil da Esperança - FE BRASIL (PT/PC do B/PV) / PSB / Federação PSOL REDE (PSOL/REDE) / AGIR</v>
      </c>
      <c r="F11" s="4" t="str">
        <v>LUCIA FRANÇA</v>
      </c>
      <c r="G11" s="4" t="str">
        <v>n</v>
      </c>
      <c r="H11" s="4" t="str">
        <v/>
      </c>
      <c r="I11" s="4" t="str">
        <v>Válido</v>
      </c>
      <c r="J11" s="4" t="str">
        <v>0</v>
      </c>
      <c r="K11" s="4" t="str">
        <v>00,00</v>
      </c>
    </row>
    <row r="12" spans="1:24" x14ac:dyDescent="0.2">
      <c r="A12" s="4" t="str">
        <v>2</v>
      </c>
      <c r="B12" s="4" t="str">
        <v>250001615967</v>
      </c>
      <c r="C12" s="4" t="str">
        <v>10</v>
      </c>
      <c r="D12" s="4" t="str">
        <v>TARCÍSIO</v>
      </c>
      <c r="E12" s="4" t="str">
        <v>REPUBLICANOS - REPUBLICANOS / PL / PSD / PTB / PSC / PMN</v>
      </c>
      <c r="F12" s="4" t="str">
        <v>FELICIO RAMUTH</v>
      </c>
      <c r="G12" s="4" t="str">
        <v>n</v>
      </c>
      <c r="H12" s="4" t="str">
        <v/>
      </c>
      <c r="I12" s="4" t="str">
        <v>Válido</v>
      </c>
      <c r="J12" s="4" t="str">
        <v>0</v>
      </c>
      <c r="K12" s="4" t="str">
        <v>00,00</v>
      </c>
    </row>
    <row r="15" spans="1:24" x14ac:dyDescent="0.2">
      <c r="A15" s="1" t="s">
        <v>11</v>
      </c>
      <c r="B15" s="2"/>
      <c r="C15" s="2"/>
      <c r="D15" s="2"/>
      <c r="E15" s="2"/>
      <c r="F15" s="2"/>
      <c r="G15" s="2" t="s">
        <v>88</v>
      </c>
      <c r="I15" s="1" t="s">
        <v>84</v>
      </c>
      <c r="J15" s="2"/>
      <c r="K15" s="2"/>
      <c r="L15" s="2"/>
      <c r="M15" s="2"/>
      <c r="N15" s="41" t="s">
        <v>103</v>
      </c>
      <c r="O15" s="41" t="s">
        <v>102</v>
      </c>
    </row>
    <row r="16" spans="1:24" ht="15" x14ac:dyDescent="0.25">
      <c r="A16" s="1" t="s">
        <v>2</v>
      </c>
      <c r="B16" s="1" t="s">
        <v>3</v>
      </c>
      <c r="C16" s="1" t="s">
        <v>13</v>
      </c>
      <c r="D16" s="1" t="s">
        <v>5</v>
      </c>
      <c r="E16" s="1" t="s">
        <v>9</v>
      </c>
      <c r="F16" s="1" t="s">
        <v>8</v>
      </c>
      <c r="G16" s="18" t="s">
        <v>12</v>
      </c>
      <c r="I16" s="22" t="s">
        <v>85</v>
      </c>
      <c r="J16" s="23" t="s">
        <v>87</v>
      </c>
      <c r="K16" s="23" t="s">
        <v>86</v>
      </c>
      <c r="L16" s="23" t="s">
        <v>99</v>
      </c>
      <c r="M16" s="23" t="s">
        <v>86</v>
      </c>
      <c r="N16" s="41"/>
      <c r="O16" s="41"/>
    </row>
    <row r="17" spans="1:15" x14ac:dyDescent="0.2">
      <c r="A17" s="4" t="str" cm="1">
        <f t="array" ref="A17:A18">C11:C12</f>
        <v>13</v>
      </c>
      <c r="B17" s="4" t="str" cm="1">
        <f t="array" ref="B17:B18">SUBSTITUTE(D11:D12, "&amp;apos;", "'")</f>
        <v>FERNANDO HADDAD</v>
      </c>
      <c r="C17" s="4" t="str" cm="1">
        <f t="array" ref="C17:C18">LEFT(E11:E12, IF(ISERROR(FIND(" ",E11:E12)-1), 999, FIND(" ",E11:E12)-1))</f>
        <v>PT</v>
      </c>
      <c r="D17" s="4" t="str" cm="1">
        <f t="array" ref="D17:D18">SUBSTITUTE(F11:F12, "&amp;apóo;", "'")</f>
        <v>LUCIA FRANÇA</v>
      </c>
      <c r="E17" s="4" cm="1">
        <f t="array" ref="E17:E18">_xlfn.NUMBERVALUE(J11:J12,",",".")</f>
        <v>0</v>
      </c>
      <c r="F17" s="6" cm="1">
        <f t="array" ref="F17:F18">_xlfn.NUMBERVALUE(K11:K12,",",".")</f>
        <v>0</v>
      </c>
      <c r="G17" s="5" cm="1">
        <f t="array" ref="G17">INDEX(Listas!$G$1:$J$12, 2 + MATCH($E$1, Listas!$E$3:$E$13,0 ), IF($B$17&lt;=$B$18, 0, COUNTA(Listas!$G$2:$H$2)) + MATCH($G$16,Listas!$G$2:$H$2,0 ))</f>
        <v>47</v>
      </c>
      <c r="I17" s="24">
        <f>_xlfn.NUMBERVALUE( VLOOKUP( "e", xlFOCUS_ReadJSON($A$7,FALSE), 2, 0), ",", ".")</f>
        <v>34642067</v>
      </c>
      <c r="J17" s="24">
        <f>_xlfn.NUMBERVALUE( VLOOKUP( "ea", xlFOCUS_ReadJSON($A$7,FALSE), 2, 0), ",", ".")</f>
        <v>0</v>
      </c>
      <c r="K17" s="4">
        <f>_xlfn.NUMBERVALUE( VLOOKUP( "pea", xlFOCUS_ReadJSON($A$7,FALSE), 2, 0), ",", ".")</f>
        <v>0</v>
      </c>
      <c r="L17" s="24">
        <f>I17-J17</f>
        <v>34642067</v>
      </c>
      <c r="M17" s="6">
        <f>100-K17</f>
        <v>100</v>
      </c>
      <c r="N17" s="24">
        <f>ABS(E17-E18)</f>
        <v>0</v>
      </c>
      <c r="O17" s="6">
        <f>N17/L17*100</f>
        <v>0</v>
      </c>
    </row>
    <row r="18" spans="1:15" x14ac:dyDescent="0.2">
      <c r="A18" s="4" t="str">
        <v>10</v>
      </c>
      <c r="B18" s="4" t="str">
        <v>TARCÍSIO</v>
      </c>
      <c r="C18" s="4" t="str">
        <v>REPUBLICANOS</v>
      </c>
      <c r="D18" s="4" t="str">
        <v>FELICIO RAMUTH</v>
      </c>
      <c r="E18" s="4">
        <v>0</v>
      </c>
      <c r="F18" s="6">
        <v>0</v>
      </c>
      <c r="G18" s="5" cm="1">
        <f t="array" ref="G18">INDEX(Listas!$G$1:$J$12, 2 + MATCH($E$1, Listas!$E$3:$E$13,0 ), IF($B$18&lt;=$B$17, 0, COUNTA(Listas!$G$2:$H$2)) + MATCH($G$16,Listas!$G$2:$H$2,0 ))</f>
        <v>53</v>
      </c>
    </row>
    <row r="19" spans="1:15" x14ac:dyDescent="0.2">
      <c r="F19" s="6"/>
      <c r="G19" s="5"/>
    </row>
    <row r="20" spans="1:15" x14ac:dyDescent="0.2">
      <c r="F20" s="6"/>
      <c r="G20" s="5"/>
    </row>
  </sheetData>
  <mergeCells count="7">
    <mergeCell ref="T1:V1"/>
    <mergeCell ref="W1:X1"/>
    <mergeCell ref="F1:G1"/>
    <mergeCell ref="J1:L1"/>
    <mergeCell ref="N15:N16"/>
    <mergeCell ref="O15:O16"/>
    <mergeCell ref="O1:R1"/>
  </mergeCells>
  <dataValidations count="1">
    <dataValidation type="list" allowBlank="1" showInputMessage="1" showErrorMessage="1" sqref="F1:G1" xr:uid="{CBC12392-7844-4D59-9485-BFAA56737ED2}">
      <formula1>Estados_2T</formula1>
    </dataValidation>
  </dataValidations>
  <hyperlinks>
    <hyperlink ref="A4" r:id="rId1" display="https://resultados.tse.jus.br/oficial/ele2022/547/dados-simplificados/al/al-c0003-e000547-r.json" xr:uid="{298ADA45-2B1B-433A-AD29-ED036C9465ED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Deja_Vu">
                <anchor>
                  <from>
                    <xdr:col>4</xdr:col>
                    <xdr:colOff>723900</xdr:colOff>
                    <xdr:row>21</xdr:row>
                    <xdr:rowOff>76200</xdr:rowOff>
                  </from>
                  <to>
                    <xdr:col>6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Stop_Deja_Vu">
                <anchor>
                  <from>
                    <xdr:col>6</xdr:col>
                    <xdr:colOff>428625</xdr:colOff>
                    <xdr:row>21</xdr:row>
                    <xdr:rowOff>57150</xdr:rowOff>
                  </from>
                  <to>
                    <xdr:col>8</xdr:col>
                    <xdr:colOff>371475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C027E5-4EBA-4A94-A512-439A9E0ACADD}">
          <x14:formula1>
            <xm:f>Listas!$G$16:$H$16</xm:f>
          </x14:formula1>
          <xm:sqref>G16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7F296-4EA1-4B9E-AB2D-B1AD3119CA63}">
  <sheetPr codeName="Sheet2">
    <pageSetUpPr autoPageBreaks="0"/>
  </sheetPr>
  <dimension ref="A1:C422"/>
  <sheetViews>
    <sheetView workbookViewId="0">
      <pane ySplit="1" topLeftCell="A2" activePane="bottomLeft" state="frozen"/>
      <selection pane="bottomLeft"/>
    </sheetView>
  </sheetViews>
  <sheetFormatPr defaultColWidth="0" defaultRowHeight="15" zeroHeight="1" x14ac:dyDescent="0.25"/>
  <cols>
    <col min="1" max="1" width="10" style="33" customWidth="1"/>
    <col min="2" max="3" width="20.28515625" style="31" customWidth="1"/>
    <col min="4" max="16384" width="9.140625" hidden="1"/>
  </cols>
  <sheetData>
    <row r="1" spans="1:3" x14ac:dyDescent="0.25">
      <c r="A1" s="32" t="s">
        <v>109</v>
      </c>
      <c r="B1" s="30" t="s">
        <v>80</v>
      </c>
      <c r="C1" s="30" t="s">
        <v>79</v>
      </c>
    </row>
    <row r="2" spans="1:3" x14ac:dyDescent="0.25">
      <c r="A2" s="33">
        <v>0.70833333333333337</v>
      </c>
    </row>
    <row r="3" spans="1:3" x14ac:dyDescent="0.25">
      <c r="A3" s="33">
        <v>0.7090277777777777</v>
      </c>
    </row>
    <row r="4" spans="1:3" x14ac:dyDescent="0.25">
      <c r="A4" s="33">
        <v>0.70972222222222203</v>
      </c>
    </row>
    <row r="5" spans="1:3" x14ac:dyDescent="0.25">
      <c r="A5" s="33">
        <v>0.71041666666666603</v>
      </c>
    </row>
    <row r="6" spans="1:3" x14ac:dyDescent="0.25">
      <c r="A6" s="33">
        <v>0.71111111111111103</v>
      </c>
    </row>
    <row r="7" spans="1:3" x14ac:dyDescent="0.25">
      <c r="A7" s="33">
        <v>0.71180555555555503</v>
      </c>
    </row>
    <row r="8" spans="1:3" x14ac:dyDescent="0.25">
      <c r="A8" s="33">
        <v>0.71249999999999902</v>
      </c>
    </row>
    <row r="9" spans="1:3" x14ac:dyDescent="0.25">
      <c r="A9" s="33">
        <v>0.71319444444444402</v>
      </c>
    </row>
    <row r="10" spans="1:3" x14ac:dyDescent="0.25">
      <c r="A10" s="33">
        <v>0.71388888888888802</v>
      </c>
    </row>
    <row r="11" spans="1:3" x14ac:dyDescent="0.25">
      <c r="A11" s="33">
        <v>0.71458333333333202</v>
      </c>
    </row>
    <row r="12" spans="1:3" x14ac:dyDescent="0.25">
      <c r="A12" s="33">
        <v>0.71527777777777701</v>
      </c>
    </row>
    <row r="13" spans="1:3" x14ac:dyDescent="0.25">
      <c r="A13" s="33">
        <v>0.71597222222222101</v>
      </c>
    </row>
    <row r="14" spans="1:3" x14ac:dyDescent="0.25">
      <c r="A14" s="33">
        <v>0.71666666666666501</v>
      </c>
    </row>
    <row r="15" spans="1:3" x14ac:dyDescent="0.25">
      <c r="A15" s="33">
        <v>0.71736111111111001</v>
      </c>
    </row>
    <row r="16" spans="1:3" x14ac:dyDescent="0.25">
      <c r="A16" s="33">
        <v>0.718055555555554</v>
      </c>
    </row>
    <row r="17" spans="1:1" x14ac:dyDescent="0.25">
      <c r="A17" s="33">
        <v>0.718749999999998</v>
      </c>
    </row>
    <row r="18" spans="1:1" x14ac:dyDescent="0.25">
      <c r="A18" s="33">
        <v>0.719444444444443</v>
      </c>
    </row>
    <row r="19" spans="1:1" x14ac:dyDescent="0.25">
      <c r="A19" s="33">
        <v>0.720138888888887</v>
      </c>
    </row>
    <row r="20" spans="1:1" x14ac:dyDescent="0.25">
      <c r="A20" s="33">
        <v>0.72083333333333099</v>
      </c>
    </row>
    <row r="21" spans="1:1" x14ac:dyDescent="0.25">
      <c r="A21" s="33">
        <v>0.72152777777777599</v>
      </c>
    </row>
    <row r="22" spans="1:1" x14ac:dyDescent="0.25">
      <c r="A22" s="33">
        <v>0.72222222222221999</v>
      </c>
    </row>
    <row r="23" spans="1:1" x14ac:dyDescent="0.25">
      <c r="A23" s="33">
        <v>0.72291666666666399</v>
      </c>
    </row>
    <row r="24" spans="1:1" x14ac:dyDescent="0.25">
      <c r="A24" s="33">
        <v>0.72361111111110898</v>
      </c>
    </row>
    <row r="25" spans="1:1" x14ac:dyDescent="0.25">
      <c r="A25" s="33">
        <v>0.72430555555555298</v>
      </c>
    </row>
    <row r="26" spans="1:1" x14ac:dyDescent="0.25">
      <c r="A26" s="33">
        <v>0.72499999999999698</v>
      </c>
    </row>
    <row r="27" spans="1:1" x14ac:dyDescent="0.25">
      <c r="A27" s="33">
        <v>0.72569444444444198</v>
      </c>
    </row>
    <row r="28" spans="1:1" x14ac:dyDescent="0.25">
      <c r="A28" s="33">
        <v>0.72638888888888598</v>
      </c>
    </row>
    <row r="29" spans="1:1" x14ac:dyDescent="0.25">
      <c r="A29" s="33">
        <v>0.72708333333332997</v>
      </c>
    </row>
    <row r="30" spans="1:1" x14ac:dyDescent="0.25">
      <c r="A30" s="33">
        <v>0.72777777777777497</v>
      </c>
    </row>
    <row r="31" spans="1:1" x14ac:dyDescent="0.25">
      <c r="A31" s="33">
        <v>0.72847222222221897</v>
      </c>
    </row>
    <row r="32" spans="1:1" x14ac:dyDescent="0.25">
      <c r="A32" s="33">
        <v>0.72916666666666297</v>
      </c>
    </row>
    <row r="33" spans="1:1" x14ac:dyDescent="0.25">
      <c r="A33" s="33">
        <v>0.72986111111110796</v>
      </c>
    </row>
    <row r="34" spans="1:1" x14ac:dyDescent="0.25">
      <c r="A34" s="33">
        <v>0.73055555555555196</v>
      </c>
    </row>
    <row r="35" spans="1:1" x14ac:dyDescent="0.25">
      <c r="A35" s="33">
        <v>0.73124999999999596</v>
      </c>
    </row>
    <row r="36" spans="1:1" x14ac:dyDescent="0.25">
      <c r="A36" s="33">
        <v>0.73194444444444096</v>
      </c>
    </row>
    <row r="37" spans="1:1" x14ac:dyDescent="0.25">
      <c r="A37" s="33">
        <v>0.73263888888888495</v>
      </c>
    </row>
    <row r="38" spans="1:1" x14ac:dyDescent="0.25">
      <c r="A38" s="33">
        <v>0.73333333333332895</v>
      </c>
    </row>
    <row r="39" spans="1:1" x14ac:dyDescent="0.25">
      <c r="A39" s="33">
        <v>0.73402777777777395</v>
      </c>
    </row>
    <row r="40" spans="1:1" x14ac:dyDescent="0.25">
      <c r="A40" s="33">
        <v>0.73472222222221795</v>
      </c>
    </row>
    <row r="41" spans="1:1" x14ac:dyDescent="0.25">
      <c r="A41" s="33">
        <v>0.73541666666666194</v>
      </c>
    </row>
    <row r="42" spans="1:1" x14ac:dyDescent="0.25">
      <c r="A42" s="33">
        <v>0.73611111111110705</v>
      </c>
    </row>
    <row r="43" spans="1:1" x14ac:dyDescent="0.25">
      <c r="A43" s="33">
        <v>0.73680555555555105</v>
      </c>
    </row>
    <row r="44" spans="1:1" x14ac:dyDescent="0.25">
      <c r="A44" s="33">
        <v>0.73749999999999505</v>
      </c>
    </row>
    <row r="45" spans="1:1" x14ac:dyDescent="0.25">
      <c r="A45" s="33">
        <v>0.73819444444444005</v>
      </c>
    </row>
    <row r="46" spans="1:1" x14ac:dyDescent="0.25">
      <c r="A46" s="33">
        <v>0.73888888888888404</v>
      </c>
    </row>
    <row r="47" spans="1:1" x14ac:dyDescent="0.25">
      <c r="A47" s="33">
        <v>0.73958333333332804</v>
      </c>
    </row>
    <row r="48" spans="1:1" x14ac:dyDescent="0.25">
      <c r="A48" s="33">
        <v>0.74027777777777304</v>
      </c>
    </row>
    <row r="49" spans="1:1" x14ac:dyDescent="0.25">
      <c r="A49" s="33">
        <v>0.74097222222221704</v>
      </c>
    </row>
    <row r="50" spans="1:1" x14ac:dyDescent="0.25">
      <c r="A50" s="33">
        <v>0.74166666666666103</v>
      </c>
    </row>
    <row r="51" spans="1:1" x14ac:dyDescent="0.25">
      <c r="A51" s="33">
        <v>0.74236111111110603</v>
      </c>
    </row>
    <row r="52" spans="1:1" x14ac:dyDescent="0.25">
      <c r="A52" s="33">
        <v>0.74305555555555003</v>
      </c>
    </row>
    <row r="53" spans="1:1" x14ac:dyDescent="0.25">
      <c r="A53" s="33">
        <v>0.74374999999999403</v>
      </c>
    </row>
    <row r="54" spans="1:1" x14ac:dyDescent="0.25">
      <c r="A54" s="33">
        <v>0.74444444444443902</v>
      </c>
    </row>
    <row r="55" spans="1:1" x14ac:dyDescent="0.25">
      <c r="A55" s="33">
        <v>0.74513888888888302</v>
      </c>
    </row>
    <row r="56" spans="1:1" x14ac:dyDescent="0.25">
      <c r="A56" s="33">
        <v>0.74583333333332702</v>
      </c>
    </row>
    <row r="57" spans="1:1" x14ac:dyDescent="0.25">
      <c r="A57" s="33">
        <v>0.74652777777777202</v>
      </c>
    </row>
    <row r="58" spans="1:1" x14ac:dyDescent="0.25">
      <c r="A58" s="33">
        <v>0.74722222222221601</v>
      </c>
    </row>
    <row r="59" spans="1:1" x14ac:dyDescent="0.25">
      <c r="A59" s="33">
        <v>0.74791666666666001</v>
      </c>
    </row>
    <row r="60" spans="1:1" x14ac:dyDescent="0.25">
      <c r="A60" s="33">
        <v>0.74861111111110501</v>
      </c>
    </row>
    <row r="61" spans="1:1" x14ac:dyDescent="0.25">
      <c r="A61" s="33">
        <v>0.74930555555554901</v>
      </c>
    </row>
    <row r="62" spans="1:1" x14ac:dyDescent="0.25">
      <c r="A62" s="33">
        <v>0.74999999999999301</v>
      </c>
    </row>
    <row r="63" spans="1:1" x14ac:dyDescent="0.25">
      <c r="A63" s="33">
        <v>0.750694444444438</v>
      </c>
    </row>
    <row r="64" spans="1:1" x14ac:dyDescent="0.25">
      <c r="A64" s="33">
        <v>0.751388888888882</v>
      </c>
    </row>
    <row r="65" spans="1:1" x14ac:dyDescent="0.25">
      <c r="A65" s="33">
        <v>0.752083333333326</v>
      </c>
    </row>
    <row r="66" spans="1:1" x14ac:dyDescent="0.25">
      <c r="A66" s="33">
        <v>0.752777777777771</v>
      </c>
    </row>
    <row r="67" spans="1:1" x14ac:dyDescent="0.25">
      <c r="A67" s="33">
        <v>0.75347222222221499</v>
      </c>
    </row>
    <row r="68" spans="1:1" x14ac:dyDescent="0.25">
      <c r="A68" s="33">
        <v>0.75416666666665899</v>
      </c>
    </row>
    <row r="69" spans="1:1" x14ac:dyDescent="0.25">
      <c r="A69" s="33">
        <v>0.75486111111110399</v>
      </c>
    </row>
    <row r="70" spans="1:1" x14ac:dyDescent="0.25">
      <c r="A70" s="33">
        <v>0.75555555555554799</v>
      </c>
    </row>
    <row r="71" spans="1:1" x14ac:dyDescent="0.25">
      <c r="A71" s="33">
        <v>0.75624999999999198</v>
      </c>
    </row>
    <row r="72" spans="1:1" x14ac:dyDescent="0.25">
      <c r="A72" s="33">
        <v>0.75694444444443698</v>
      </c>
    </row>
    <row r="73" spans="1:1" x14ac:dyDescent="0.25">
      <c r="A73" s="33">
        <v>0.75763888888888098</v>
      </c>
    </row>
    <row r="74" spans="1:1" x14ac:dyDescent="0.25">
      <c r="A74" s="33">
        <v>0.75833333333332498</v>
      </c>
    </row>
    <row r="75" spans="1:1" x14ac:dyDescent="0.25">
      <c r="A75" s="33">
        <v>0.75902777777776997</v>
      </c>
    </row>
    <row r="76" spans="1:1" x14ac:dyDescent="0.25">
      <c r="A76" s="33">
        <v>0.75972222222221397</v>
      </c>
    </row>
    <row r="77" spans="1:1" x14ac:dyDescent="0.25">
      <c r="A77" s="33">
        <v>0.76041666666665797</v>
      </c>
    </row>
    <row r="78" spans="1:1" x14ac:dyDescent="0.25">
      <c r="A78" s="33">
        <v>0.76111111111110297</v>
      </c>
    </row>
    <row r="79" spans="1:1" x14ac:dyDescent="0.25">
      <c r="A79" s="33">
        <v>0.76180555555554696</v>
      </c>
    </row>
    <row r="80" spans="1:1" x14ac:dyDescent="0.25">
      <c r="A80" s="33">
        <v>0.76249999999999096</v>
      </c>
    </row>
    <row r="81" spans="1:1" x14ac:dyDescent="0.25">
      <c r="A81" s="33">
        <v>0.76319444444443596</v>
      </c>
    </row>
    <row r="82" spans="1:1" x14ac:dyDescent="0.25">
      <c r="A82" s="33">
        <v>0.76388888888887996</v>
      </c>
    </row>
    <row r="83" spans="1:1" x14ac:dyDescent="0.25">
      <c r="A83" s="33">
        <v>0.76458333333332396</v>
      </c>
    </row>
    <row r="84" spans="1:1" x14ac:dyDescent="0.25">
      <c r="A84" s="33">
        <v>0.76527777777776895</v>
      </c>
    </row>
    <row r="85" spans="1:1" x14ac:dyDescent="0.25">
      <c r="A85" s="33">
        <v>0.76597222222221295</v>
      </c>
    </row>
    <row r="86" spans="1:1" x14ac:dyDescent="0.25">
      <c r="A86" s="33">
        <v>0.76666666666665695</v>
      </c>
    </row>
    <row r="87" spans="1:1" x14ac:dyDescent="0.25">
      <c r="A87" s="33">
        <v>0.76736111111110195</v>
      </c>
    </row>
    <row r="88" spans="1:1" x14ac:dyDescent="0.25">
      <c r="A88" s="33">
        <v>0.76805555555554605</v>
      </c>
    </row>
    <row r="89" spans="1:1" x14ac:dyDescent="0.25">
      <c r="A89" s="33">
        <v>0.76874999999999005</v>
      </c>
    </row>
    <row r="90" spans="1:1" x14ac:dyDescent="0.25">
      <c r="A90" s="33">
        <v>0.76944444444443405</v>
      </c>
    </row>
    <row r="91" spans="1:1" x14ac:dyDescent="0.25">
      <c r="A91" s="33">
        <v>0.77013888888887905</v>
      </c>
    </row>
    <row r="92" spans="1:1" x14ac:dyDescent="0.25">
      <c r="A92" s="33">
        <v>0.77083333333332305</v>
      </c>
    </row>
    <row r="93" spans="1:1" x14ac:dyDescent="0.25">
      <c r="A93" s="33">
        <v>0.77152777777776704</v>
      </c>
    </row>
    <row r="94" spans="1:1" x14ac:dyDescent="0.25">
      <c r="A94" s="33">
        <v>0.77222222222221204</v>
      </c>
    </row>
    <row r="95" spans="1:1" x14ac:dyDescent="0.25">
      <c r="A95" s="33">
        <v>0.77291666666665604</v>
      </c>
    </row>
    <row r="96" spans="1:1" x14ac:dyDescent="0.25">
      <c r="A96" s="33">
        <v>0.77361111111110004</v>
      </c>
    </row>
    <row r="97" spans="1:1" x14ac:dyDescent="0.25">
      <c r="A97" s="33">
        <v>0.77430555555554503</v>
      </c>
    </row>
    <row r="98" spans="1:1" x14ac:dyDescent="0.25">
      <c r="A98" s="33">
        <v>0.77499999999998903</v>
      </c>
    </row>
    <row r="99" spans="1:1" x14ac:dyDescent="0.25">
      <c r="A99" s="33">
        <v>0.77569444444443303</v>
      </c>
    </row>
    <row r="100" spans="1:1" x14ac:dyDescent="0.25">
      <c r="A100" s="33">
        <v>0.77638888888887803</v>
      </c>
    </row>
    <row r="101" spans="1:1" x14ac:dyDescent="0.25">
      <c r="A101" s="33">
        <v>0.77708333333332202</v>
      </c>
    </row>
    <row r="102" spans="1:1" x14ac:dyDescent="0.25">
      <c r="A102" s="33">
        <v>0.77777777777776602</v>
      </c>
    </row>
    <row r="103" spans="1:1" x14ac:dyDescent="0.25">
      <c r="A103" s="33">
        <v>0.77847222222221102</v>
      </c>
    </row>
    <row r="104" spans="1:1" x14ac:dyDescent="0.25">
      <c r="A104" s="33">
        <v>0.77916666666665502</v>
      </c>
    </row>
    <row r="105" spans="1:1" x14ac:dyDescent="0.25">
      <c r="A105" s="33">
        <v>0.77986111111109901</v>
      </c>
    </row>
    <row r="106" spans="1:1" x14ac:dyDescent="0.25">
      <c r="A106" s="33">
        <v>0.78055555555554401</v>
      </c>
    </row>
    <row r="107" spans="1:1" x14ac:dyDescent="0.25">
      <c r="A107" s="33">
        <v>0.78124999999998801</v>
      </c>
    </row>
    <row r="108" spans="1:1" x14ac:dyDescent="0.25">
      <c r="A108" s="33">
        <v>0.78194444444443201</v>
      </c>
    </row>
    <row r="109" spans="1:1" x14ac:dyDescent="0.25">
      <c r="A109" s="33">
        <v>0.782638888888877</v>
      </c>
    </row>
    <row r="110" spans="1:1" x14ac:dyDescent="0.25">
      <c r="A110" s="33">
        <v>0.783333333333321</v>
      </c>
    </row>
    <row r="111" spans="1:1" x14ac:dyDescent="0.25">
      <c r="A111" s="33">
        <v>0.784027777777765</v>
      </c>
    </row>
    <row r="112" spans="1:1" x14ac:dyDescent="0.25">
      <c r="A112" s="33">
        <v>0.78472222222221</v>
      </c>
    </row>
    <row r="113" spans="1:1" x14ac:dyDescent="0.25">
      <c r="A113" s="33">
        <v>0.785416666666654</v>
      </c>
    </row>
    <row r="114" spans="1:1" x14ac:dyDescent="0.25">
      <c r="A114" s="33">
        <v>0.78611111111109799</v>
      </c>
    </row>
    <row r="115" spans="1:1" x14ac:dyDescent="0.25">
      <c r="A115" s="33">
        <v>0.78680555555554299</v>
      </c>
    </row>
    <row r="116" spans="1:1" x14ac:dyDescent="0.25">
      <c r="A116" s="33">
        <v>0.78749999999998699</v>
      </c>
    </row>
    <row r="117" spans="1:1" x14ac:dyDescent="0.25">
      <c r="A117" s="33">
        <v>0.78819444444443099</v>
      </c>
    </row>
    <row r="118" spans="1:1" x14ac:dyDescent="0.25">
      <c r="A118" s="33">
        <v>0.78888888888887598</v>
      </c>
    </row>
    <row r="119" spans="1:1" x14ac:dyDescent="0.25">
      <c r="A119" s="33">
        <v>0.78958333333331998</v>
      </c>
    </row>
    <row r="120" spans="1:1" x14ac:dyDescent="0.25">
      <c r="A120" s="33">
        <v>0.79027777777776398</v>
      </c>
    </row>
    <row r="121" spans="1:1" x14ac:dyDescent="0.25">
      <c r="A121" s="33">
        <v>0.79097222222220898</v>
      </c>
    </row>
    <row r="122" spans="1:1" x14ac:dyDescent="0.25">
      <c r="A122" s="33">
        <v>0.79166666666665297</v>
      </c>
    </row>
    <row r="123" spans="1:1" x14ac:dyDescent="0.25">
      <c r="A123" s="33">
        <v>0.79236111111109697</v>
      </c>
    </row>
    <row r="124" spans="1:1" x14ac:dyDescent="0.25">
      <c r="A124" s="33">
        <v>0.79305555555554197</v>
      </c>
    </row>
    <row r="125" spans="1:1" x14ac:dyDescent="0.25">
      <c r="A125" s="33">
        <v>0.79374999999998597</v>
      </c>
    </row>
    <row r="126" spans="1:1" x14ac:dyDescent="0.25">
      <c r="A126" s="33">
        <v>0.79444444444442996</v>
      </c>
    </row>
    <row r="127" spans="1:1" x14ac:dyDescent="0.25">
      <c r="A127" s="33">
        <v>0.79513888888887496</v>
      </c>
    </row>
    <row r="128" spans="1:1" x14ac:dyDescent="0.25">
      <c r="A128" s="33">
        <v>0.79583333333331896</v>
      </c>
    </row>
    <row r="129" spans="1:1" x14ac:dyDescent="0.25">
      <c r="A129" s="33">
        <v>0.79652777777776296</v>
      </c>
    </row>
    <row r="130" spans="1:1" x14ac:dyDescent="0.25">
      <c r="A130" s="33">
        <v>0.79722222222220795</v>
      </c>
    </row>
    <row r="131" spans="1:1" x14ac:dyDescent="0.25">
      <c r="A131" s="33">
        <v>0.79791666666665195</v>
      </c>
    </row>
    <row r="132" spans="1:1" x14ac:dyDescent="0.25">
      <c r="A132" s="33">
        <v>0.79861111111109595</v>
      </c>
    </row>
    <row r="133" spans="1:1" x14ac:dyDescent="0.25">
      <c r="A133" s="33">
        <v>0.79930555555554095</v>
      </c>
    </row>
    <row r="134" spans="1:1" x14ac:dyDescent="0.25">
      <c r="A134" s="33">
        <v>0.79999999999998495</v>
      </c>
    </row>
    <row r="135" spans="1:1" x14ac:dyDescent="0.25">
      <c r="A135" s="33">
        <v>0.80069444444442905</v>
      </c>
    </row>
    <row r="136" spans="1:1" x14ac:dyDescent="0.25">
      <c r="A136" s="33">
        <v>0.80138888888887405</v>
      </c>
    </row>
    <row r="137" spans="1:1" x14ac:dyDescent="0.25">
      <c r="A137" s="33">
        <v>0.80208333333331805</v>
      </c>
    </row>
    <row r="138" spans="1:1" x14ac:dyDescent="0.25">
      <c r="A138" s="33">
        <v>0.80277777777776205</v>
      </c>
    </row>
    <row r="139" spans="1:1" x14ac:dyDescent="0.25">
      <c r="A139" s="33">
        <v>0.80347222222220704</v>
      </c>
    </row>
    <row r="140" spans="1:1" x14ac:dyDescent="0.25">
      <c r="A140" s="33">
        <v>0.80416666666665104</v>
      </c>
    </row>
    <row r="141" spans="1:1" x14ac:dyDescent="0.25">
      <c r="A141" s="33">
        <v>0.80486111111109504</v>
      </c>
    </row>
    <row r="142" spans="1:1" x14ac:dyDescent="0.25">
      <c r="A142" s="33">
        <v>0.80555555555554004</v>
      </c>
    </row>
    <row r="143" spans="1:1" x14ac:dyDescent="0.25">
      <c r="A143" s="33">
        <v>0.80624999999998403</v>
      </c>
    </row>
    <row r="144" spans="1:1" x14ac:dyDescent="0.25">
      <c r="A144" s="33">
        <v>0.80694444444442803</v>
      </c>
    </row>
    <row r="145" spans="1:1" x14ac:dyDescent="0.25">
      <c r="A145" s="33">
        <v>0.80763888888887303</v>
      </c>
    </row>
    <row r="146" spans="1:1" x14ac:dyDescent="0.25">
      <c r="A146" s="33">
        <v>0.80833333333331703</v>
      </c>
    </row>
    <row r="147" spans="1:1" x14ac:dyDescent="0.25">
      <c r="A147" s="33">
        <v>0.80902777777776103</v>
      </c>
    </row>
    <row r="148" spans="1:1" x14ac:dyDescent="0.25">
      <c r="A148" s="33">
        <v>0.80972222222220502</v>
      </c>
    </row>
    <row r="149" spans="1:1" x14ac:dyDescent="0.25">
      <c r="A149" s="33">
        <v>0.81041666666665002</v>
      </c>
    </row>
    <row r="150" spans="1:1" x14ac:dyDescent="0.25">
      <c r="A150" s="33">
        <v>0.81111111111109402</v>
      </c>
    </row>
    <row r="151" spans="1:1" x14ac:dyDescent="0.25">
      <c r="A151" s="33">
        <v>0.81180555555553802</v>
      </c>
    </row>
    <row r="152" spans="1:1" x14ac:dyDescent="0.25">
      <c r="A152" s="33">
        <v>0.81249999999998301</v>
      </c>
    </row>
    <row r="153" spans="1:1" x14ac:dyDescent="0.25">
      <c r="A153" s="33">
        <v>0.81319444444442701</v>
      </c>
    </row>
    <row r="154" spans="1:1" x14ac:dyDescent="0.25">
      <c r="A154" s="33">
        <v>0.81388888888887101</v>
      </c>
    </row>
    <row r="155" spans="1:1" x14ac:dyDescent="0.25">
      <c r="A155" s="33">
        <v>0.81458333333331601</v>
      </c>
    </row>
    <row r="156" spans="1:1" x14ac:dyDescent="0.25">
      <c r="A156" s="33">
        <v>0.81527777777776</v>
      </c>
    </row>
    <row r="157" spans="1:1" x14ac:dyDescent="0.25">
      <c r="A157" s="33">
        <v>0.815972222222204</v>
      </c>
    </row>
    <row r="158" spans="1:1" x14ac:dyDescent="0.25">
      <c r="A158" s="33">
        <v>0.816666666666649</v>
      </c>
    </row>
    <row r="159" spans="1:1" x14ac:dyDescent="0.25">
      <c r="A159" s="33">
        <v>0.817361111111093</v>
      </c>
    </row>
    <row r="160" spans="1:1" x14ac:dyDescent="0.25">
      <c r="A160" s="33">
        <v>0.818055555555537</v>
      </c>
    </row>
    <row r="161" spans="1:1" x14ac:dyDescent="0.25">
      <c r="A161" s="33">
        <v>0.81874999999998199</v>
      </c>
    </row>
    <row r="162" spans="1:1" x14ac:dyDescent="0.25">
      <c r="A162" s="33">
        <v>0.81944444444442599</v>
      </c>
    </row>
    <row r="163" spans="1:1" x14ac:dyDescent="0.25">
      <c r="A163" s="33">
        <v>0.82013888888886999</v>
      </c>
    </row>
    <row r="164" spans="1:1" x14ac:dyDescent="0.25">
      <c r="A164" s="33">
        <v>0.82083333333331499</v>
      </c>
    </row>
    <row r="165" spans="1:1" x14ac:dyDescent="0.25">
      <c r="A165" s="33">
        <v>0.82152777777775898</v>
      </c>
    </row>
    <row r="166" spans="1:1" x14ac:dyDescent="0.25">
      <c r="A166" s="33">
        <v>0.82222222222220298</v>
      </c>
    </row>
    <row r="167" spans="1:1" x14ac:dyDescent="0.25">
      <c r="A167" s="33">
        <v>0.82291666666664798</v>
      </c>
    </row>
    <row r="168" spans="1:1" x14ac:dyDescent="0.25">
      <c r="A168" s="33">
        <v>0.82361111111109198</v>
      </c>
    </row>
    <row r="169" spans="1:1" x14ac:dyDescent="0.25">
      <c r="A169" s="33">
        <v>0.82430555555553597</v>
      </c>
    </row>
    <row r="170" spans="1:1" x14ac:dyDescent="0.25">
      <c r="A170" s="33">
        <v>0.82499999999998097</v>
      </c>
    </row>
    <row r="171" spans="1:1" x14ac:dyDescent="0.25">
      <c r="A171" s="33">
        <v>0.82569444444442497</v>
      </c>
    </row>
    <row r="172" spans="1:1" x14ac:dyDescent="0.25">
      <c r="A172" s="33">
        <v>0.82638888888886897</v>
      </c>
    </row>
    <row r="173" spans="1:1" x14ac:dyDescent="0.25">
      <c r="A173" s="33">
        <v>0.82708333333331396</v>
      </c>
    </row>
    <row r="174" spans="1:1" x14ac:dyDescent="0.25">
      <c r="A174" s="33">
        <v>0.82777777777775796</v>
      </c>
    </row>
    <row r="175" spans="1:1" x14ac:dyDescent="0.25">
      <c r="A175" s="33">
        <v>0.82847222222220196</v>
      </c>
    </row>
    <row r="176" spans="1:1" x14ac:dyDescent="0.25">
      <c r="A176" s="33">
        <v>0.82916666666664696</v>
      </c>
    </row>
    <row r="177" spans="1:1" x14ac:dyDescent="0.25">
      <c r="A177" s="33">
        <v>0.82986111111109095</v>
      </c>
    </row>
    <row r="178" spans="1:1" x14ac:dyDescent="0.25">
      <c r="A178" s="33">
        <v>0.83055555555553495</v>
      </c>
    </row>
    <row r="179" spans="1:1" x14ac:dyDescent="0.25">
      <c r="A179" s="33">
        <v>0.83124999999997995</v>
      </c>
    </row>
    <row r="180" spans="1:1" x14ac:dyDescent="0.25">
      <c r="A180" s="33">
        <v>0.83194444444442395</v>
      </c>
    </row>
    <row r="181" spans="1:1" x14ac:dyDescent="0.25">
      <c r="A181" s="33">
        <v>0.83263888888886795</v>
      </c>
    </row>
    <row r="182" spans="1:1" x14ac:dyDescent="0.25">
      <c r="A182" s="33">
        <v>0.83333333333331305</v>
      </c>
    </row>
    <row r="183" spans="1:1" x14ac:dyDescent="0.25">
      <c r="A183" s="33">
        <v>0.83402777777775705</v>
      </c>
    </row>
    <row r="184" spans="1:1" x14ac:dyDescent="0.25">
      <c r="A184" s="33">
        <v>0.83472222222220105</v>
      </c>
    </row>
    <row r="185" spans="1:1" x14ac:dyDescent="0.25">
      <c r="A185" s="33">
        <v>0.83541666666664605</v>
      </c>
    </row>
    <row r="186" spans="1:1" x14ac:dyDescent="0.25">
      <c r="A186" s="33">
        <v>0.83611111111109004</v>
      </c>
    </row>
    <row r="187" spans="1:1" x14ac:dyDescent="0.25">
      <c r="A187" s="33">
        <v>0.83680555555553404</v>
      </c>
    </row>
    <row r="188" spans="1:1" x14ac:dyDescent="0.25">
      <c r="A188" s="33">
        <v>0.83749999999997904</v>
      </c>
    </row>
    <row r="189" spans="1:1" x14ac:dyDescent="0.25">
      <c r="A189" s="33">
        <v>0.83819444444442304</v>
      </c>
    </row>
    <row r="190" spans="1:1" x14ac:dyDescent="0.25">
      <c r="A190" s="33">
        <v>0.83888888888886703</v>
      </c>
    </row>
    <row r="191" spans="1:1" x14ac:dyDescent="0.25">
      <c r="A191" s="33">
        <v>0.83958333333331203</v>
      </c>
    </row>
    <row r="192" spans="1:1" x14ac:dyDescent="0.25">
      <c r="A192" s="33">
        <v>0.84027777777775603</v>
      </c>
    </row>
    <row r="193" spans="1:1" x14ac:dyDescent="0.25">
      <c r="A193" s="33">
        <v>0.84097222222220003</v>
      </c>
    </row>
    <row r="194" spans="1:1" x14ac:dyDescent="0.25">
      <c r="A194" s="33">
        <v>0.84166666666664502</v>
      </c>
    </row>
    <row r="195" spans="1:1" x14ac:dyDescent="0.25">
      <c r="A195" s="33">
        <v>0.84236111111108902</v>
      </c>
    </row>
    <row r="196" spans="1:1" x14ac:dyDescent="0.25">
      <c r="A196" s="33">
        <v>0.84305555555553302</v>
      </c>
    </row>
    <row r="197" spans="1:1" x14ac:dyDescent="0.25">
      <c r="A197" s="33">
        <v>0.84374999999997802</v>
      </c>
    </row>
    <row r="198" spans="1:1" x14ac:dyDescent="0.25">
      <c r="A198" s="33">
        <v>0.84444444444442202</v>
      </c>
    </row>
    <row r="199" spans="1:1" x14ac:dyDescent="0.25">
      <c r="A199" s="33">
        <v>0.84513888888886601</v>
      </c>
    </row>
    <row r="200" spans="1:1" x14ac:dyDescent="0.25">
      <c r="A200" s="33">
        <v>0.84583333333331101</v>
      </c>
    </row>
    <row r="201" spans="1:1" x14ac:dyDescent="0.25">
      <c r="A201" s="33">
        <v>0.84652777777775501</v>
      </c>
    </row>
    <row r="202" spans="1:1" x14ac:dyDescent="0.25">
      <c r="A202" s="33">
        <v>0.84722222222219901</v>
      </c>
    </row>
    <row r="203" spans="1:1" x14ac:dyDescent="0.25">
      <c r="A203" s="33">
        <v>0.847916666666644</v>
      </c>
    </row>
    <row r="204" spans="1:1" x14ac:dyDescent="0.25">
      <c r="A204" s="33">
        <v>0.848611111111088</v>
      </c>
    </row>
    <row r="205" spans="1:1" x14ac:dyDescent="0.25">
      <c r="A205" s="33">
        <v>0.849305555555532</v>
      </c>
    </row>
    <row r="206" spans="1:1" x14ac:dyDescent="0.25">
      <c r="A206" s="33">
        <v>0.849999999999977</v>
      </c>
    </row>
    <row r="207" spans="1:1" x14ac:dyDescent="0.25">
      <c r="A207" s="33">
        <v>0.85069444444442099</v>
      </c>
    </row>
    <row r="208" spans="1:1" x14ac:dyDescent="0.25">
      <c r="A208" s="33">
        <v>0.85138888888886499</v>
      </c>
    </row>
    <row r="209" spans="1:1" x14ac:dyDescent="0.25">
      <c r="A209" s="33">
        <v>0.85208333333330999</v>
      </c>
    </row>
    <row r="210" spans="1:1" x14ac:dyDescent="0.25">
      <c r="A210" s="33">
        <v>0.85277777777775399</v>
      </c>
    </row>
    <row r="211" spans="1:1" x14ac:dyDescent="0.25">
      <c r="A211" s="33">
        <v>0.85347222222219798</v>
      </c>
    </row>
    <row r="212" spans="1:1" x14ac:dyDescent="0.25">
      <c r="A212" s="33">
        <v>0.85416666666664298</v>
      </c>
    </row>
    <row r="213" spans="1:1" x14ac:dyDescent="0.25">
      <c r="A213" s="33">
        <v>0.85486111111108698</v>
      </c>
    </row>
    <row r="214" spans="1:1" x14ac:dyDescent="0.25">
      <c r="A214" s="33">
        <v>0.85555555555553098</v>
      </c>
    </row>
    <row r="215" spans="1:1" x14ac:dyDescent="0.25">
      <c r="A215" s="33">
        <v>0.85624999999997498</v>
      </c>
    </row>
    <row r="216" spans="1:1" x14ac:dyDescent="0.25">
      <c r="A216" s="33">
        <v>0.85694444444441997</v>
      </c>
    </row>
    <row r="217" spans="1:1" x14ac:dyDescent="0.25">
      <c r="A217" s="33">
        <v>0.85763888888886397</v>
      </c>
    </row>
    <row r="218" spans="1:1" x14ac:dyDescent="0.25">
      <c r="A218" s="33">
        <v>0.85833333333330797</v>
      </c>
    </row>
    <row r="219" spans="1:1" x14ac:dyDescent="0.25">
      <c r="A219" s="33">
        <v>0.85902777777775297</v>
      </c>
    </row>
    <row r="220" spans="1:1" x14ac:dyDescent="0.25">
      <c r="A220" s="33">
        <v>0.85972222222219696</v>
      </c>
    </row>
    <row r="221" spans="1:1" x14ac:dyDescent="0.25">
      <c r="A221" s="33">
        <v>0.86041666666664096</v>
      </c>
    </row>
    <row r="222" spans="1:1" x14ac:dyDescent="0.25">
      <c r="A222" s="33">
        <v>0.86111111111108596</v>
      </c>
    </row>
    <row r="223" spans="1:1" x14ac:dyDescent="0.25">
      <c r="A223" s="33">
        <v>0.86180555555552996</v>
      </c>
    </row>
    <row r="224" spans="1:1" x14ac:dyDescent="0.25">
      <c r="A224" s="33">
        <v>0.86249999999997395</v>
      </c>
    </row>
    <row r="225" spans="1:1" x14ac:dyDescent="0.25">
      <c r="A225" s="33">
        <v>0.86319444444441895</v>
      </c>
    </row>
    <row r="226" spans="1:1" x14ac:dyDescent="0.25">
      <c r="A226" s="33">
        <v>0.86388888888886295</v>
      </c>
    </row>
    <row r="227" spans="1:1" x14ac:dyDescent="0.25">
      <c r="A227" s="33">
        <v>0.86458333333330695</v>
      </c>
    </row>
    <row r="228" spans="1:1" x14ac:dyDescent="0.25">
      <c r="A228" s="33">
        <v>0.86527777777775206</v>
      </c>
    </row>
    <row r="229" spans="1:1" x14ac:dyDescent="0.25">
      <c r="A229" s="33">
        <v>0.86597222222219605</v>
      </c>
    </row>
    <row r="230" spans="1:1" x14ac:dyDescent="0.25">
      <c r="A230" s="33">
        <v>0.86666666666664005</v>
      </c>
    </row>
    <row r="231" spans="1:1" x14ac:dyDescent="0.25">
      <c r="A231" s="33">
        <v>0.86736111111108505</v>
      </c>
    </row>
    <row r="232" spans="1:1" x14ac:dyDescent="0.25">
      <c r="A232" s="33">
        <v>0.86805555555552905</v>
      </c>
    </row>
    <row r="233" spans="1:1" x14ac:dyDescent="0.25">
      <c r="A233" s="33">
        <v>0.86874999999997304</v>
      </c>
    </row>
    <row r="234" spans="1:1" x14ac:dyDescent="0.25">
      <c r="A234" s="33">
        <v>0.86944444444441804</v>
      </c>
    </row>
    <row r="235" spans="1:1" x14ac:dyDescent="0.25">
      <c r="A235" s="33">
        <v>0.87013888888886204</v>
      </c>
    </row>
    <row r="236" spans="1:1" x14ac:dyDescent="0.25">
      <c r="A236" s="33">
        <v>0.87083333333330604</v>
      </c>
    </row>
    <row r="237" spans="1:1" x14ac:dyDescent="0.25">
      <c r="A237" s="33">
        <v>0.87152777777775103</v>
      </c>
    </row>
    <row r="238" spans="1:1" x14ac:dyDescent="0.25">
      <c r="A238" s="33">
        <v>0.87222222222219503</v>
      </c>
    </row>
    <row r="239" spans="1:1" x14ac:dyDescent="0.25">
      <c r="A239" s="33">
        <v>0.87291666666663903</v>
      </c>
    </row>
    <row r="240" spans="1:1" x14ac:dyDescent="0.25">
      <c r="A240" s="33">
        <v>0.87361111111108403</v>
      </c>
    </row>
    <row r="241" spans="1:1" x14ac:dyDescent="0.25">
      <c r="A241" s="33">
        <v>0.87430555555552802</v>
      </c>
    </row>
    <row r="242" spans="1:1" x14ac:dyDescent="0.25">
      <c r="A242" s="33">
        <v>0.87499999999997202</v>
      </c>
    </row>
    <row r="243" spans="1:1" x14ac:dyDescent="0.25">
      <c r="A243" s="33">
        <v>0.87569444444441702</v>
      </c>
    </row>
    <row r="244" spans="1:1" x14ac:dyDescent="0.25">
      <c r="A244" s="33">
        <v>0.87638888888886102</v>
      </c>
    </row>
    <row r="245" spans="1:1" x14ac:dyDescent="0.25">
      <c r="A245" s="33">
        <v>0.87708333333330502</v>
      </c>
    </row>
    <row r="246" spans="1:1" x14ac:dyDescent="0.25">
      <c r="A246" s="33">
        <v>0.87777777777775001</v>
      </c>
    </row>
    <row r="247" spans="1:1" x14ac:dyDescent="0.25">
      <c r="A247" s="33">
        <v>0.87847222222219401</v>
      </c>
    </row>
    <row r="248" spans="1:1" x14ac:dyDescent="0.25">
      <c r="A248" s="33">
        <v>0.87916666666663801</v>
      </c>
    </row>
    <row r="249" spans="1:1" x14ac:dyDescent="0.25">
      <c r="A249" s="33">
        <v>0.87986111111108301</v>
      </c>
    </row>
    <row r="250" spans="1:1" x14ac:dyDescent="0.25">
      <c r="A250" s="33">
        <v>0.880555555555527</v>
      </c>
    </row>
    <row r="251" spans="1:1" x14ac:dyDescent="0.25">
      <c r="A251" s="33">
        <v>0.881249999999971</v>
      </c>
    </row>
    <row r="252" spans="1:1" x14ac:dyDescent="0.25">
      <c r="A252" s="33">
        <v>0.881944444444416</v>
      </c>
    </row>
    <row r="253" spans="1:1" x14ac:dyDescent="0.25">
      <c r="A253" s="33">
        <v>0.88263888888886</v>
      </c>
    </row>
    <row r="254" spans="1:1" x14ac:dyDescent="0.25">
      <c r="A254" s="33">
        <v>0.88333333333330399</v>
      </c>
    </row>
    <row r="255" spans="1:1" x14ac:dyDescent="0.25">
      <c r="A255" s="33">
        <v>0.88402777777774899</v>
      </c>
    </row>
    <row r="256" spans="1:1" x14ac:dyDescent="0.25">
      <c r="A256" s="33">
        <v>0.88472222222219299</v>
      </c>
    </row>
    <row r="257" spans="1:1" x14ac:dyDescent="0.25">
      <c r="A257" s="33">
        <v>0.88541666666663699</v>
      </c>
    </row>
    <row r="258" spans="1:1" x14ac:dyDescent="0.25">
      <c r="A258" s="33">
        <v>0.88611111111108198</v>
      </c>
    </row>
    <row r="259" spans="1:1" x14ac:dyDescent="0.25">
      <c r="A259" s="33">
        <v>0.88680555555552598</v>
      </c>
    </row>
    <row r="260" spans="1:1" x14ac:dyDescent="0.25">
      <c r="A260" s="33">
        <v>0.88749999999996998</v>
      </c>
    </row>
    <row r="261" spans="1:1" x14ac:dyDescent="0.25">
      <c r="A261" s="33">
        <v>0.88819444444441498</v>
      </c>
    </row>
    <row r="262" spans="1:1" x14ac:dyDescent="0.25">
      <c r="A262" s="33">
        <v>0.88888888888885897</v>
      </c>
    </row>
    <row r="263" spans="1:1" x14ac:dyDescent="0.25">
      <c r="A263" s="33">
        <v>0.88958333333330297</v>
      </c>
    </row>
    <row r="264" spans="1:1" x14ac:dyDescent="0.25">
      <c r="A264" s="33">
        <v>0.89027777777774797</v>
      </c>
    </row>
    <row r="265" spans="1:1" x14ac:dyDescent="0.25">
      <c r="A265" s="33">
        <v>0.89097222222219197</v>
      </c>
    </row>
    <row r="266" spans="1:1" x14ac:dyDescent="0.25">
      <c r="A266" s="33">
        <v>0.89166666666663597</v>
      </c>
    </row>
    <row r="267" spans="1:1" x14ac:dyDescent="0.25">
      <c r="A267" s="33">
        <v>0.89236111111108096</v>
      </c>
    </row>
    <row r="268" spans="1:1" x14ac:dyDescent="0.25">
      <c r="A268" s="33">
        <v>0.89305555555552496</v>
      </c>
    </row>
    <row r="269" spans="1:1" x14ac:dyDescent="0.25">
      <c r="A269" s="33">
        <v>0.89374999999996896</v>
      </c>
    </row>
    <row r="270" spans="1:1" x14ac:dyDescent="0.25">
      <c r="A270" s="33">
        <v>0.89444444444441396</v>
      </c>
    </row>
    <row r="271" spans="1:1" x14ac:dyDescent="0.25">
      <c r="A271" s="33">
        <v>0.89513888888885795</v>
      </c>
    </row>
    <row r="272" spans="1:1" x14ac:dyDescent="0.25">
      <c r="A272" s="33">
        <v>0.89583333333330195</v>
      </c>
    </row>
    <row r="273" spans="1:1" x14ac:dyDescent="0.25">
      <c r="A273" s="33">
        <v>0.89652777777774695</v>
      </c>
    </row>
    <row r="274" spans="1:1" x14ac:dyDescent="0.25">
      <c r="A274" s="33">
        <v>0.89722222222219095</v>
      </c>
    </row>
    <row r="275" spans="1:1" x14ac:dyDescent="0.25">
      <c r="A275" s="33">
        <v>0.89791666666663505</v>
      </c>
    </row>
    <row r="276" spans="1:1" x14ac:dyDescent="0.25">
      <c r="A276" s="33">
        <v>0.89861111111108005</v>
      </c>
    </row>
    <row r="277" spans="1:1" x14ac:dyDescent="0.25">
      <c r="A277" s="33">
        <v>0.89930555555552405</v>
      </c>
    </row>
    <row r="278" spans="1:1" x14ac:dyDescent="0.25">
      <c r="A278" s="33">
        <v>0.89999999999996805</v>
      </c>
    </row>
    <row r="279" spans="1:1" x14ac:dyDescent="0.25">
      <c r="A279" s="33">
        <v>0.90069444444441304</v>
      </c>
    </row>
    <row r="280" spans="1:1" x14ac:dyDescent="0.25">
      <c r="A280" s="33">
        <v>0.90138888888885704</v>
      </c>
    </row>
    <row r="281" spans="1:1" x14ac:dyDescent="0.25">
      <c r="A281" s="33">
        <v>0.90208333333330104</v>
      </c>
    </row>
    <row r="282" spans="1:1" x14ac:dyDescent="0.25">
      <c r="A282" s="33">
        <v>0.90277777777774604</v>
      </c>
    </row>
    <row r="283" spans="1:1" x14ac:dyDescent="0.25">
      <c r="A283" s="33">
        <v>0.90347222222219004</v>
      </c>
    </row>
    <row r="284" spans="1:1" x14ac:dyDescent="0.25">
      <c r="A284" s="33">
        <v>0.90416666666663403</v>
      </c>
    </row>
    <row r="285" spans="1:1" x14ac:dyDescent="0.25">
      <c r="A285" s="33">
        <v>0.90486111111107903</v>
      </c>
    </row>
    <row r="286" spans="1:1" x14ac:dyDescent="0.25">
      <c r="A286" s="33">
        <v>0.90555555555552303</v>
      </c>
    </row>
    <row r="287" spans="1:1" x14ac:dyDescent="0.25">
      <c r="A287" s="33">
        <v>0.90624999999996703</v>
      </c>
    </row>
    <row r="288" spans="1:1" x14ac:dyDescent="0.25">
      <c r="A288" s="33">
        <v>0.90694444444441202</v>
      </c>
    </row>
    <row r="289" spans="1:1" x14ac:dyDescent="0.25">
      <c r="A289" s="33">
        <v>0.90763888888885602</v>
      </c>
    </row>
    <row r="290" spans="1:1" x14ac:dyDescent="0.25">
      <c r="A290" s="33">
        <v>0.90833333333330002</v>
      </c>
    </row>
    <row r="291" spans="1:1" x14ac:dyDescent="0.25">
      <c r="A291" s="33">
        <v>0.90902777777774502</v>
      </c>
    </row>
    <row r="292" spans="1:1" x14ac:dyDescent="0.25">
      <c r="A292" s="33">
        <v>0.90972222222218901</v>
      </c>
    </row>
    <row r="293" spans="1:1" x14ac:dyDescent="0.25">
      <c r="A293" s="33">
        <v>0.91041666666663301</v>
      </c>
    </row>
    <row r="294" spans="1:1" x14ac:dyDescent="0.25">
      <c r="A294" s="33">
        <v>0.91111111111107801</v>
      </c>
    </row>
    <row r="295" spans="1:1" x14ac:dyDescent="0.25">
      <c r="A295" s="33">
        <v>0.91180555555552201</v>
      </c>
    </row>
    <row r="296" spans="1:1" x14ac:dyDescent="0.25">
      <c r="A296" s="33">
        <v>0.912499999999966</v>
      </c>
    </row>
    <row r="297" spans="1:1" x14ac:dyDescent="0.25">
      <c r="A297" s="33">
        <v>0.913194444444411</v>
      </c>
    </row>
    <row r="298" spans="1:1" x14ac:dyDescent="0.25">
      <c r="A298" s="33">
        <v>0.913888888888855</v>
      </c>
    </row>
    <row r="299" spans="1:1" x14ac:dyDescent="0.25">
      <c r="A299" s="33">
        <v>0.914583333333299</v>
      </c>
    </row>
    <row r="300" spans="1:1" x14ac:dyDescent="0.25">
      <c r="A300" s="33">
        <v>0.91527777777774399</v>
      </c>
    </row>
    <row r="301" spans="1:1" x14ac:dyDescent="0.25">
      <c r="A301" s="33">
        <v>0.91597222222218799</v>
      </c>
    </row>
    <row r="302" spans="1:1" x14ac:dyDescent="0.25">
      <c r="A302" s="33">
        <v>0.91666666666663199</v>
      </c>
    </row>
    <row r="303" spans="1:1" x14ac:dyDescent="0.25">
      <c r="A303" s="33">
        <v>0.91736111111107699</v>
      </c>
    </row>
    <row r="304" spans="1:1" x14ac:dyDescent="0.25">
      <c r="A304" s="33">
        <v>0.91805555555552099</v>
      </c>
    </row>
    <row r="305" spans="1:1" x14ac:dyDescent="0.25">
      <c r="A305" s="33">
        <v>0.91874999999996498</v>
      </c>
    </row>
    <row r="306" spans="1:1" x14ac:dyDescent="0.25">
      <c r="A306" s="33">
        <v>0.91944444444440998</v>
      </c>
    </row>
    <row r="307" spans="1:1" x14ac:dyDescent="0.25">
      <c r="A307" s="33">
        <v>0.92013888888885498</v>
      </c>
    </row>
    <row r="308" spans="1:1" x14ac:dyDescent="0.25">
      <c r="A308" s="33">
        <v>0.92083333333329997</v>
      </c>
    </row>
    <row r="309" spans="1:1" x14ac:dyDescent="0.25">
      <c r="A309" s="33">
        <v>0.92152777777774497</v>
      </c>
    </row>
    <row r="310" spans="1:1" x14ac:dyDescent="0.25">
      <c r="A310" s="33">
        <v>0.92222222222218997</v>
      </c>
    </row>
    <row r="311" spans="1:1" x14ac:dyDescent="0.25">
      <c r="A311" s="33">
        <v>0.92291666666663497</v>
      </c>
    </row>
    <row r="312" spans="1:1" x14ac:dyDescent="0.25">
      <c r="A312" s="33">
        <v>0.92361111111107996</v>
      </c>
    </row>
    <row r="313" spans="1:1" x14ac:dyDescent="0.25">
      <c r="A313" s="33">
        <v>0.92430555555552496</v>
      </c>
    </row>
    <row r="314" spans="1:1" x14ac:dyDescent="0.25">
      <c r="A314" s="33">
        <v>0.92499999999996996</v>
      </c>
    </row>
    <row r="315" spans="1:1" x14ac:dyDescent="0.25">
      <c r="A315" s="33">
        <v>0.92569444444441495</v>
      </c>
    </row>
    <row r="316" spans="1:1" x14ac:dyDescent="0.25">
      <c r="A316" s="33">
        <v>0.92638888888885995</v>
      </c>
    </row>
    <row r="317" spans="1:1" x14ac:dyDescent="0.25">
      <c r="A317" s="33">
        <v>0.92708333333330495</v>
      </c>
    </row>
    <row r="318" spans="1:1" x14ac:dyDescent="0.25">
      <c r="A318" s="33">
        <v>0.92777777777774995</v>
      </c>
    </row>
    <row r="319" spans="1:1" x14ac:dyDescent="0.25">
      <c r="A319" s="33">
        <v>0.92847222222219505</v>
      </c>
    </row>
    <row r="320" spans="1:1" x14ac:dyDescent="0.25">
      <c r="A320" s="33">
        <v>0.92916666666664005</v>
      </c>
    </row>
    <row r="321" spans="1:1" x14ac:dyDescent="0.25">
      <c r="A321" s="33">
        <v>0.92986111111108505</v>
      </c>
    </row>
    <row r="322" spans="1:1" x14ac:dyDescent="0.25">
      <c r="A322" s="33">
        <v>0.93055555555553005</v>
      </c>
    </row>
    <row r="323" spans="1:1" x14ac:dyDescent="0.25">
      <c r="A323" s="33">
        <v>0.93124999999997504</v>
      </c>
    </row>
    <row r="324" spans="1:1" x14ac:dyDescent="0.25">
      <c r="A324" s="33">
        <v>0.93194444444442004</v>
      </c>
    </row>
    <row r="325" spans="1:1" x14ac:dyDescent="0.25">
      <c r="A325" s="33">
        <v>0.93263888888886504</v>
      </c>
    </row>
    <row r="326" spans="1:1" x14ac:dyDescent="0.25">
      <c r="A326" s="33">
        <v>0.93333333333331003</v>
      </c>
    </row>
    <row r="327" spans="1:1" x14ac:dyDescent="0.25">
      <c r="A327" s="33">
        <v>0.93402777777775503</v>
      </c>
    </row>
    <row r="328" spans="1:1" x14ac:dyDescent="0.25">
      <c r="A328" s="33">
        <v>0.93472222222220003</v>
      </c>
    </row>
    <row r="329" spans="1:1" x14ac:dyDescent="0.25">
      <c r="A329" s="33">
        <v>0.93541666666664502</v>
      </c>
    </row>
    <row r="330" spans="1:1" x14ac:dyDescent="0.25">
      <c r="A330" s="33">
        <v>0.93611111111109002</v>
      </c>
    </row>
    <row r="331" spans="1:1" x14ac:dyDescent="0.25">
      <c r="A331" s="33">
        <v>0.93680555555553502</v>
      </c>
    </row>
    <row r="332" spans="1:1" x14ac:dyDescent="0.25">
      <c r="A332" s="33">
        <v>0.93749999999998002</v>
      </c>
    </row>
    <row r="333" spans="1:1" x14ac:dyDescent="0.25">
      <c r="A333" s="33">
        <v>0.93819444444442501</v>
      </c>
    </row>
    <row r="334" spans="1:1" x14ac:dyDescent="0.25">
      <c r="A334" s="33">
        <v>0.93888888888887001</v>
      </c>
    </row>
    <row r="335" spans="1:1" x14ac:dyDescent="0.25">
      <c r="A335" s="33">
        <v>0.93958333333331501</v>
      </c>
    </row>
    <row r="336" spans="1:1" x14ac:dyDescent="0.25">
      <c r="A336" s="33">
        <v>0.94027777777776</v>
      </c>
    </row>
    <row r="337" spans="1:1" x14ac:dyDescent="0.25">
      <c r="A337" s="33">
        <v>0.940972222222205</v>
      </c>
    </row>
    <row r="338" spans="1:1" x14ac:dyDescent="0.25">
      <c r="A338" s="33">
        <v>0.94166666666665</v>
      </c>
    </row>
    <row r="339" spans="1:1" x14ac:dyDescent="0.25">
      <c r="A339" s="33">
        <v>0.942361111111095</v>
      </c>
    </row>
    <row r="340" spans="1:1" x14ac:dyDescent="0.25">
      <c r="A340" s="33">
        <v>0.94305555555553999</v>
      </c>
    </row>
    <row r="341" spans="1:1" x14ac:dyDescent="0.25">
      <c r="A341" s="33">
        <v>0.94374999999998499</v>
      </c>
    </row>
    <row r="342" spans="1:1" x14ac:dyDescent="0.25">
      <c r="A342" s="33">
        <v>0.94444444444442999</v>
      </c>
    </row>
    <row r="343" spans="1:1" x14ac:dyDescent="0.25">
      <c r="A343" s="33">
        <v>0.94513888888887498</v>
      </c>
    </row>
    <row r="344" spans="1:1" x14ac:dyDescent="0.25">
      <c r="A344" s="33">
        <v>0.94583333333331998</v>
      </c>
    </row>
    <row r="345" spans="1:1" x14ac:dyDescent="0.25">
      <c r="A345" s="33">
        <v>0.94652777777776498</v>
      </c>
    </row>
    <row r="346" spans="1:1" x14ac:dyDescent="0.25">
      <c r="A346" s="33">
        <v>0.94722222222220998</v>
      </c>
    </row>
    <row r="347" spans="1:1" x14ac:dyDescent="0.25">
      <c r="A347" s="33">
        <v>0.94791666666665497</v>
      </c>
    </row>
    <row r="348" spans="1:1" x14ac:dyDescent="0.25">
      <c r="A348" s="33">
        <v>0.94861111111109997</v>
      </c>
    </row>
    <row r="349" spans="1:1" x14ac:dyDescent="0.25">
      <c r="A349" s="33">
        <v>0.94930555555554497</v>
      </c>
    </row>
    <row r="350" spans="1:1" x14ac:dyDescent="0.25">
      <c r="A350" s="33">
        <v>0.94999999999998996</v>
      </c>
    </row>
    <row r="351" spans="1:1" x14ac:dyDescent="0.25">
      <c r="A351" s="33">
        <v>0.95069444444443496</v>
      </c>
    </row>
    <row r="352" spans="1:1" x14ac:dyDescent="0.25">
      <c r="A352" s="33">
        <v>0.95138888888887996</v>
      </c>
    </row>
    <row r="353" spans="1:1" x14ac:dyDescent="0.25">
      <c r="A353" s="33">
        <v>0.95208333333332495</v>
      </c>
    </row>
    <row r="354" spans="1:1" x14ac:dyDescent="0.25">
      <c r="A354" s="33">
        <v>0.95277777777776995</v>
      </c>
    </row>
    <row r="355" spans="1:1" x14ac:dyDescent="0.25">
      <c r="A355" s="33">
        <v>0.95347222222221495</v>
      </c>
    </row>
    <row r="356" spans="1:1" x14ac:dyDescent="0.25">
      <c r="A356" s="33">
        <v>0.95416666666665995</v>
      </c>
    </row>
    <row r="357" spans="1:1" x14ac:dyDescent="0.25">
      <c r="A357" s="33">
        <v>0.95486111111110505</v>
      </c>
    </row>
    <row r="358" spans="1:1" x14ac:dyDescent="0.25">
      <c r="A358" s="33">
        <v>0.95555555555555005</v>
      </c>
    </row>
    <row r="359" spans="1:1" x14ac:dyDescent="0.25">
      <c r="A359" s="33">
        <v>0.95624999999999505</v>
      </c>
    </row>
    <row r="360" spans="1:1" x14ac:dyDescent="0.25">
      <c r="A360" s="33">
        <v>0.95694444444444005</v>
      </c>
    </row>
    <row r="361" spans="1:1" x14ac:dyDescent="0.25">
      <c r="A361" s="33">
        <v>0.95763888888888504</v>
      </c>
    </row>
    <row r="362" spans="1:1" x14ac:dyDescent="0.25">
      <c r="A362" s="33">
        <v>0.95833333333333004</v>
      </c>
    </row>
    <row r="363" spans="1:1" x14ac:dyDescent="0.25">
      <c r="A363" s="33">
        <v>0.95902777777777504</v>
      </c>
    </row>
    <row r="364" spans="1:1" x14ac:dyDescent="0.25">
      <c r="A364" s="33">
        <v>0.95972222222222003</v>
      </c>
    </row>
    <row r="365" spans="1:1" x14ac:dyDescent="0.25">
      <c r="A365" s="33">
        <v>0.96041666666666503</v>
      </c>
    </row>
    <row r="366" spans="1:1" x14ac:dyDescent="0.25">
      <c r="A366" s="33">
        <v>0.96111111111111003</v>
      </c>
    </row>
    <row r="367" spans="1:1" x14ac:dyDescent="0.25">
      <c r="A367" s="33">
        <v>0.96180555555555503</v>
      </c>
    </row>
    <row r="368" spans="1:1" x14ac:dyDescent="0.25">
      <c r="A368" s="33">
        <v>0.96250000000000002</v>
      </c>
    </row>
    <row r="369" spans="1:1" x14ac:dyDescent="0.25">
      <c r="A369" s="33">
        <v>0.96319444444444502</v>
      </c>
    </row>
    <row r="370" spans="1:1" x14ac:dyDescent="0.25">
      <c r="A370" s="33">
        <v>0.96388888888889002</v>
      </c>
    </row>
    <row r="371" spans="1:1" x14ac:dyDescent="0.25">
      <c r="A371" s="33">
        <v>0.96458333333333501</v>
      </c>
    </row>
    <row r="372" spans="1:1" x14ac:dyDescent="0.25">
      <c r="A372" s="33">
        <v>0.96527777777778001</v>
      </c>
    </row>
    <row r="373" spans="1:1" x14ac:dyDescent="0.25">
      <c r="A373" s="33">
        <v>0.96597222222222501</v>
      </c>
    </row>
    <row r="374" spans="1:1" x14ac:dyDescent="0.25">
      <c r="A374" s="33">
        <v>0.96666666666667</v>
      </c>
    </row>
    <row r="375" spans="1:1" x14ac:dyDescent="0.25">
      <c r="A375" s="33">
        <v>0.967361111111115</v>
      </c>
    </row>
    <row r="376" spans="1:1" x14ac:dyDescent="0.25">
      <c r="A376" s="33">
        <v>0.96805555555556</v>
      </c>
    </row>
    <row r="377" spans="1:1" x14ac:dyDescent="0.25">
      <c r="A377" s="33">
        <v>0.968750000000005</v>
      </c>
    </row>
    <row r="378" spans="1:1" x14ac:dyDescent="0.25">
      <c r="A378" s="33">
        <v>0.96944444444444999</v>
      </c>
    </row>
    <row r="379" spans="1:1" x14ac:dyDescent="0.25">
      <c r="A379" s="33">
        <v>0.97013888888889499</v>
      </c>
    </row>
    <row r="380" spans="1:1" x14ac:dyDescent="0.25">
      <c r="A380" s="33">
        <v>0.97083333333333999</v>
      </c>
    </row>
    <row r="381" spans="1:1" x14ac:dyDescent="0.25">
      <c r="A381" s="33">
        <v>0.97152777777778498</v>
      </c>
    </row>
    <row r="382" spans="1:1" x14ac:dyDescent="0.25">
      <c r="A382" s="33">
        <v>0.97222222222222998</v>
      </c>
    </row>
    <row r="383" spans="1:1" x14ac:dyDescent="0.25">
      <c r="A383" s="33">
        <v>0.97291666666667498</v>
      </c>
    </row>
    <row r="384" spans="1:1" x14ac:dyDescent="0.25">
      <c r="A384" s="33">
        <v>0.97361111111111998</v>
      </c>
    </row>
    <row r="385" spans="1:1" x14ac:dyDescent="0.25">
      <c r="A385" s="33">
        <v>0.97430555555556497</v>
      </c>
    </row>
    <row r="386" spans="1:1" x14ac:dyDescent="0.25">
      <c r="A386" s="33">
        <v>0.97500000000000997</v>
      </c>
    </row>
    <row r="387" spans="1:1" x14ac:dyDescent="0.25">
      <c r="A387" s="33">
        <v>0.97569444444445497</v>
      </c>
    </row>
    <row r="388" spans="1:1" x14ac:dyDescent="0.25">
      <c r="A388" s="33">
        <v>0.97638888888889996</v>
      </c>
    </row>
    <row r="389" spans="1:1" x14ac:dyDescent="0.25">
      <c r="A389" s="33">
        <v>0.97708333333334496</v>
      </c>
    </row>
    <row r="390" spans="1:1" x14ac:dyDescent="0.25">
      <c r="A390" s="33">
        <v>0.97777777777778996</v>
      </c>
    </row>
    <row r="391" spans="1:1" x14ac:dyDescent="0.25">
      <c r="A391" s="33">
        <v>0.97847222222223496</v>
      </c>
    </row>
    <row r="392" spans="1:1" x14ac:dyDescent="0.25">
      <c r="A392" s="33">
        <v>0.97916666666667995</v>
      </c>
    </row>
    <row r="393" spans="1:1" x14ac:dyDescent="0.25">
      <c r="A393" s="33">
        <v>0.97986111111112495</v>
      </c>
    </row>
    <row r="394" spans="1:1" x14ac:dyDescent="0.25">
      <c r="A394" s="33">
        <v>0.98055555555556995</v>
      </c>
    </row>
    <row r="395" spans="1:1" x14ac:dyDescent="0.25">
      <c r="A395" s="33">
        <v>0.98125000000001505</v>
      </c>
    </row>
    <row r="396" spans="1:1" x14ac:dyDescent="0.25">
      <c r="A396" s="33">
        <v>0.98194444444446005</v>
      </c>
    </row>
    <row r="397" spans="1:1" x14ac:dyDescent="0.25">
      <c r="A397" s="33">
        <v>0.98263888888890505</v>
      </c>
    </row>
    <row r="398" spans="1:1" x14ac:dyDescent="0.25">
      <c r="A398" s="33">
        <v>0.98333333333335005</v>
      </c>
    </row>
    <row r="399" spans="1:1" x14ac:dyDescent="0.25">
      <c r="A399" s="33">
        <v>0.98402777777779504</v>
      </c>
    </row>
    <row r="400" spans="1:1" x14ac:dyDescent="0.25">
      <c r="A400" s="33">
        <v>0.98472222222224004</v>
      </c>
    </row>
    <row r="401" spans="1:1" x14ac:dyDescent="0.25">
      <c r="A401" s="33">
        <v>0.98541666666668504</v>
      </c>
    </row>
    <row r="402" spans="1:1" x14ac:dyDescent="0.25">
      <c r="A402" s="33">
        <v>0.98611111111113003</v>
      </c>
    </row>
    <row r="403" spans="1:1" x14ac:dyDescent="0.25">
      <c r="A403" s="33">
        <v>0.98680555555557503</v>
      </c>
    </row>
    <row r="404" spans="1:1" x14ac:dyDescent="0.25">
      <c r="A404" s="33">
        <v>0.98750000000002003</v>
      </c>
    </row>
    <row r="405" spans="1:1" x14ac:dyDescent="0.25">
      <c r="A405" s="33">
        <v>0.98819444444446503</v>
      </c>
    </row>
    <row r="406" spans="1:1" x14ac:dyDescent="0.25">
      <c r="A406" s="33">
        <v>0.98888888888891002</v>
      </c>
    </row>
    <row r="407" spans="1:1" x14ac:dyDescent="0.25">
      <c r="A407" s="33">
        <v>0.98958333333335502</v>
      </c>
    </row>
    <row r="408" spans="1:1" x14ac:dyDescent="0.25">
      <c r="A408" s="33">
        <v>0.99027777777780002</v>
      </c>
    </row>
    <row r="409" spans="1:1" x14ac:dyDescent="0.25">
      <c r="A409" s="33">
        <v>0.99097222222224501</v>
      </c>
    </row>
    <row r="410" spans="1:1" x14ac:dyDescent="0.25">
      <c r="A410" s="33">
        <v>0.99166666666669001</v>
      </c>
    </row>
    <row r="411" spans="1:1" x14ac:dyDescent="0.25">
      <c r="A411" s="33">
        <v>0.99236111111113501</v>
      </c>
    </row>
    <row r="412" spans="1:1" x14ac:dyDescent="0.25">
      <c r="A412" s="33">
        <v>0.99305555555558001</v>
      </c>
    </row>
    <row r="413" spans="1:1" x14ac:dyDescent="0.25">
      <c r="A413" s="33">
        <v>0.993750000000025</v>
      </c>
    </row>
    <row r="414" spans="1:1" x14ac:dyDescent="0.25">
      <c r="A414" s="33">
        <v>0.99444444444447</v>
      </c>
    </row>
    <row r="415" spans="1:1" x14ac:dyDescent="0.25">
      <c r="A415" s="33">
        <v>0.995138888888915</v>
      </c>
    </row>
    <row r="416" spans="1:1" x14ac:dyDescent="0.25">
      <c r="A416" s="33">
        <v>0.99583333333335999</v>
      </c>
    </row>
    <row r="417" spans="1:1" x14ac:dyDescent="0.25">
      <c r="A417" s="33">
        <v>0.99652777777780499</v>
      </c>
    </row>
    <row r="418" spans="1:1" x14ac:dyDescent="0.25">
      <c r="A418" s="33">
        <v>0.99722222222224999</v>
      </c>
    </row>
    <row r="419" spans="1:1" x14ac:dyDescent="0.25">
      <c r="A419" s="33">
        <v>0.99791666666669498</v>
      </c>
    </row>
    <row r="420" spans="1:1" x14ac:dyDescent="0.25">
      <c r="A420" s="33">
        <v>0.99861111111113998</v>
      </c>
    </row>
    <row r="421" spans="1:1" x14ac:dyDescent="0.25">
      <c r="A421" s="33">
        <v>0.99930555555558498</v>
      </c>
    </row>
    <row r="422" spans="1:1" x14ac:dyDescent="0.25">
      <c r="A422" s="33">
        <v>1.00000000000003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D179A-FAD4-4FEF-B260-05C8198F9524}">
  <sheetPr codeName="Sheet1"/>
  <dimension ref="A1:J29"/>
  <sheetViews>
    <sheetView showGridLines="0" workbookViewId="0"/>
  </sheetViews>
  <sheetFormatPr defaultRowHeight="15" x14ac:dyDescent="0.25"/>
  <cols>
    <col min="1" max="1" width="19.28515625" bestFit="1" customWidth="1"/>
    <col min="2" max="2" width="9.140625" style="12"/>
    <col min="4" max="4" width="24.5703125" bestFit="1" customWidth="1"/>
    <col min="6" max="6" width="94.85546875" customWidth="1"/>
    <col min="7" max="7" width="19.140625" customWidth="1"/>
    <col min="8" max="8" width="21" customWidth="1"/>
    <col min="9" max="10" width="19.140625" customWidth="1"/>
  </cols>
  <sheetData>
    <row r="1" spans="1:10" x14ac:dyDescent="0.25">
      <c r="A1" s="27" t="s">
        <v>71</v>
      </c>
      <c r="D1" s="27" t="s">
        <v>72</v>
      </c>
      <c r="G1" s="44" t="s">
        <v>104</v>
      </c>
      <c r="H1" s="44"/>
      <c r="I1" s="44" t="s">
        <v>91</v>
      </c>
      <c r="J1" s="44"/>
    </row>
    <row r="2" spans="1:10" x14ac:dyDescent="0.25">
      <c r="A2" s="9" t="s">
        <v>15</v>
      </c>
      <c r="B2" s="10" t="s">
        <v>16</v>
      </c>
      <c r="D2" s="9" t="s">
        <v>15</v>
      </c>
      <c r="E2" s="10" t="s">
        <v>16</v>
      </c>
      <c r="F2" s="13" t="s">
        <v>0</v>
      </c>
      <c r="G2" s="37" t="s">
        <v>83</v>
      </c>
      <c r="H2" s="37" t="s">
        <v>12</v>
      </c>
      <c r="I2" s="37" t="s">
        <v>83</v>
      </c>
      <c r="J2" s="37" t="s">
        <v>12</v>
      </c>
    </row>
    <row r="3" spans="1:10" x14ac:dyDescent="0.25">
      <c r="A3" s="8" t="s">
        <v>17</v>
      </c>
      <c r="B3" s="11" t="s">
        <v>18</v>
      </c>
      <c r="D3" s="8" t="s">
        <v>19</v>
      </c>
      <c r="E3" s="11" t="s">
        <v>20</v>
      </c>
      <c r="F3" s="14" t="str">
        <f t="shared" ref="F3:F13" si="0">SUBSTITUTE("https://resultados.tse.jus.br/oficial/ele2022/547/dados-simplificados/al/al-c0003-e000547-r.json", "/al/al-", "/"&amp;LOWER($E3)&amp;"/"&amp;LOWER($E3)&amp;"-")</f>
        <v>https://resultados.tse.jus.br/oficial/ele2022/547/dados-simplificados/al/al-c0003-e000547-r.json</v>
      </c>
      <c r="G3" s="35"/>
      <c r="H3" s="35"/>
      <c r="I3" s="35"/>
      <c r="J3" s="35"/>
    </row>
    <row r="4" spans="1:10" x14ac:dyDescent="0.25">
      <c r="A4" s="8" t="s">
        <v>19</v>
      </c>
      <c r="B4" s="11" t="s">
        <v>20</v>
      </c>
      <c r="D4" s="8" t="s">
        <v>23</v>
      </c>
      <c r="E4" s="11" t="s">
        <v>24</v>
      </c>
      <c r="F4" s="14" t="str">
        <f t="shared" si="0"/>
        <v>https://resultados.tse.jus.br/oficial/ele2022/547/dados-simplificados/am/am-c0003-e000547-r.json</v>
      </c>
      <c r="G4" s="35"/>
      <c r="H4" s="35"/>
      <c r="I4" s="35"/>
      <c r="J4" s="35"/>
    </row>
    <row r="5" spans="1:10" x14ac:dyDescent="0.25">
      <c r="A5" s="8" t="s">
        <v>21</v>
      </c>
      <c r="B5" s="11" t="s">
        <v>22</v>
      </c>
      <c r="D5" s="8" t="s">
        <v>25</v>
      </c>
      <c r="E5" s="11" t="s">
        <v>26</v>
      </c>
      <c r="F5" s="14" t="str">
        <f t="shared" si="0"/>
        <v>https://resultados.tse.jus.br/oficial/ele2022/547/dados-simplificados/ba/ba-c0003-e000547-r.json</v>
      </c>
      <c r="G5" s="35"/>
      <c r="H5" s="35"/>
      <c r="I5" s="35"/>
      <c r="J5" s="35"/>
    </row>
    <row r="6" spans="1:10" x14ac:dyDescent="0.25">
      <c r="A6" s="8" t="s">
        <v>23</v>
      </c>
      <c r="B6" s="11" t="s">
        <v>24</v>
      </c>
      <c r="D6" s="8" t="s">
        <v>29</v>
      </c>
      <c r="E6" s="11" t="s">
        <v>30</v>
      </c>
      <c r="F6" s="14" t="str">
        <f t="shared" si="0"/>
        <v>https://resultados.tse.jus.br/oficial/ele2022/547/dados-simplificados/es/es-c0003-e000547-r.json</v>
      </c>
      <c r="G6" s="35"/>
      <c r="H6" s="35"/>
      <c r="I6" s="35"/>
      <c r="J6" s="35"/>
    </row>
    <row r="7" spans="1:10" x14ac:dyDescent="0.25">
      <c r="A7" s="8" t="s">
        <v>25</v>
      </c>
      <c r="B7" s="11" t="s">
        <v>26</v>
      </c>
      <c r="D7" s="8" t="s">
        <v>37</v>
      </c>
      <c r="E7" s="11" t="s">
        <v>38</v>
      </c>
      <c r="F7" s="14" t="str">
        <f t="shared" si="0"/>
        <v>https://resultados.tse.jus.br/oficial/ele2022/547/dados-simplificados/ms/ms-c0003-e000547-r.json</v>
      </c>
      <c r="G7" s="35"/>
      <c r="H7" s="35"/>
      <c r="I7" s="35"/>
      <c r="J7" s="35"/>
    </row>
    <row r="8" spans="1:10" x14ac:dyDescent="0.25">
      <c r="A8" s="8" t="s">
        <v>27</v>
      </c>
      <c r="B8" s="11" t="s">
        <v>28</v>
      </c>
      <c r="D8" s="8" t="s">
        <v>43</v>
      </c>
      <c r="E8" s="11" t="s">
        <v>44</v>
      </c>
      <c r="F8" s="14" t="str">
        <f t="shared" si="0"/>
        <v>https://resultados.tse.jus.br/oficial/ele2022/547/dados-simplificados/pb/pb-c0003-e000547-r.json</v>
      </c>
      <c r="G8" s="35"/>
      <c r="H8" s="35"/>
      <c r="I8" s="35"/>
      <c r="J8" s="35"/>
    </row>
    <row r="9" spans="1:10" x14ac:dyDescent="0.25">
      <c r="A9" s="8" t="s">
        <v>29</v>
      </c>
      <c r="B9" s="11" t="s">
        <v>30</v>
      </c>
      <c r="D9" s="8" t="s">
        <v>47</v>
      </c>
      <c r="E9" s="11" t="s">
        <v>48</v>
      </c>
      <c r="F9" s="14" t="str">
        <f t="shared" si="0"/>
        <v>https://resultados.tse.jus.br/oficial/ele2022/547/dados-simplificados/pe/pe-c0003-e000547-r.json</v>
      </c>
      <c r="G9" s="35"/>
      <c r="H9" s="35"/>
      <c r="I9" s="35"/>
      <c r="J9" s="35"/>
    </row>
    <row r="10" spans="1:10" x14ac:dyDescent="0.25">
      <c r="A10" s="8" t="s">
        <v>31</v>
      </c>
      <c r="B10" s="11" t="s">
        <v>32</v>
      </c>
      <c r="D10" s="8" t="s">
        <v>55</v>
      </c>
      <c r="E10" s="11" t="s">
        <v>56</v>
      </c>
      <c r="F10" s="14" t="str">
        <f t="shared" si="0"/>
        <v>https://resultados.tse.jus.br/oficial/ele2022/547/dados-simplificados/rs/rs-c0003-e000547-r.json</v>
      </c>
      <c r="G10" s="35"/>
      <c r="H10" s="35"/>
      <c r="I10" s="35"/>
      <c r="J10" s="35"/>
    </row>
    <row r="11" spans="1:10" x14ac:dyDescent="0.25">
      <c r="A11" s="8" t="s">
        <v>33</v>
      </c>
      <c r="B11" s="11" t="s">
        <v>34</v>
      </c>
      <c r="D11" s="8" t="s">
        <v>61</v>
      </c>
      <c r="E11" s="11" t="s">
        <v>62</v>
      </c>
      <c r="F11" s="14" t="str">
        <f t="shared" si="0"/>
        <v>https://resultados.tse.jus.br/oficial/ele2022/547/dados-simplificados/sc/sc-c0003-e000547-r.json</v>
      </c>
      <c r="G11" s="35"/>
      <c r="H11" s="35"/>
      <c r="I11" s="35"/>
      <c r="J11" s="35"/>
    </row>
    <row r="12" spans="1:10" x14ac:dyDescent="0.25">
      <c r="A12" s="8" t="s">
        <v>35</v>
      </c>
      <c r="B12" s="11" t="s">
        <v>36</v>
      </c>
      <c r="D12" s="8" t="s">
        <v>63</v>
      </c>
      <c r="E12" s="11" t="s">
        <v>64</v>
      </c>
      <c r="F12" s="14" t="str">
        <f t="shared" si="0"/>
        <v>https://resultados.tse.jus.br/oficial/ele2022/547/dados-simplificados/sp/sp-c0003-e000547-r.json</v>
      </c>
      <c r="G12" s="35">
        <v>47.5</v>
      </c>
      <c r="H12" s="35">
        <v>47</v>
      </c>
      <c r="I12" s="35">
        <v>52.5</v>
      </c>
      <c r="J12" s="35">
        <v>53</v>
      </c>
    </row>
    <row r="13" spans="1:10" x14ac:dyDescent="0.25">
      <c r="A13" s="8" t="s">
        <v>37</v>
      </c>
      <c r="B13" s="11" t="s">
        <v>38</v>
      </c>
      <c r="D13" s="8" t="s">
        <v>65</v>
      </c>
      <c r="E13" s="11" t="s">
        <v>66</v>
      </c>
      <c r="F13" s="14" t="str">
        <f t="shared" si="0"/>
        <v>https://resultados.tse.jus.br/oficial/ele2022/547/dados-simplificados/se/se-c0003-e000547-r.json</v>
      </c>
      <c r="G13" s="35"/>
      <c r="H13" s="35"/>
      <c r="I13" s="35"/>
      <c r="J13" s="35"/>
    </row>
    <row r="14" spans="1:10" x14ac:dyDescent="0.25">
      <c r="A14" s="8" t="s">
        <v>39</v>
      </c>
      <c r="B14" s="11" t="s">
        <v>40</v>
      </c>
    </row>
    <row r="15" spans="1:10" x14ac:dyDescent="0.25">
      <c r="A15" s="8" t="s">
        <v>41</v>
      </c>
      <c r="B15" s="11" t="s">
        <v>42</v>
      </c>
      <c r="D15" s="27" t="s">
        <v>73</v>
      </c>
      <c r="G15" s="45" t="s">
        <v>82</v>
      </c>
      <c r="H15" s="45"/>
      <c r="I15" s="45" t="s">
        <v>78</v>
      </c>
      <c r="J15" s="45"/>
    </row>
    <row r="16" spans="1:10" x14ac:dyDescent="0.25">
      <c r="A16" s="8" t="s">
        <v>43</v>
      </c>
      <c r="B16" s="11" t="s">
        <v>44</v>
      </c>
      <c r="D16" s="9" t="s">
        <v>74</v>
      </c>
      <c r="E16" s="10" t="s">
        <v>16</v>
      </c>
      <c r="F16" s="13" t="s">
        <v>0</v>
      </c>
      <c r="G16" s="37" t="s">
        <v>83</v>
      </c>
      <c r="H16" s="37" t="s">
        <v>12</v>
      </c>
      <c r="I16" s="37" t="s">
        <v>83</v>
      </c>
      <c r="J16" s="37" t="s">
        <v>12</v>
      </c>
    </row>
    <row r="17" spans="1:10" x14ac:dyDescent="0.25">
      <c r="A17" s="8" t="s">
        <v>45</v>
      </c>
      <c r="B17" s="11" t="s">
        <v>46</v>
      </c>
      <c r="D17" s="8" t="s">
        <v>75</v>
      </c>
      <c r="E17" s="11" t="s">
        <v>76</v>
      </c>
      <c r="F17" s="14" t="s">
        <v>81</v>
      </c>
      <c r="G17" s="35">
        <v>46.6</v>
      </c>
      <c r="H17" s="35">
        <v>48</v>
      </c>
      <c r="I17" s="35">
        <v>53.4</v>
      </c>
      <c r="J17" s="35">
        <v>52</v>
      </c>
    </row>
    <row r="18" spans="1:10" x14ac:dyDescent="0.25">
      <c r="A18" s="8" t="s">
        <v>47</v>
      </c>
      <c r="B18" s="11" t="s">
        <v>48</v>
      </c>
    </row>
    <row r="19" spans="1:10" x14ac:dyDescent="0.25">
      <c r="A19" s="8" t="s">
        <v>49</v>
      </c>
      <c r="B19" s="11" t="s">
        <v>50</v>
      </c>
    </row>
    <row r="20" spans="1:10" x14ac:dyDescent="0.25">
      <c r="A20" s="8" t="s">
        <v>51</v>
      </c>
      <c r="B20" s="11" t="s">
        <v>52</v>
      </c>
      <c r="D20" s="27" t="s">
        <v>92</v>
      </c>
      <c r="G20" s="29"/>
    </row>
    <row r="21" spans="1:10" x14ac:dyDescent="0.25">
      <c r="A21" s="8" t="s">
        <v>53</v>
      </c>
      <c r="B21" s="11" t="s">
        <v>54</v>
      </c>
      <c r="D21" s="9" t="s">
        <v>93</v>
      </c>
      <c r="E21" s="10" t="s">
        <v>16</v>
      </c>
      <c r="F21" s="13" t="s">
        <v>0</v>
      </c>
      <c r="G21" s="10" t="s">
        <v>101</v>
      </c>
      <c r="H21" s="44" t="s">
        <v>110</v>
      </c>
      <c r="I21" s="44"/>
    </row>
    <row r="22" spans="1:10" x14ac:dyDescent="0.25">
      <c r="A22" s="8" t="s">
        <v>55</v>
      </c>
      <c r="B22" s="11" t="s">
        <v>56</v>
      </c>
      <c r="D22" s="8" t="s">
        <v>105</v>
      </c>
      <c r="E22" s="11" t="s">
        <v>76</v>
      </c>
      <c r="F22" s="34" t="s">
        <v>97</v>
      </c>
      <c r="G22" s="35">
        <v>40</v>
      </c>
      <c r="H22" s="43" t="s">
        <v>112</v>
      </c>
      <c r="I22" s="43"/>
    </row>
    <row r="23" spans="1:10" x14ac:dyDescent="0.25">
      <c r="A23" s="8" t="s">
        <v>57</v>
      </c>
      <c r="B23" s="11" t="s">
        <v>58</v>
      </c>
      <c r="D23" s="8" t="s">
        <v>107</v>
      </c>
      <c r="E23" s="11" t="s">
        <v>76</v>
      </c>
      <c r="F23" s="34" t="s">
        <v>108</v>
      </c>
      <c r="G23" s="35">
        <v>40</v>
      </c>
      <c r="H23" s="43" t="s">
        <v>112</v>
      </c>
      <c r="I23" s="43"/>
    </row>
    <row r="24" spans="1:10" x14ac:dyDescent="0.25">
      <c r="A24" s="8" t="s">
        <v>59</v>
      </c>
      <c r="B24" s="11" t="s">
        <v>60</v>
      </c>
      <c r="D24" s="8" t="s">
        <v>94</v>
      </c>
      <c r="E24" s="11" t="s">
        <v>76</v>
      </c>
      <c r="F24" s="34" t="s">
        <v>96</v>
      </c>
      <c r="G24" s="35">
        <v>60</v>
      </c>
      <c r="H24" s="43" t="s">
        <v>111</v>
      </c>
      <c r="I24" s="43"/>
    </row>
    <row r="25" spans="1:10" x14ac:dyDescent="0.25">
      <c r="A25" s="8" t="s">
        <v>61</v>
      </c>
      <c r="B25" s="11" t="s">
        <v>62</v>
      </c>
      <c r="D25" s="8" t="s">
        <v>95</v>
      </c>
      <c r="E25" s="11" t="s">
        <v>76</v>
      </c>
      <c r="F25" s="34" t="s">
        <v>98</v>
      </c>
      <c r="G25" s="35">
        <v>60</v>
      </c>
      <c r="H25" s="43" t="s">
        <v>111</v>
      </c>
      <c r="I25" s="43"/>
    </row>
    <row r="26" spans="1:10" x14ac:dyDescent="0.25">
      <c r="A26" s="8" t="s">
        <v>63</v>
      </c>
      <c r="B26" s="11" t="s">
        <v>64</v>
      </c>
      <c r="D26" s="8" t="s">
        <v>113</v>
      </c>
      <c r="E26" s="11" t="s">
        <v>76</v>
      </c>
      <c r="F26" s="36" t="s">
        <v>118</v>
      </c>
      <c r="G26" s="35">
        <v>1.5</v>
      </c>
      <c r="H26" s="43" t="s">
        <v>115</v>
      </c>
      <c r="I26" s="43"/>
    </row>
    <row r="27" spans="1:10" x14ac:dyDescent="0.25">
      <c r="A27" s="8" t="s">
        <v>65</v>
      </c>
      <c r="B27" s="11" t="s">
        <v>66</v>
      </c>
      <c r="D27" s="8" t="s">
        <v>114</v>
      </c>
      <c r="E27" s="11" t="s">
        <v>76</v>
      </c>
      <c r="F27" s="36" t="s">
        <v>117</v>
      </c>
      <c r="G27" s="35">
        <v>1.5</v>
      </c>
      <c r="H27" s="43" t="s">
        <v>115</v>
      </c>
      <c r="I27" s="43"/>
    </row>
    <row r="28" spans="1:10" x14ac:dyDescent="0.25">
      <c r="A28" s="8" t="s">
        <v>67</v>
      </c>
      <c r="B28" s="11" t="s">
        <v>68</v>
      </c>
    </row>
    <row r="29" spans="1:10" x14ac:dyDescent="0.25">
      <c r="A29" s="8" t="s">
        <v>69</v>
      </c>
      <c r="B29" s="11" t="s">
        <v>70</v>
      </c>
    </row>
  </sheetData>
  <mergeCells count="11">
    <mergeCell ref="G1:H1"/>
    <mergeCell ref="G15:H15"/>
    <mergeCell ref="I15:J15"/>
    <mergeCell ref="I1:J1"/>
    <mergeCell ref="H21:I21"/>
    <mergeCell ref="H27:I27"/>
    <mergeCell ref="H22:I22"/>
    <mergeCell ref="H23:I23"/>
    <mergeCell ref="H24:I24"/>
    <mergeCell ref="H25:I25"/>
    <mergeCell ref="H26:I26"/>
  </mergeCells>
  <hyperlinks>
    <hyperlink ref="F17" r:id="rId1" xr:uid="{8B0C24D9-BDD4-49C8-B250-B8F13FCDA087}"/>
    <hyperlink ref="F4:F13" r:id="rId2" display="https://resultados.tse.jus.br/oficial/ele2022/545/dados-simplificados/br/br-c0001-e000545-r.json" xr:uid="{C153CACB-B9CF-42DC-ABE1-4EC080539F29}"/>
    <hyperlink ref="F3:F4" r:id="rId3" display="https://resultados.tse.jus.br/oficial/ele2022/545/dados-simplificados/br/br-c0001-e000545-r.json" xr:uid="{39097E1A-7A04-45EE-865B-0E36D4EE2C5A}"/>
    <hyperlink ref="F22" r:id="rId4" xr:uid="{73B4AB99-353D-4ED2-988F-DCC5935BCC2F}"/>
    <hyperlink ref="F24" r:id="rId5" xr:uid="{E4DFFC88-92AD-4F59-9D2A-3D4EB2341B87}"/>
    <hyperlink ref="F25" r:id="rId6" xr:uid="{CA15EBDA-AD48-4105-8257-FB3586BD869E}"/>
    <hyperlink ref="F23" r:id="rId7" xr:uid="{87C32D0A-7143-4448-9994-BEE3DD7983E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Presidente 2T</vt:lpstr>
      <vt:lpstr>Governador 2T</vt:lpstr>
      <vt:lpstr>Log da Apuracao</vt:lpstr>
      <vt:lpstr>Listas</vt:lpstr>
      <vt:lpstr>Estados</vt:lpstr>
      <vt:lpstr>Estados_2T</vt:lpstr>
      <vt:lpstr>Estados_2T_URL</vt:lpstr>
      <vt:lpstr>GatilhoApurados</vt:lpstr>
      <vt:lpstr>GatilhoVantagem</vt:lpstr>
      <vt:lpstr>'Governador 2T'!json_br</vt:lpstr>
      <vt:lpstr>'Presidente 2T'!json_br</vt:lpstr>
      <vt:lpstr>'Presidente 2T'!json_estados</vt:lpstr>
      <vt:lpstr>LOG_PRESIDENTE</vt:lpstr>
      <vt:lpstr>MIDIA_STATUS</vt:lpstr>
      <vt:lpstr>PresidenteFrente</vt:lpstr>
      <vt:lpstr>PresidenteResultados</vt:lpstr>
      <vt:lpstr>TabelaMomentosCruciais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2022-10-02T04:30:50Z</dcterms:created>
  <dcterms:modified xsi:type="dcterms:W3CDTF">2022-10-30T05:42:09Z</dcterms:modified>
</cp:coreProperties>
</file>