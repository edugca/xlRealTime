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A37D8377-B424-4221-9351-A3C92BC75C04}" xr6:coauthVersionLast="47" xr6:coauthVersionMax="47" xr10:uidLastSave="{00000000-0000-0000-0000-000000000000}"/>
  <bookViews>
    <workbookView xWindow="-120" yWindow="-120" windowWidth="26760" windowHeight="14520" xr2:uid="{0068247A-EED3-44CC-A482-CDD3FBD95774}"/>
  </bookViews>
  <sheets>
    <sheet name="Presidente" sheetId="1" r:id="rId1"/>
  </sheets>
  <functionGroups builtInGroupCount="19"/>
  <externalReferences>
    <externalReference r:id="rId2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 a="1"/>
  <c r="A5" i="1" l="1"/>
  <c r="A9" i="1" a="1"/>
  <c r="D23" i="1" l="1" a="1"/>
  <c r="D23" i="1" s="1"/>
  <c r="C23" i="1" a="1"/>
  <c r="C23" i="1" s="1"/>
  <c r="F23" i="1" a="1"/>
  <c r="F23" i="1" s="1"/>
  <c r="B23" i="1" a="1"/>
  <c r="B23" i="1" s="1"/>
  <c r="E23" i="1" a="1"/>
  <c r="E23" i="1" s="1"/>
  <c r="A9" i="1"/>
  <c r="A23" i="1" a="1"/>
  <c r="A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<sst xmlns="http://schemas.openxmlformats.org/spreadsheetml/2006/main" count="20" uniqueCount="15">
  <si>
    <t>URL</t>
  </si>
  <si>
    <t>JSON</t>
  </si>
  <si>
    <t>https://resultados.tse.jus.br/oficial/ele2022/544/dados-simplificados/br/br-c0001-e000544-r.json</t>
  </si>
  <si>
    <t>Número</t>
  </si>
  <si>
    <t>Candidato</t>
  </si>
  <si>
    <t>Partido / Federação</t>
  </si>
  <si>
    <t>Vice</t>
  </si>
  <si>
    <t>ID</t>
  </si>
  <si>
    <t>Código</t>
  </si>
  <si>
    <t>% Votos</t>
  </si>
  <si>
    <t>Núm. Votos</t>
  </si>
  <si>
    <t>De JSON para Tabela</t>
  </si>
  <si>
    <t>De Tabela para Tabela Formatada</t>
  </si>
  <si>
    <t>Datafolha</t>
  </si>
  <si>
    <t>Partido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</si>
</sst>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7">
    <xf numFmtId="0" fontId="0" fillId="0" borderId="0" xfId="0"/>
    <xf numFmtId="0" fontId="3" fillId="2" borderId="0" xfId="2" applyFont="1" applyFill="1"/>
    <xf numFmtId="0" fontId="2" fillId="2" borderId="0" xfId="2" applyFill="1"/>
    <xf numFmtId="0" fontId="1" fillId="0" borderId="0" xfId="1"/>
    <xf numFmtId="0" fontId="2" fillId="0" borderId="0" xfId="2"/>
    <xf numFmtId="164" fontId="2" fillId="0" borderId="0" xfId="2" applyNumberFormat="1"/>
    <xf numFmtId="2" fontId="2" fillId="0" borderId="0" xfId="2" applyNumberFormat="1"/>
  </cellXfs>
  <cellStyles count="3">
    <cellStyle name="Hyperlink" xfId="1" builtinId="8"/>
    <cellStyle name="Normal" xfId="0" builtinId="0"/>
    <cellStyle name="Normal 2" xfId="2" xr:uid="{8891D0E3-FC2A-416C-BF3F-398538BFB3A3}"/>
  </cellStyles>
  <dxfs count="0"/>
  <tableStyles count="1" defaultTableStyle="TableStyleMedium2" defaultPivotStyle="PivotStyleLight16">
    <tableStyle name="Invisible" pivot="0" table="0" count="0" xr9:uid="{05039B1F-5B7B-46F1-9DEA-47D358E2473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Votação</a:t>
            </a:r>
            <a:r>
              <a:rPr lang="en-US" baseline="0"/>
              <a:t> Presidente (% dos votos válidos)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4D2-47B8-A09F-2F1E4EA3C2D7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4D2-47B8-A09F-2F1E4EA3C2D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4D2-47B8-A09F-2F1E4EA3C2D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4D2-47B8-A09F-2F1E4EA3C2D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84D2-47B8-A09F-2F1E4EA3C2D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4D2-47B8-A09F-2F1E4EA3C2D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4D2-47B8-A09F-2F1E4EA3C2D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4D2-47B8-A09F-2F1E4EA3C2D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4D2-47B8-A09F-2F1E4EA3C2D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4D2-47B8-A09F-2F1E4EA3C2D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4D2-47B8-A09F-2F1E4EA3C2D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Presidente!$B$23:$B$33</c:f>
              <c:strCache>
                <c:ptCount val="11"/>
                <c:pt idx="0">
                  <c:v>CONSTITUINTE EYMAEL</c:v>
                </c:pt>
                <c:pt idx="1">
                  <c:v>LULA</c:v>
                </c:pt>
                <c:pt idx="2">
                  <c:v>JAIR BOLSONARO</c:v>
                </c:pt>
                <c:pt idx="3">
                  <c:v>CIRO GOMES</c:v>
                </c:pt>
                <c:pt idx="4">
                  <c:v>FELIPE D'AVILA</c:v>
                </c:pt>
                <c:pt idx="5">
                  <c:v>VERA</c:v>
                </c:pt>
                <c:pt idx="6">
                  <c:v>SIMONE TEBET</c:v>
                </c:pt>
                <c:pt idx="7">
                  <c:v>SOFIA MANZANO</c:v>
                </c:pt>
                <c:pt idx="8">
                  <c:v>SORAYA THRONICKE</c:v>
                </c:pt>
                <c:pt idx="9">
                  <c:v>PADRE KELMON</c:v>
                </c:pt>
                <c:pt idx="10">
                  <c:v>LÉO PÉRICLES</c:v>
                </c:pt>
              </c:strCache>
            </c:strRef>
          </c:cat>
          <c:val>
            <c:numRef>
              <c:f>Presidente!$F$23:$F$33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2-47B8-A09F-2F1E4EA3C2D7}"/>
            </c:ext>
          </c:extLst>
        </c:ser>
        <c:ser>
          <c:idx val="1"/>
          <c:order val="1"/>
          <c:spPr>
            <a:noFill/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Presidente!$B$23:$B$33</c:f>
              <c:strCache>
                <c:ptCount val="11"/>
                <c:pt idx="0">
                  <c:v>CONSTITUINTE EYMAEL</c:v>
                </c:pt>
                <c:pt idx="1">
                  <c:v>LULA</c:v>
                </c:pt>
                <c:pt idx="2">
                  <c:v>JAIR BOLSONARO</c:v>
                </c:pt>
                <c:pt idx="3">
                  <c:v>CIRO GOMES</c:v>
                </c:pt>
                <c:pt idx="4">
                  <c:v>FELIPE D'AVILA</c:v>
                </c:pt>
                <c:pt idx="5">
                  <c:v>VERA</c:v>
                </c:pt>
                <c:pt idx="6">
                  <c:v>SIMONE TEBET</c:v>
                </c:pt>
                <c:pt idx="7">
                  <c:v>SOFIA MANZANO</c:v>
                </c:pt>
                <c:pt idx="8">
                  <c:v>SORAYA THRONICKE</c:v>
                </c:pt>
                <c:pt idx="9">
                  <c:v>PADRE KELMON</c:v>
                </c:pt>
                <c:pt idx="10">
                  <c:v>LÉO PÉRICLES</c:v>
                </c:pt>
              </c:strCache>
            </c:strRef>
          </c:cat>
          <c:val>
            <c:numRef>
              <c:f>Presidente!$G$23:$G$33</c:f>
              <c:numCache>
                <c:formatCode>0.0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36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4D2-47B8-A09F-2F1E4EA3C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29377391"/>
        <c:axId val="329377807"/>
      </c:barChart>
      <c:catAx>
        <c:axId val="32937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807"/>
        <c:crosses val="autoZero"/>
        <c:auto val="1"/>
        <c:lblAlgn val="ctr"/>
        <c:lblOffset val="100"/>
        <c:noMultiLvlLbl val="0"/>
      </c:catAx>
      <c:valAx>
        <c:axId val="32937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409576</xdr:colOff>
      <xdr:row>13</xdr:row>
      <xdr:rowOff>85726</xdr:rowOff>
    </xdr:from>
    <xdr:to>
      <xdr:col>21</xdr:col>
      <xdr:colOff>466726</xdr:colOff>
      <xdr:row>36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E25271-D415-0DAE-644F-557167EC4A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8</xdr:row>
          <xdr:rowOff>152400</xdr:rowOff>
        </xdr:from>
        <xdr:to>
          <xdr:col>14</xdr:col>
          <xdr:colOff>600075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 Atualização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8</xdr:row>
          <xdr:rowOff>133350</xdr:rowOff>
        </xdr:from>
        <xdr:to>
          <xdr:col>17</xdr:col>
          <xdr:colOff>228600</xdr:colOff>
          <xdr:row>11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89215A0-698C-8ED8-93E3-8BBA18E19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Interromper Atualização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Exp Selic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Copom Meetings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esultados.tse.jus.br/oficial/ele2022/544/dados-simplificados/br/br-c0001-e000544-r.json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ACB7D-5EED-4F16-B9BE-15A12E0D6958}">
  <sheetPr codeName="Planilha3"/>
  <dimension ref="A1:K33"/>
  <sheetViews>
    <sheetView tabSelected="1" workbookViewId="0"/>
  </sheetViews>
  <sheetFormatPr defaultRowHeight="12.75" x14ac:dyDescent="0.2"/>
  <cols>
    <col min="1" max="1" width="9.140625" style="4"/>
    <col min="2" max="2" width="22.7109375" style="4" bestFit="1" customWidth="1"/>
    <col min="3" max="3" width="13.7109375" style="4" bestFit="1" customWidth="1"/>
    <col min="4" max="4" width="22.7109375" style="4" bestFit="1" customWidth="1"/>
    <col min="5" max="5" width="11.28515625" style="4" customWidth="1"/>
    <col min="6" max="6" width="8.7109375" style="4" customWidth="1"/>
    <col min="7" max="7" width="10.28515625" style="4" customWidth="1"/>
    <col min="8" max="8" width="7.5703125" style="4" bestFit="1" customWidth="1"/>
    <col min="9" max="9" width="19.28515625" style="4" bestFit="1" customWidth="1"/>
    <col min="10" max="10" width="11.140625" style="4" bestFit="1" customWidth="1"/>
    <col min="11" max="16384" width="9.140625" style="4"/>
  </cols>
  <sheetData>
    <row r="1" spans="1:11" s="2" customFormat="1" x14ac:dyDescent="0.2">
      <c r="A1" s="1" t="s">
        <v>0</v>
      </c>
    </row>
    <row r="2" spans="1:11" ht="15" x14ac:dyDescent="0.25">
      <c r="A2" s="3" t="s">
        <v>2</v>
      </c>
    </row>
    <row r="4" spans="1:11" s="2" customFormat="1" x14ac:dyDescent="0.2">
      <c r="A4" s="1" t="s">
        <v>1</v>
      </c>
    </row>
    <row r="5" spans="1:11" x14ac:dyDescent="0.2">
      <c r="A5" s="4" t="str" cm="1">
        <f t="array" ref="A5">xlFOCUS_WEBSERVICE(A2)</f>
        <v xml:space="preserve">
{ "ele" : "544", "tpabr" : "br", "cdabr" : "br", "carper" : "1", "md" : "N", "t" : "1", "f" : "o", "dg" : "01/10/2022", "hg" : "11:46:40", "dt" : "", "ht" : "", "dv" : "s", "tf" : "n", "v" : "1", "esae" : "n", "mnae" : "", "s" : "472075", "st" : "0", "pst" : "0,00", "snt" : "472075", "psnt" : "100,00", "si" : "0", "psi" : "0,00", "sni" : "0", "psni" : "0,00", "sa" : "0", "psa" : "0,00", "sna" : "0", "psna" : "0,00", "e" : "156454011",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"280001677435", "n" : "27", "nm" : "CONSTITUINTE EYMAEL", "cc" : "DC", "nv" : "PROFESSOR BRAVO", "e" : "n", "st" : "", "dvt" : "Válido", "vap" : "0", "pvap" : "00,00" }, 
{ "seq" : "2",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"3", "sqcand" : "280001618036", "n" : "22", "nm" : "JAIR BOLSONARO", "cc" : "PL - PP \/ REPUBLICANOS \/ PL", "nv" : "BRAGA NETTO", "e" : "n", "st" : "", "dvt" : "Válido", "vap" : "0", "pvap" : "00,00" }, 
{ "seq" : "4", "sqcand" : "280001612393", "n" : "12", "nm" : "CIRO GOMES", "cc" : "PDT", "nv" : "ANA PAULA MATOS", "e" : "n", "st" : "", "dvt" : "Válido", "vap" : "0", "pvap" : "00,00" }, 
{ "seq" : "5", "sqcand" : "280001603612", "n" : "30", "nm" : "FELIPE D&amp;apos;AVILA", "cc" : "NOVO", "nv" : "TIAGO MITRAUD", "e" : "n", "st" : "", "dvt" : "Válido", "vap" : "0", "pvap" : "00,00" }, 
{ "seq" : "6", "sqcand" : "280001607831", "n" : "16", "nm" : "VERA", "cc" : "PSTU", "nv" : "RAQUEL TREMEMBÉ", "e" : "n", "st" : "", "dvt" : "Válido", "vap" : "0", "pvap" : "00,00" }, 
{ "seq" : "7", "sqcand" : "280001607833", "n" : "15", "nm" : "SIMONE TEBET", "cc" : "MDB - MDB \/ Federação PSDB Cidadania (PSDB\/CIDADANIA) \/ PODE", "nv" : "MARA GABRILLI", "e" : "n", "st" : "", "dvt" : "Válido", "vap" : "0", "pvap" : "00,00" }, 
{ "seq" : "8", "sqcand" : "280001600167", "n" : "21", "nm" : "SOFIA MANZANO", "cc" : "PCB", "nv" : "ANTONIO ALVES", "e" : "n", "st" : "", "dvt" : "Válido", "vap" : "0", "pvap" : "00,00" }, 
{ "seq" : "9", "sqcand" : "280001644128", "n" : "44", "nm" : "SORAYA THRONICKE", "cc" : "UNIÃO", "nv" : "MARCOS CINTRA", "e" : "n", "st" : "", "dvt" : "Válido", "vap" : "0", "pvap" : "00,00" }, 
{ "seq" : "10", "sqcand" : "280001734029", "n" : "14", "nm" : "PADRE KELMON", "cc" : "PTB", "nv" : "PASTOR GAMONAL", "e" : "n", "st" : "", "dvt" : "Válido", "vap" : "0", "pvap" : "00,00" }, 
{ "seq" : "11", "sqcand" : "280001602702", "n" : "80", "nm" : "LÉO PÉRICLES", "cc" : "UP", "nv" : "SAMARA MARTINS", "e" : "n", "st" : "", "dvt" : "Válido", "vap" : "0", "pvap" : "00,00" } ] }</v>
      </c>
    </row>
    <row r="7" spans="1:11" s="2" customFormat="1" x14ac:dyDescent="0.2">
      <c r="A7" s="1" t="s">
        <v>11</v>
      </c>
    </row>
    <row r="8" spans="1:11" s="2" customFormat="1" x14ac:dyDescent="0.2">
      <c r="A8" s="1" t="s">
        <v>7</v>
      </c>
      <c r="B8" s="2" t="s">
        <v>8</v>
      </c>
      <c r="C8" s="2" t="s">
        <v>3</v>
      </c>
      <c r="D8" s="2" t="s">
        <v>4</v>
      </c>
      <c r="E8" s="2" t="s">
        <v>5</v>
      </c>
      <c r="F8" s="2" t="s">
        <v>6</v>
      </c>
      <c r="J8" s="2" t="s">
        <v>10</v>
      </c>
      <c r="K8" s="2" t="s">
        <v>9</v>
      </c>
    </row>
    <row r="9" spans="1:11" x14ac:dyDescent="0.2">
      <c r="A9" s="4" t="str" cm="1">
        <f t="array" ref="A9:K19">xlFOCUS_ReadJSON(A5,FALSE,,"cand")</f>
        <v>1</v>
      </c>
      <c r="B9" s="4" t="str">
        <v>280001677435</v>
      </c>
      <c r="C9" s="4" t="str">
        <v>27</v>
      </c>
      <c r="D9" s="4" t="str">
        <v>CONSTITUINTE EYMAEL</v>
      </c>
      <c r="E9" s="4" t="str">
        <v>DC</v>
      </c>
      <c r="F9" s="4" t="str">
        <v>PROFESSOR BRAVO</v>
      </c>
      <c r="G9" s="4" t="str">
        <v>n</v>
      </c>
      <c r="H9" s="4" t="str">
        <v/>
      </c>
      <c r="I9" s="4" t="str">
        <v>Válido</v>
      </c>
      <c r="J9" s="4" t="str">
        <v>0</v>
      </c>
      <c r="K9" s="4" t="str">
        <v>00,00</v>
      </c>
    </row>
    <row r="10" spans="1:11" x14ac:dyDescent="0.2">
      <c r="A10" s="4" t="str">
        <v>2</v>
      </c>
      <c r="B10" s="4" t="str">
        <v>280001607829</v>
      </c>
      <c r="C10" s="4" t="str">
        <v>13</v>
      </c>
      <c r="D10" s="4" t="str">
        <v>LULA</v>
      </c>
      <c r="E10" s="4" t="str">
        <v>PT - Federação Brasil da Esperança - FE BRASIL (PT/PC do B/PV) / SOLIDARIEDADE / Federação PSOL REDE (PSOL/REDE) / PSB / AGIR / AVANTE / PROS</v>
      </c>
      <c r="F10" s="4" t="str">
        <v>GERALDO ALCKMIN</v>
      </c>
      <c r="G10" s="4" t="str">
        <v>n</v>
      </c>
      <c r="H10" s="4" t="str">
        <v/>
      </c>
      <c r="I10" s="4" t="str">
        <v>Válido</v>
      </c>
      <c r="J10" s="4" t="str">
        <v>0</v>
      </c>
      <c r="K10" s="4" t="str">
        <v>00,00</v>
      </c>
    </row>
    <row r="11" spans="1:11" x14ac:dyDescent="0.2">
      <c r="A11" s="4" t="str">
        <v>3</v>
      </c>
      <c r="B11" s="4" t="str">
        <v>280001618036</v>
      </c>
      <c r="C11" s="4" t="str">
        <v>22</v>
      </c>
      <c r="D11" s="4" t="str">
        <v>JAIR BOLSONARO</v>
      </c>
      <c r="E11" s="4" t="str">
        <v>PL - PP / REPUBLICANOS / PL</v>
      </c>
      <c r="F11" s="4" t="str">
        <v>BRAGA NETTO</v>
      </c>
      <c r="G11" s="4" t="str">
        <v>n</v>
      </c>
      <c r="H11" s="4" t="str">
        <v/>
      </c>
      <c r="I11" s="4" t="str">
        <v>Válido</v>
      </c>
      <c r="J11" s="4" t="str">
        <v>0</v>
      </c>
      <c r="K11" s="4" t="str">
        <v>00,00</v>
      </c>
    </row>
    <row r="12" spans="1:11" x14ac:dyDescent="0.2">
      <c r="A12" s="4" t="str">
        <v>4</v>
      </c>
      <c r="B12" s="4" t="str">
        <v>280001612393</v>
      </c>
      <c r="C12" s="4" t="str">
        <v>12</v>
      </c>
      <c r="D12" s="4" t="str">
        <v>CIRO GOMES</v>
      </c>
      <c r="E12" s="4" t="str">
        <v>PDT</v>
      </c>
      <c r="F12" s="4" t="str">
        <v>ANA PAULA MATOS</v>
      </c>
      <c r="G12" s="4" t="str">
        <v>n</v>
      </c>
      <c r="H12" s="4" t="str">
        <v/>
      </c>
      <c r="I12" s="4" t="str">
        <v>Válido</v>
      </c>
      <c r="J12" s="4" t="str">
        <v>0</v>
      </c>
      <c r="K12" s="4" t="str">
        <v>00,00</v>
      </c>
    </row>
    <row r="13" spans="1:11" x14ac:dyDescent="0.2">
      <c r="A13" s="4" t="str">
        <v>5</v>
      </c>
      <c r="B13" s="4" t="str">
        <v>280001603612</v>
      </c>
      <c r="C13" s="4" t="str">
        <v>30</v>
      </c>
      <c r="D13" s="4" t="str">
        <v>FELIPE D&amp;apos;AVILA</v>
      </c>
      <c r="E13" s="4" t="str">
        <v>NOVO</v>
      </c>
      <c r="F13" s="4" t="str">
        <v>TIAGO MITRAUD</v>
      </c>
      <c r="G13" s="4" t="str">
        <v>n</v>
      </c>
      <c r="H13" s="4" t="str">
        <v/>
      </c>
      <c r="I13" s="4" t="str">
        <v>Válido</v>
      </c>
      <c r="J13" s="4" t="str">
        <v>0</v>
      </c>
      <c r="K13" s="4" t="str">
        <v>00,00</v>
      </c>
    </row>
    <row r="14" spans="1:11" x14ac:dyDescent="0.2">
      <c r="A14" s="4" t="str">
        <v>6</v>
      </c>
      <c r="B14" s="4" t="str">
        <v>280001607831</v>
      </c>
      <c r="C14" s="4" t="str">
        <v>16</v>
      </c>
      <c r="D14" s="4" t="str">
        <v>VERA</v>
      </c>
      <c r="E14" s="4" t="str">
        <v>PSTU</v>
      </c>
      <c r="F14" s="4" t="str">
        <v>RAQUEL TREMEMBÉ</v>
      </c>
      <c r="G14" s="4" t="str">
        <v>n</v>
      </c>
      <c r="H14" s="4" t="str">
        <v/>
      </c>
      <c r="I14" s="4" t="str">
        <v>Válido</v>
      </c>
      <c r="J14" s="4" t="str">
        <v>0</v>
      </c>
      <c r="K14" s="4" t="str">
        <v>00,00</v>
      </c>
    </row>
    <row r="15" spans="1:11" x14ac:dyDescent="0.2">
      <c r="A15" s="4" t="str">
        <v>7</v>
      </c>
      <c r="B15" s="4" t="str">
        <v>280001607833</v>
      </c>
      <c r="C15" s="4" t="str">
        <v>15</v>
      </c>
      <c r="D15" s="4" t="str">
        <v>SIMONE TEBET</v>
      </c>
      <c r="E15" s="4" t="str">
        <v>MDB - MDB / Federação PSDB Cidadania (PSDB/CIDADANIA) / PODE</v>
      </c>
      <c r="F15" s="4" t="str">
        <v>MARA GABRILLI</v>
      </c>
      <c r="G15" s="4" t="str">
        <v>n</v>
      </c>
      <c r="H15" s="4" t="str">
        <v/>
      </c>
      <c r="I15" s="4" t="str">
        <v>Válido</v>
      </c>
      <c r="J15" s="4" t="str">
        <v>0</v>
      </c>
      <c r="K15" s="4" t="str">
        <v>00,00</v>
      </c>
    </row>
    <row r="16" spans="1:11" x14ac:dyDescent="0.2">
      <c r="A16" s="4" t="str">
        <v>8</v>
      </c>
      <c r="B16" s="4" t="str">
        <v>280001600167</v>
      </c>
      <c r="C16" s="4" t="str">
        <v>21</v>
      </c>
      <c r="D16" s="4" t="str">
        <v>SOFIA MANZANO</v>
      </c>
      <c r="E16" s="4" t="str">
        <v>PCB</v>
      </c>
      <c r="F16" s="4" t="str">
        <v>ANTONIO ALVES</v>
      </c>
      <c r="G16" s="4" t="str">
        <v>n</v>
      </c>
      <c r="H16" s="4" t="str">
        <v/>
      </c>
      <c r="I16" s="4" t="str">
        <v>Válido</v>
      </c>
      <c r="J16" s="4" t="str">
        <v>0</v>
      </c>
      <c r="K16" s="4" t="str">
        <v>00,00</v>
      </c>
    </row>
    <row r="17" spans="1:11" x14ac:dyDescent="0.2">
      <c r="A17" s="4" t="str">
        <v>9</v>
      </c>
      <c r="B17" s="4" t="str">
        <v>280001644128</v>
      </c>
      <c r="C17" s="4" t="str">
        <v>44</v>
      </c>
      <c r="D17" s="4" t="str">
        <v>SORAYA THRONICKE</v>
      </c>
      <c r="E17" s="4" t="str">
        <v>UNIÃO</v>
      </c>
      <c r="F17" s="4" t="str">
        <v>MARCOS CINTRA</v>
      </c>
      <c r="G17" s="4" t="str">
        <v>n</v>
      </c>
      <c r="H17" s="4" t="str">
        <v/>
      </c>
      <c r="I17" s="4" t="str">
        <v>Válido</v>
      </c>
      <c r="J17" s="4" t="str">
        <v>0</v>
      </c>
      <c r="K17" s="4" t="str">
        <v>00,00</v>
      </c>
    </row>
    <row r="18" spans="1:11" x14ac:dyDescent="0.2">
      <c r="A18" s="4" t="str">
        <v>10</v>
      </c>
      <c r="B18" s="4" t="str">
        <v>280001734029</v>
      </c>
      <c r="C18" s="4" t="str">
        <v>14</v>
      </c>
      <c r="D18" s="4" t="str">
        <v>PADRE KELMON</v>
      </c>
      <c r="E18" s="4" t="str">
        <v>PTB</v>
      </c>
      <c r="F18" s="4" t="str">
        <v>PASTOR GAMONAL</v>
      </c>
      <c r="G18" s="4" t="str">
        <v>n</v>
      </c>
      <c r="H18" s="4" t="str">
        <v/>
      </c>
      <c r="I18" s="4" t="str">
        <v>Válido</v>
      </c>
      <c r="J18" s="4" t="str">
        <v>0</v>
      </c>
      <c r="K18" s="4" t="str">
        <v>00,00</v>
      </c>
    </row>
    <row r="19" spans="1:11" x14ac:dyDescent="0.2">
      <c r="A19" s="4" t="str">
        <v>11</v>
      </c>
      <c r="B19" s="4" t="str">
        <v>280001602702</v>
      </c>
      <c r="C19" s="4" t="str">
        <v>80</v>
      </c>
      <c r="D19" s="4" t="str">
        <v>LÉO PÉRICLES</v>
      </c>
      <c r="E19" s="4" t="str">
        <v>UP</v>
      </c>
      <c r="F19" s="4" t="str">
        <v>SAMARA MARTINS</v>
      </c>
      <c r="G19" s="4" t="str">
        <v>n</v>
      </c>
      <c r="H19" s="4" t="str">
        <v/>
      </c>
      <c r="I19" s="4" t="str">
        <v>Válido</v>
      </c>
      <c r="J19" s="4" t="str">
        <v>0</v>
      </c>
      <c r="K19" s="4" t="str">
        <v>00,00</v>
      </c>
    </row>
    <row r="21" spans="1:11" x14ac:dyDescent="0.2">
      <c r="A21" s="1" t="s">
        <v>12</v>
      </c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ht="34.5" customHeight="1" x14ac:dyDescent="0.2">
      <c r="A22" s="2" t="s">
        <v>3</v>
      </c>
      <c r="B22" s="2" t="s">
        <v>4</v>
      </c>
      <c r="C22" s="2" t="s">
        <v>14</v>
      </c>
      <c r="D22" s="2" t="s">
        <v>6</v>
      </c>
      <c r="E22" s="2" t="s">
        <v>10</v>
      </c>
      <c r="F22" s="2" t="s">
        <v>9</v>
      </c>
      <c r="G22" s="2" t="s">
        <v>13</v>
      </c>
      <c r="H22" s="2"/>
      <c r="I22" s="2"/>
      <c r="J22" s="2"/>
      <c r="K22" s="2"/>
    </row>
    <row r="23" spans="1:11" x14ac:dyDescent="0.2">
      <c r="A23" s="4" t="str" cm="1">
        <f t="array" ref="A23:A33">C9:C19</f>
        <v>27</v>
      </c>
      <c r="B23" s="4" t="str" cm="1">
        <f t="array" ref="B23:B33">SUBSTITUTE(D9:D19, "&amp;apos;", "'")</f>
        <v>CONSTITUINTE EYMAEL</v>
      </c>
      <c r="C23" s="4" t="str" cm="1">
        <f t="array" ref="C23:C33">LEFT(E9:E19, IF(ISERROR(FIND(" ",E9:E19)-1), 999, FIND(" ",E9:E19)-1))</f>
        <v>DC</v>
      </c>
      <c r="D23" s="4" t="str" cm="1">
        <f t="array" ref="D23:D33">SUBSTITUTE(F9:F19, "&amp;apóo;", "'")</f>
        <v>PROFESSOR BRAVO</v>
      </c>
      <c r="E23" s="4" cm="1">
        <f t="array" ref="E23:E33">_xlfn.NUMBERVALUE(J9:J19,",",".")</f>
        <v>0</v>
      </c>
      <c r="F23" s="6" cm="1">
        <f t="array" ref="F23:F33">_xlfn.NUMBERVALUE(K9:K19,",",".")</f>
        <v>0</v>
      </c>
      <c r="G23" s="5">
        <v>0</v>
      </c>
    </row>
    <row r="24" spans="1:11" x14ac:dyDescent="0.2">
      <c r="A24" s="4" t="str">
        <v>13</v>
      </c>
      <c r="B24" s="4" t="str">
        <v>LULA</v>
      </c>
      <c r="C24" s="4" t="str">
        <v>PT</v>
      </c>
      <c r="D24" s="4" t="str">
        <v>GERALDO ALCKMIN</v>
      </c>
      <c r="E24" s="4">
        <v>0</v>
      </c>
      <c r="F24" s="6">
        <v>0</v>
      </c>
      <c r="G24" s="5">
        <v>50</v>
      </c>
    </row>
    <row r="25" spans="1:11" x14ac:dyDescent="0.2">
      <c r="A25" s="4" t="str">
        <v>22</v>
      </c>
      <c r="B25" s="4" t="str">
        <v>JAIR BOLSONARO</v>
      </c>
      <c r="C25" s="4" t="str">
        <v>PL</v>
      </c>
      <c r="D25" s="4" t="str">
        <v>BRAGA NETTO</v>
      </c>
      <c r="E25" s="4">
        <v>0</v>
      </c>
      <c r="F25" s="6">
        <v>0</v>
      </c>
      <c r="G25" s="5">
        <v>36</v>
      </c>
    </row>
    <row r="26" spans="1:11" x14ac:dyDescent="0.2">
      <c r="A26" s="4" t="str">
        <v>12</v>
      </c>
      <c r="B26" s="4" t="str">
        <v>CIRO GOMES</v>
      </c>
      <c r="C26" s="4" t="str">
        <v>PDT</v>
      </c>
      <c r="D26" s="4" t="str">
        <v>ANA PAULA MATOS</v>
      </c>
      <c r="E26" s="4">
        <v>0</v>
      </c>
      <c r="F26" s="6">
        <v>0</v>
      </c>
      <c r="G26" s="5">
        <v>5</v>
      </c>
    </row>
    <row r="27" spans="1:11" x14ac:dyDescent="0.2">
      <c r="A27" s="4" t="str">
        <v>30</v>
      </c>
      <c r="B27" s="4" t="str">
        <v>FELIPE D'AVILA</v>
      </c>
      <c r="C27" s="4" t="str">
        <v>NOVO</v>
      </c>
      <c r="D27" s="4" t="str">
        <v>TIAGO MITRAUD</v>
      </c>
      <c r="E27" s="4">
        <v>0</v>
      </c>
      <c r="F27" s="6">
        <v>0</v>
      </c>
      <c r="G27" s="5">
        <v>0</v>
      </c>
    </row>
    <row r="28" spans="1:11" x14ac:dyDescent="0.2">
      <c r="A28" s="4" t="str">
        <v>16</v>
      </c>
      <c r="B28" s="4" t="str">
        <v>VERA</v>
      </c>
      <c r="C28" s="4" t="str">
        <v>PSTU</v>
      </c>
      <c r="D28" s="4" t="str">
        <v>RAQUEL TREMEMBÉ</v>
      </c>
      <c r="E28" s="4">
        <v>0</v>
      </c>
      <c r="F28" s="6">
        <v>0</v>
      </c>
      <c r="G28" s="5">
        <v>0</v>
      </c>
    </row>
    <row r="29" spans="1:11" x14ac:dyDescent="0.2">
      <c r="A29" s="4" t="str">
        <v>15</v>
      </c>
      <c r="B29" s="4" t="str">
        <v>SIMONE TEBET</v>
      </c>
      <c r="C29" s="4" t="str">
        <v>MDB</v>
      </c>
      <c r="D29" s="4" t="str">
        <v>MARA GABRILLI</v>
      </c>
      <c r="E29" s="4">
        <v>0</v>
      </c>
      <c r="F29" s="6">
        <v>0</v>
      </c>
      <c r="G29" s="5">
        <v>6</v>
      </c>
    </row>
    <row r="30" spans="1:11" x14ac:dyDescent="0.2">
      <c r="A30" s="4" t="str">
        <v>21</v>
      </c>
      <c r="B30" s="4" t="str">
        <v>SOFIA MANZANO</v>
      </c>
      <c r="C30" s="4" t="str">
        <v>PCB</v>
      </c>
      <c r="D30" s="4" t="str">
        <v>ANTONIO ALVES</v>
      </c>
      <c r="E30" s="4">
        <v>0</v>
      </c>
      <c r="F30" s="6">
        <v>0</v>
      </c>
      <c r="G30" s="5">
        <v>0</v>
      </c>
    </row>
    <row r="31" spans="1:11" x14ac:dyDescent="0.2">
      <c r="A31" s="4" t="str">
        <v>44</v>
      </c>
      <c r="B31" s="4" t="str">
        <v>SORAYA THRONICKE</v>
      </c>
      <c r="C31" s="4" t="str">
        <v>UNIÃO</v>
      </c>
      <c r="D31" s="4" t="str">
        <v>MARCOS CINTRA</v>
      </c>
      <c r="E31" s="4">
        <v>0</v>
      </c>
      <c r="F31" s="6">
        <v>0</v>
      </c>
      <c r="G31" s="5">
        <v>0</v>
      </c>
    </row>
    <row r="32" spans="1:11" x14ac:dyDescent="0.2">
      <c r="A32" s="4" t="str">
        <v>14</v>
      </c>
      <c r="B32" s="4" t="str">
        <v>PADRE KELMON</v>
      </c>
      <c r="C32" s="4" t="str">
        <v>PTB</v>
      </c>
      <c r="D32" s="4" t="str">
        <v>PASTOR GAMONAL</v>
      </c>
      <c r="E32" s="4">
        <v>0</v>
      </c>
      <c r="F32" s="6">
        <v>0</v>
      </c>
      <c r="G32" s="5">
        <v>0</v>
      </c>
    </row>
    <row r="33" spans="1:7" x14ac:dyDescent="0.2">
      <c r="A33" s="4" t="str">
        <v>80</v>
      </c>
      <c r="B33" s="4" t="str">
        <v>LÉO PÉRICLES</v>
      </c>
      <c r="C33" s="4" t="str">
        <v>UP</v>
      </c>
      <c r="D33" s="4" t="str">
        <v>SAMARA MARTINS</v>
      </c>
      <c r="E33" s="4">
        <v>0</v>
      </c>
      <c r="F33" s="6">
        <v>0</v>
      </c>
      <c r="G33" s="5">
        <v>0</v>
      </c>
    </row>
  </sheetData>
  <hyperlinks>
    <hyperlink ref="A2" r:id="rId1" xr:uid="{4316DC9C-A327-44A7-831B-905429D86869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Deja_Vu">
                <anchor moveWithCells="1" sizeWithCells="1">
                  <from>
                    <xdr:col>13</xdr:col>
                    <xdr:colOff>66675</xdr:colOff>
                    <xdr:row>8</xdr:row>
                    <xdr:rowOff>152400</xdr:rowOff>
                  </from>
                  <to>
                    <xdr:col>14</xdr:col>
                    <xdr:colOff>600075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top_Deja_Vu">
                <anchor moveWithCells="1" sizeWithCells="1">
                  <from>
                    <xdr:col>15</xdr:col>
                    <xdr:colOff>304800</xdr:colOff>
                    <xdr:row>8</xdr:row>
                    <xdr:rowOff>133350</xdr:rowOff>
                  </from>
                  <to>
                    <xdr:col>17</xdr:col>
                    <xdr:colOff>228600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Presidente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2022-10-02T04:30:50Z</dcterms:created>
  <dcterms:modified xsi:type="dcterms:W3CDTF">2022-10-02T06:00:56Z</dcterms:modified>
</cp:coreProperties>
</file>