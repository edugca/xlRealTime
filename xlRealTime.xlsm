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RealTime\"/>
    </mc:Choice>
  </mc:AlternateContent>
  <xr:revisionPtr revIDLastSave="0" documentId="13_ncr:1_{96DD754F-6561-4DE2-B65C-3A4028D78972}" xr6:coauthVersionLast="47" xr6:coauthVersionMax="47" xr10:uidLastSave="{00000000-0000-0000-0000-000000000000}"/>
  <bookViews>
    <workbookView xWindow="-120" yWindow="-120" windowWidth="26760" windowHeight="14520" xr2:uid="{0068247A-EED3-44CC-A482-CDD3FBD95774}"/>
  </bookViews>
  <sheets>
    <sheet name="Presidente 2T" sheetId="2" r:id="rId1"/>
    <sheet name="Governador 2T" sheetId="5" r:id="rId2"/>
    <sheet name="Log da Apuracao" sheetId="6" r:id="rId3"/>
    <sheet name="Listas" sheetId="4" r:id="rId4"/>
  </sheets>
  <functionGroups builtInGroupCount="19"/>
  <definedNames>
    <definedName name="_xlchart.v5.0" hidden="1">'Presidente 2T'!$A$51:$B$51</definedName>
    <definedName name="_xlchart.v5.1" hidden="1">'Presidente 2T'!$A$52:$B$78</definedName>
    <definedName name="_xlchart.v5.2" hidden="1">'Presidente 2T'!$C$51</definedName>
    <definedName name="_xlchart.v5.3" hidden="1">'Presidente 2T'!$C$52:$C$78</definedName>
    <definedName name="_xlchart.v5.4" hidden="1">'Presidente 2T'!$D$51</definedName>
    <definedName name="_xlchart.v5.5" hidden="1">'Presidente 2T'!$D$52:$D$78</definedName>
    <definedName name="_xlpm.x" hidden="1" xlm="1">#NAME?</definedName>
    <definedName name="Estados">Listas!$A$3:$A$29</definedName>
    <definedName name="Estados_2T">Listas!$D$3:$D$13</definedName>
    <definedName name="Estados_2T_URL">Listas!$D$3:$F$13</definedName>
    <definedName name="GatilhoApurados">'Presidente 2T'!$K$45</definedName>
    <definedName name="GatilhoVantagem">'Presidente 2T'!$O$45</definedName>
    <definedName name="json_br" localSheetId="1">'Governador 2T'!$A$7</definedName>
    <definedName name="json_br" localSheetId="0">'Presidente 2T'!$A$7</definedName>
    <definedName name="json_estados" localSheetId="0">'Presidente 2T'!$C$9:$C$35</definedName>
    <definedName name="LOG_PRESIDENTE">'Log da Apuracao'!$A$2:$C$422</definedName>
    <definedName name="MIDIA_STATUS">'Presidente 2T'!$Z$1</definedName>
    <definedName name="PresidenteFrente">'Presidente 2T'!$M$1</definedName>
    <definedName name="PresidenteResultados">'Presidente 2T'!$A$45:$G$46</definedName>
    <definedName name="TabelaMomentosCruciais">Listas!$D$21:$I$27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 a="1"/>
  <c r="C35" i="2" a="1"/>
  <c r="A7" i="2" l="1"/>
  <c r="C35" i="2"/>
  <c r="C34" i="2" a="1"/>
  <c r="C34" i="2" l="1"/>
  <c r="C33" i="2" a="1"/>
  <c r="C33" i="2" l="1"/>
  <c r="C32" i="2" a="1"/>
  <c r="C32" i="2" l="1"/>
  <c r="C31" i="2" a="1"/>
  <c r="C31" i="2" l="1"/>
  <c r="C30" i="2" a="1"/>
  <c r="C30" i="2" l="1"/>
  <c r="C29" i="2" a="1"/>
  <c r="C29" i="2" l="1"/>
  <c r="C28" i="2" a="1"/>
  <c r="C28" i="2" l="1"/>
  <c r="C27" i="2" a="1"/>
  <c r="C27" i="2" l="1"/>
  <c r="C26" i="2" a="1"/>
  <c r="C26" i="2" l="1"/>
  <c r="C25" i="2" a="1"/>
  <c r="C25" i="2" l="1"/>
  <c r="C24" i="2" a="1"/>
  <c r="C24" i="2" l="1"/>
  <c r="C23" i="2" a="1"/>
  <c r="C23" i="2" l="1"/>
  <c r="C22" i="2" a="1"/>
  <c r="C22" i="2" l="1"/>
  <c r="C21" i="2" a="1"/>
  <c r="C21" i="2" l="1"/>
  <c r="C20" i="2" a="1"/>
  <c r="C20" i="2" l="1"/>
  <c r="C19" i="2" a="1"/>
  <c r="C19" i="2" l="1"/>
  <c r="C18" i="2" a="1"/>
  <c r="C18" i="2" l="1"/>
  <c r="C17" i="2" a="1"/>
  <c r="C17" i="2" l="1"/>
  <c r="C16" i="2" a="1"/>
  <c r="C16" i="2" l="1"/>
  <c r="C15" i="2" a="1"/>
  <c r="C15" i="2" l="1"/>
  <c r="C14" i="2" a="1"/>
  <c r="C14" i="2" l="1"/>
  <c r="C13" i="2" a="1"/>
  <c r="C13" i="2" l="1"/>
  <c r="C12" i="2" a="1"/>
  <c r="C12" i="2" l="1"/>
  <c r="C11" i="2" a="1"/>
  <c r="C11" i="2" l="1"/>
  <c r="C10" i="2" a="1"/>
  <c r="C10" i="2" l="1"/>
  <c r="C9" i="2" a="1"/>
  <c r="A7" i="5" a="1"/>
  <c r="C9" i="2" l="1"/>
  <c r="A7" i="5"/>
  <c r="U1" i="2" l="1"/>
  <c r="F3" i="4" l="1"/>
  <c r="F4" i="4"/>
  <c r="F5" i="4"/>
  <c r="F6" i="4"/>
  <c r="F7" i="4"/>
  <c r="F8" i="4"/>
  <c r="F9" i="4"/>
  <c r="F10" i="4"/>
  <c r="F11" i="4"/>
  <c r="F12" i="4"/>
  <c r="F13" i="4"/>
  <c r="E1" i="5"/>
  <c r="A4" i="5" s="1"/>
  <c r="I17" i="5"/>
  <c r="A11" i="5" a="1"/>
  <c r="J17" i="5"/>
  <c r="K17" i="5"/>
  <c r="M17" i="5" l="1"/>
  <c r="A11" i="5"/>
  <c r="C17" i="5" a="1"/>
  <c r="C17" i="5" s="1"/>
  <c r="E17" i="5" a="1"/>
  <c r="E17" i="5" s="1"/>
  <c r="O1" i="5" s="1"/>
  <c r="A17" i="5" a="1"/>
  <c r="A17" i="5" s="1"/>
  <c r="D17" i="5" a="1"/>
  <c r="D17" i="5" s="1"/>
  <c r="F17" i="5" a="1"/>
  <c r="F17" i="5" s="1"/>
  <c r="B17" i="5" a="1"/>
  <c r="B17" i="5" s="1"/>
  <c r="L17" i="5"/>
  <c r="W1" i="5"/>
  <c r="C54" i="2" a="1"/>
  <c r="C73" i="2" a="1"/>
  <c r="D73" i="2" a="1"/>
  <c r="D53" i="2" a="1"/>
  <c r="G73" i="2"/>
  <c r="G56" i="2"/>
  <c r="F62" i="2"/>
  <c r="E60" i="2"/>
  <c r="G53" i="2"/>
  <c r="E54" i="2"/>
  <c r="C58" i="2" a="1"/>
  <c r="G66" i="2"/>
  <c r="G52" i="2"/>
  <c r="E56" i="2"/>
  <c r="G65" i="2"/>
  <c r="F58" i="2"/>
  <c r="F72" i="2"/>
  <c r="E73" i="2"/>
  <c r="C75" i="2" a="1"/>
  <c r="C65" i="2" a="1"/>
  <c r="E76" i="2"/>
  <c r="D58" i="2" a="1"/>
  <c r="G71" i="2"/>
  <c r="F56" i="2"/>
  <c r="D70" i="2" a="1"/>
  <c r="C77" i="2" a="1"/>
  <c r="F65" i="2"/>
  <c r="D62" i="2" a="1"/>
  <c r="E59" i="2"/>
  <c r="F59" i="2"/>
  <c r="E61" i="2"/>
  <c r="F70" i="2"/>
  <c r="C69" i="2" a="1"/>
  <c r="F66" i="2"/>
  <c r="E62" i="2"/>
  <c r="E69" i="2"/>
  <c r="D66" i="2" a="1"/>
  <c r="E57" i="2"/>
  <c r="F53" i="2"/>
  <c r="D69" i="2" a="1"/>
  <c r="D61" i="2" a="1"/>
  <c r="G78" i="2"/>
  <c r="C70" i="2" a="1"/>
  <c r="C72" i="2" a="1"/>
  <c r="D68" i="2" a="1"/>
  <c r="F75" i="2"/>
  <c r="G75" i="2"/>
  <c r="D64" i="2" a="1"/>
  <c r="D74" i="2" a="1"/>
  <c r="D60" i="2" a="1"/>
  <c r="G61" i="2"/>
  <c r="F71" i="2"/>
  <c r="F67" i="2"/>
  <c r="F77" i="2"/>
  <c r="F60" i="2"/>
  <c r="E52" i="2"/>
  <c r="C74" i="2" a="1"/>
  <c r="C62" i="2" a="1"/>
  <c r="F55" i="2"/>
  <c r="E72" i="2"/>
  <c r="G69" i="2"/>
  <c r="G54" i="2"/>
  <c r="E78" i="2"/>
  <c r="D71" i="2" a="1"/>
  <c r="D54" i="2" a="1"/>
  <c r="G63" i="2"/>
  <c r="D55" i="2" a="1"/>
  <c r="G76" i="2"/>
  <c r="D59" i="2" a="1"/>
  <c r="E66" i="2"/>
  <c r="F54" i="2"/>
  <c r="C78" i="2" a="1"/>
  <c r="C76" i="2" a="1"/>
  <c r="E74" i="2"/>
  <c r="C52" i="2" a="1"/>
  <c r="E64" i="2"/>
  <c r="F64" i="2"/>
  <c r="G68" i="2"/>
  <c r="D67" i="2" a="1"/>
  <c r="E58" i="2"/>
  <c r="D76" i="2" a="1"/>
  <c r="E67" i="2"/>
  <c r="C63" i="2" a="1"/>
  <c r="G77" i="2"/>
  <c r="E75" i="2"/>
  <c r="E71" i="2"/>
  <c r="E68" i="2"/>
  <c r="C57" i="2" a="1"/>
  <c r="F68" i="2"/>
  <c r="F57" i="2"/>
  <c r="G57" i="2"/>
  <c r="G72" i="2"/>
  <c r="E63" i="2"/>
  <c r="F73" i="2"/>
  <c r="G60" i="2"/>
  <c r="G67" i="2"/>
  <c r="D77" i="2" a="1"/>
  <c r="D75" i="2" a="1"/>
  <c r="G74" i="2"/>
  <c r="D56" i="2" a="1"/>
  <c r="G59" i="2"/>
  <c r="C53" i="2" a="1"/>
  <c r="G70" i="2"/>
  <c r="G58" i="2"/>
  <c r="G62" i="2"/>
  <c r="E53" i="2"/>
  <c r="D52" i="2" a="1"/>
  <c r="C61" i="2" a="1"/>
  <c r="D72" i="2" a="1"/>
  <c r="F78" i="2"/>
  <c r="F74" i="2"/>
  <c r="F61" i="2"/>
  <c r="F76" i="2"/>
  <c r="D63" i="2" a="1"/>
  <c r="E65" i="2"/>
  <c r="G55" i="2"/>
  <c r="C60" i="2" a="1"/>
  <c r="D78" i="2" a="1"/>
  <c r="G64" i="2"/>
  <c r="F63" i="2"/>
  <c r="C59" i="2" a="1"/>
  <c r="D65" i="2" a="1"/>
  <c r="C68" i="2" a="1"/>
  <c r="C71" i="2" a="1"/>
  <c r="C67" i="2" a="1"/>
  <c r="D57" i="2" a="1"/>
  <c r="F52" i="2"/>
  <c r="C56" i="2" a="1"/>
  <c r="E70" i="2"/>
  <c r="C64" i="2" a="1"/>
  <c r="C55" i="2" a="1"/>
  <c r="F69" i="2"/>
  <c r="C66" i="2" a="1"/>
  <c r="E77" i="2"/>
  <c r="E55" i="2"/>
  <c r="K45" i="2"/>
  <c r="J45" i="2"/>
  <c r="I45" i="2"/>
  <c r="A39" i="2" a="1"/>
  <c r="G17" i="5" l="1" a="1"/>
  <c r="G17" i="5" s="1"/>
  <c r="G18" i="5" a="1"/>
  <c r="G18" i="5" s="1"/>
  <c r="J1" i="5"/>
  <c r="N17" i="5"/>
  <c r="O17" i="5" s="1"/>
  <c r="F45" i="2" a="1"/>
  <c r="F45" i="2" s="1"/>
  <c r="L45" i="2"/>
  <c r="M45" i="2"/>
  <c r="D66" i="2"/>
  <c r="C66" i="2"/>
  <c r="D65" i="2"/>
  <c r="D61" i="2"/>
  <c r="C63" i="2"/>
  <c r="C67" i="2"/>
  <c r="C77" i="2"/>
  <c r="C59" i="2"/>
  <c r="D63" i="2"/>
  <c r="D77" i="2"/>
  <c r="D59" i="2"/>
  <c r="D58" i="2"/>
  <c r="D68" i="2"/>
  <c r="C71" i="2"/>
  <c r="C76" i="2"/>
  <c r="C55" i="2"/>
  <c r="D76" i="2"/>
  <c r="D55" i="2"/>
  <c r="C68" i="2"/>
  <c r="C64" i="2"/>
  <c r="C62" i="2"/>
  <c r="C74" i="2"/>
  <c r="D60" i="2"/>
  <c r="C69" i="2"/>
  <c r="C65" i="2"/>
  <c r="D53" i="2"/>
  <c r="C52" i="2"/>
  <c r="D69" i="2"/>
  <c r="C53" i="2"/>
  <c r="D67" i="2"/>
  <c r="D54" i="2"/>
  <c r="D74" i="2"/>
  <c r="C75" i="2"/>
  <c r="D73" i="2"/>
  <c r="C72" i="2"/>
  <c r="C70" i="2"/>
  <c r="C56" i="2"/>
  <c r="D71" i="2"/>
  <c r="D64" i="2"/>
  <c r="C73" i="2"/>
  <c r="D75" i="2"/>
  <c r="D52" i="2"/>
  <c r="C78" i="2"/>
  <c r="D78" i="2"/>
  <c r="D72" i="2"/>
  <c r="D70" i="2"/>
  <c r="D56" i="2"/>
  <c r="C54" i="2"/>
  <c r="D62" i="2"/>
  <c r="C57" i="2"/>
  <c r="D57" i="2"/>
  <c r="C60" i="2"/>
  <c r="C61" i="2"/>
  <c r="C58" i="2"/>
  <c r="A39" i="2"/>
  <c r="A45" i="2" a="1"/>
  <c r="A45" i="2" s="1"/>
  <c r="D45" i="2" a="1"/>
  <c r="D45" i="2" s="1"/>
  <c r="E45" i="2" a="1"/>
  <c r="E45" i="2" s="1"/>
  <c r="M1" i="2" s="1"/>
  <c r="B45" i="2" a="1"/>
  <c r="C45" i="2" a="1"/>
  <c r="C45" i="2" s="1"/>
  <c r="G1" i="2" l="1"/>
  <c r="N45" i="2"/>
  <c r="O45" i="2" s="1"/>
  <c r="B45" i="2"/>
  <c r="G45" i="2" s="1" a="1"/>
  <c r="G45" i="2" s="1"/>
  <c r="G46" i="2" l="1" a="1"/>
  <c r="G4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<sst xmlns="http://schemas.openxmlformats.org/spreadsheetml/2006/main" count="319" uniqueCount="121">
  <si>
    <t>URL</t>
  </si>
  <si>
    <t>JSON</t>
  </si>
  <si>
    <t>Número</t>
  </si>
  <si>
    <t>Candidato</t>
  </si>
  <si>
    <t>Partido / Federação</t>
  </si>
  <si>
    <t>Vice</t>
  </si>
  <si>
    <t>ID</t>
  </si>
  <si>
    <t>Código</t>
  </si>
  <si>
    <t>% Votos</t>
  </si>
  <si>
    <t>Núm. Votos</t>
  </si>
  <si>
    <t>De JSON para Tabela</t>
  </si>
  <si>
    <t>De Tabela para Tabela Formatada</t>
  </si>
  <si>
    <t>Datafolha</t>
  </si>
  <si>
    <t>Partido</t>
  </si>
  <si>
    <t>Resultados do TSE: Presidente (2º turno)</t>
  </si>
  <si>
    <t>Estado</t>
  </si>
  <si>
    <t>Sigla</t>
  </si>
  <si>
    <t>Acre</t>
  </si>
  <si>
    <t>AC</t>
  </si>
  <si>
    <t>Alagoas</t>
  </si>
  <si>
    <t>AL</t>
  </si>
  <si>
    <t>Amapá</t>
  </si>
  <si>
    <t>AP</t>
  </si>
  <si>
    <t>Amazonas</t>
  </si>
  <si>
    <t>AM</t>
  </si>
  <si>
    <t>Bahia</t>
  </si>
  <si>
    <t>BA</t>
  </si>
  <si>
    <t>Ceará</t>
  </si>
  <si>
    <t>CE</t>
  </si>
  <si>
    <t>Espírito Santo</t>
  </si>
  <si>
    <t>ES</t>
  </si>
  <si>
    <t>Goiás</t>
  </si>
  <si>
    <t>GO</t>
  </si>
  <si>
    <t>Maranhão</t>
  </si>
  <si>
    <t>MA</t>
  </si>
  <si>
    <t>Mato Grosso</t>
  </si>
  <si>
    <t>MT</t>
  </si>
  <si>
    <t>Mato Grosso do Sul</t>
  </si>
  <si>
    <t>MS</t>
  </si>
  <si>
    <t>Minas Gerais</t>
  </si>
  <si>
    <t>MG</t>
  </si>
  <si>
    <t>Pará</t>
  </si>
  <si>
    <t>PA</t>
  </si>
  <si>
    <t>Paraíba</t>
  </si>
  <si>
    <t>PB</t>
  </si>
  <si>
    <t>Paraná</t>
  </si>
  <si>
    <t>PR</t>
  </si>
  <si>
    <t>Pernambuco</t>
  </si>
  <si>
    <t>PE</t>
  </si>
  <si>
    <t>Piauí</t>
  </si>
  <si>
    <t>PI</t>
  </si>
  <si>
    <t>Rio de Janeiro</t>
  </si>
  <si>
    <t>RJ</t>
  </si>
  <si>
    <t>Rio Grande do Norte</t>
  </si>
  <si>
    <t>RN</t>
  </si>
  <si>
    <t>Rio Grande do Sul</t>
  </si>
  <si>
    <t>RS</t>
  </si>
  <si>
    <t>Rondônia</t>
  </si>
  <si>
    <t>RO</t>
  </si>
  <si>
    <t>Roraima</t>
  </si>
  <si>
    <t>RR</t>
  </si>
  <si>
    <t>Santa Catarina</t>
  </si>
  <si>
    <t>SC</t>
  </si>
  <si>
    <t>São Paulo</t>
  </si>
  <si>
    <t>SP</t>
  </si>
  <si>
    <t>Sergipe</t>
  </si>
  <si>
    <t>SE</t>
  </si>
  <si>
    <t>Tocantins</t>
  </si>
  <si>
    <t>TO</t>
  </si>
  <si>
    <t>Distrito Federal</t>
  </si>
  <si>
    <t>DF</t>
  </si>
  <si>
    <t>Todos os estados</t>
  </si>
  <si>
    <t>Estados com 2º turno</t>
  </si>
  <si>
    <t>Nacional com 2º turno</t>
  </si>
  <si>
    <t>País</t>
  </si>
  <si>
    <t>Brasil</t>
  </si>
  <si>
    <t>BR</t>
  </si>
  <si>
    <t>Bolsonaro</t>
  </si>
  <si>
    <t>Lula</t>
  </si>
  <si>
    <t>LULA</t>
  </si>
  <si>
    <t>JAIR BOLSONARO</t>
  </si>
  <si>
    <t>https://resultados.tse.jus.br/oficial/ele2022/545/dados-simplificados/br/br-c0001-e000545-r.json</t>
  </si>
  <si>
    <t>Jair Bolsonaro</t>
  </si>
  <si>
    <t>ATLAS</t>
  </si>
  <si>
    <t>Apuração total</t>
  </si>
  <si>
    <t>Eleitores</t>
  </si>
  <si>
    <t>%</t>
  </si>
  <si>
    <t>Apurados</t>
  </si>
  <si>
    <t>Pesquisa</t>
  </si>
  <si>
    <t>Votação por estado</t>
  </si>
  <si>
    <t>Resultados do TSE: Governador (2º turno)</t>
  </si>
  <si>
    <t>Candidato B</t>
  </si>
  <si>
    <t>Momentos cruciais</t>
  </si>
  <si>
    <t>Momento</t>
  </si>
  <si>
    <t>Vitória do Lula</t>
  </si>
  <si>
    <t>Vitória do Bolsonaro</t>
  </si>
  <si>
    <t>https://www.youtube.com/watch?v=jSOVyhaymvg</t>
  </si>
  <si>
    <t>https://www.youtube.com/watch?v=gilUNUWcCc0</t>
  </si>
  <si>
    <t>https://www.youtube.com/watch?v=dm-TDjnl0Uw</t>
  </si>
  <si>
    <t>A apurar</t>
  </si>
  <si>
    <t>Vencedor</t>
  </si>
  <si>
    <t>Gatilho</t>
  </si>
  <si>
    <t>% dos votos a apurar</t>
  </si>
  <si>
    <t>Vantagem do 1º</t>
  </si>
  <si>
    <t>Candidato A (ordem alfabética)</t>
  </si>
  <si>
    <t>Virada do Lula</t>
  </si>
  <si>
    <t>Na frente</t>
  </si>
  <si>
    <t>Virada do Bolsonaro</t>
  </si>
  <si>
    <t>https://www.youtube.com/watch?v=_OwLQoPYxg4</t>
  </si>
  <si>
    <t>Hora</t>
  </si>
  <si>
    <t>Critério</t>
  </si>
  <si>
    <t>vantagem / votos a apurar (%)</t>
  </si>
  <si>
    <t>% mínimo dos votos apurados</t>
  </si>
  <si>
    <t>Crescimento do Lula</t>
  </si>
  <si>
    <t>Crescimento do Bolsonaro</t>
  </si>
  <si>
    <t>crescimento nos últimos 15 min</t>
  </si>
  <si>
    <t>Status da conexão</t>
  </si>
  <si>
    <t>Capitão do povo.wav</t>
  </si>
  <si>
    <t>Vai dar PT.wav</t>
  </si>
  <si>
    <t>Mídia</t>
  </si>
  <si>
    <t>Ativada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</si>
</sst>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8" formatCode="hh:mm:ss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8" fillId="4" borderId="4" applyNumberFormat="0" applyAlignment="0" applyProtection="0"/>
    <xf numFmtId="0" fontId="9" fillId="5" borderId="6" applyNumberFormat="0" applyAlignment="0" applyProtection="0"/>
    <xf numFmtId="0" fontId="10" fillId="6" borderId="0" applyNumberFormat="0" applyBorder="0" applyAlignment="0" applyProtection="0"/>
  </cellStyleXfs>
  <cellXfs count="48">
    <xf numFmtId="0" fontId="0" fillId="0" borderId="0" xfId="0"/>
    <xf numFmtId="0" fontId="3" fillId="2" borderId="0" xfId="2" applyFont="1" applyFill="1"/>
    <xf numFmtId="0" fontId="2" fillId="2" borderId="0" xfId="2" applyFill="1"/>
    <xf numFmtId="0" fontId="1" fillId="0" borderId="0" xfId="1"/>
    <xf numFmtId="0" fontId="2" fillId="0" borderId="0" xfId="2"/>
    <xf numFmtId="164" fontId="2" fillId="0" borderId="0" xfId="2" applyNumberFormat="1"/>
    <xf numFmtId="2" fontId="2" fillId="0" borderId="0" xfId="2" applyNumberFormat="1"/>
    <xf numFmtId="0" fontId="6" fillId="0" borderId="0" xfId="2" applyFont="1"/>
    <xf numFmtId="0" fontId="0" fillId="0" borderId="1" xfId="0" applyBorder="1"/>
    <xf numFmtId="0" fontId="5" fillId="3" borderId="1" xfId="0" applyFont="1" applyFill="1" applyBorder="1"/>
    <xf numFmtId="0" fontId="5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left"/>
    </xf>
    <xf numFmtId="0" fontId="1" fillId="0" borderId="1" xfId="1" applyBorder="1" applyAlignment="1">
      <alignment horizontal="left"/>
    </xf>
    <xf numFmtId="0" fontId="2" fillId="0" borderId="2" xfId="2" applyBorder="1"/>
    <xf numFmtId="0" fontId="2" fillId="0" borderId="3" xfId="2" applyBorder="1"/>
    <xf numFmtId="0" fontId="7" fillId="2" borderId="0" xfId="2" applyFont="1" applyFill="1" applyAlignment="1">
      <alignment vertical="center"/>
    </xf>
    <xf numFmtId="2" fontId="0" fillId="0" borderId="1" xfId="0" applyNumberFormat="1" applyBorder="1" applyAlignment="1">
      <alignment horizontal="center"/>
    </xf>
    <xf numFmtId="0" fontId="8" fillId="4" borderId="4" xfId="3"/>
    <xf numFmtId="164" fontId="2" fillId="0" borderId="2" xfId="2" applyNumberFormat="1" applyBorder="1"/>
    <xf numFmtId="164" fontId="2" fillId="0" borderId="3" xfId="2" applyNumberFormat="1" applyBorder="1"/>
    <xf numFmtId="0" fontId="3" fillId="2" borderId="0" xfId="2" applyFont="1" applyFill="1" applyAlignment="1">
      <alignment horizontal="center"/>
    </xf>
    <xf numFmtId="0" fontId="3" fillId="2" borderId="0" xfId="2" applyFont="1" applyFill="1" applyAlignment="1">
      <alignment horizontal="left"/>
    </xf>
    <xf numFmtId="0" fontId="3" fillId="2" borderId="0" xfId="2" applyFont="1" applyFill="1" applyAlignment="1">
      <alignment horizontal="right"/>
    </xf>
    <xf numFmtId="3" fontId="2" fillId="0" borderId="0" xfId="2" applyNumberFormat="1"/>
    <xf numFmtId="3" fontId="2" fillId="0" borderId="2" xfId="2" applyNumberFormat="1" applyBorder="1"/>
    <xf numFmtId="0" fontId="9" fillId="5" borderId="6" xfId="4" applyAlignment="1">
      <alignment horizontal="center"/>
    </xf>
    <xf numFmtId="0" fontId="5" fillId="0" borderId="0" xfId="0" applyFont="1"/>
    <xf numFmtId="0" fontId="8" fillId="4" borderId="4" xfId="3" applyAlignment="1">
      <alignment horizontal="center"/>
    </xf>
    <xf numFmtId="0" fontId="5" fillId="0" borderId="5" xfId="0" applyFont="1" applyBorder="1" applyAlignment="1">
      <alignment horizontal="center"/>
    </xf>
    <xf numFmtId="0" fontId="11" fillId="6" borderId="0" xfId="5" applyFont="1" applyAlignment="1">
      <alignment horizontal="center" vertical="center"/>
    </xf>
    <xf numFmtId="0" fontId="12" fillId="5" borderId="6" xfId="4" applyFont="1" applyAlignment="1">
      <alignment horizontal="center" vertical="center"/>
    </xf>
    <xf numFmtId="0" fontId="2" fillId="0" borderId="0" xfId="2" applyFill="1"/>
    <xf numFmtId="0" fontId="5" fillId="0" borderId="0" xfId="0" applyFont="1" applyAlignment="1">
      <alignment horizontal="center"/>
    </xf>
    <xf numFmtId="0" fontId="3" fillId="2" borderId="0" xfId="2" applyFont="1" applyFill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4" fontId="5" fillId="7" borderId="0" xfId="0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168" fontId="5" fillId="7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2" fontId="9" fillId="5" borderId="1" xfId="4" applyNumberFormat="1" applyBorder="1" applyAlignment="1">
      <alignment horizontal="center"/>
    </xf>
    <xf numFmtId="0" fontId="1" fillId="8" borderId="1" xfId="1" applyFill="1" applyBorder="1" applyAlignment="1">
      <alignment horizontal="left"/>
    </xf>
    <xf numFmtId="2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3" fillId="8" borderId="1" xfId="1" applyFont="1" applyFill="1" applyBorder="1" applyAlignment="1">
      <alignment horizontal="left"/>
    </xf>
    <xf numFmtId="0" fontId="11" fillId="6" borderId="0" xfId="5" applyFont="1" applyAlignment="1">
      <alignment horizontal="center" vertical="center"/>
    </xf>
    <xf numFmtId="0" fontId="14" fillId="4" borderId="4" xfId="3" applyFont="1" applyAlignment="1">
      <alignment horizontal="center" vertical="center"/>
    </xf>
  </cellXfs>
  <cellStyles count="6">
    <cellStyle name="Accent1" xfId="5" builtinId="29"/>
    <cellStyle name="Hyperlink" xfId="1" builtinId="8"/>
    <cellStyle name="Input" xfId="3" builtinId="20"/>
    <cellStyle name="Normal" xfId="0" builtinId="0"/>
    <cellStyle name="Normal 2" xfId="2" xr:uid="{8891D0E3-FC2A-416C-BF3F-398538BFB3A3}"/>
    <cellStyle name="Output" xfId="4" builtinId="21"/>
  </cellStyles>
  <dxfs count="9">
    <dxf>
      <numFmt numFmtId="164" formatCode="0.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>
        <right style="thin">
          <color theme="0" tint="-0.499984740745262"/>
        </right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05039B1F-5B7B-46F1-9DEA-47D358E247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Presidente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A6-4E60-BC46-CBBC578E19E6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A6-4E60-BC46-CBBC578E19E6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2T'!$F$45:$F$46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A6-4E60-BC46-CBBC578E19E6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2T'!$G$45:$G$46</c:f>
              <c:numCache>
                <c:formatCode>0.0</c:formatCode>
                <c:ptCount val="2"/>
                <c:pt idx="0">
                  <c:v>52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EA6-4E60-BC46-CBBC578E1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Votação Presidente (% dos votos válidos)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8.9145496826411545E-3"/>
          <c:y val="2.0298510643398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 da Apuracao'!$B$1</c:f>
              <c:strCache>
                <c:ptCount val="1"/>
                <c:pt idx="0">
                  <c:v>JAIR BOLSONARO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Apuracao'!$B$2:$B$422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2-4023-BA14-99491BF367ED}"/>
            </c:ext>
          </c:extLst>
        </c:ser>
        <c:ser>
          <c:idx val="1"/>
          <c:order val="1"/>
          <c:tx>
            <c:strRef>
              <c:f>'Log da Apuracao'!$C$1</c:f>
              <c:strCache>
                <c:ptCount val="1"/>
                <c:pt idx="0">
                  <c:v>LULA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Apuracao'!$C$2:$C$422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2-4023-BA14-99491BF36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029744"/>
        <c:axId val="243030160"/>
      </c:lineChart>
      <c:catAx>
        <c:axId val="243029744"/>
        <c:scaling>
          <c:orientation val="minMax"/>
        </c:scaling>
        <c:delete val="0"/>
        <c:axPos val="b"/>
        <c:numFmt formatCode="h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30160"/>
        <c:crosses val="autoZero"/>
        <c:auto val="1"/>
        <c:lblAlgn val="ctr"/>
        <c:lblOffset val="100"/>
        <c:noMultiLvlLbl val="0"/>
      </c:catAx>
      <c:valAx>
        <c:axId val="24303016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2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Governador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9E-4E96-ADF2-7330909F3B0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9E-4E96-ADF2-7330909F3B09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'Governador 2T'!$B$17:$B$18</c:f>
              <c:strCache>
                <c:ptCount val="2"/>
                <c:pt idx="0">
                  <c:v>EDUARDO RIEDEL</c:v>
                </c:pt>
                <c:pt idx="1">
                  <c:v>CAPITÃO CONTAR</c:v>
                </c:pt>
              </c:strCache>
            </c:strRef>
          </c:cat>
          <c:val>
            <c:numRef>
              <c:f>'Governador 2T'!$F$17:$F$18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9E-4E96-ADF2-7330909F3B09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'Governador 2T'!$B$17:$B$18</c:f>
              <c:strCache>
                <c:ptCount val="2"/>
                <c:pt idx="0">
                  <c:v>EDUARDO RIEDEL</c:v>
                </c:pt>
                <c:pt idx="1">
                  <c:v>CAPITÃO CONTAR</c:v>
                </c:pt>
              </c:strCache>
            </c:strRef>
          </c:cat>
          <c:val>
            <c:numRef>
              <c:f>'Governador 2T'!$G$17:$G$18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9E-4E96-ADF2-7330909F3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  <cx:data id="1">
      <cx:strDim type="cat">
        <cx:f>_xlchart.v5.1</cx:f>
        <cx:nf>_xlchart.v5.0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Votação Presidente (% dos votos válidos)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0"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Votação Presidente (% dos votos válidos)</a:t>
          </a:r>
        </a:p>
      </cx:txPr>
    </cx:title>
    <cx:plotArea>
      <cx:plotAreaRegion>
        <cx:series layoutId="regionMap" uniqueId="{A6FCB988-86D1-4264-A999-BB0A25706EDD}" formatIdx="0">
          <cx:tx>
            <cx:txData>
              <cx:f>_xlchart.v5.2</cx:f>
              <cx:v>Lula</cx:v>
            </cx:txData>
          </cx:tx>
          <cx:dataId val="0"/>
          <cx:layoutPr>
            <cx:regionLabelLayout val="showAll"/>
            <cx:geography cultureLanguage="en-US" cultureRegion="BR" attribution="Powered by Bing">
              <cx:geoCache provider="{E9337A44-BEBE-4D9F-B70C-5C5E7DAFC167}">
                <cx:binary>1H3ZcttIsvarOHx9oEbtwMT0RLgAcNG+W/YNgpZk7Gthf5sT//Xc/W/QL3YSWmwSokX3tGZirHB0
t0WCWVlf5fZlFvvvt93fbuP7VfmuS+JU/e22+/29X1X53377Td3698lK7SXBbZmp7Gu1d5slv2Vf
vwa397/dlas2SL3fsI7ob7f+qqzuu/f/+Dt8mnefHWa3qyrI0rP6vuzP71UdV+qV17a+9G51lwSp
HaiqDG4r9Pv7D7fl/ft392kVVP1ln9///n7jHe/f/Tb9nBcy38WwrKq+g2c1c88UBjN0KvTHH/H+
XZyl3vPrXOwZCBmEY/r4OnsWfrxK4AN2LedhMau7u/JeKdDl4d/PT20sHH5pvX93m9VpNW6WB/v2
+3tZroYgfv8uUJn1+IqVjcuW5w96/ra5z//4++QXoPnkN2tQTLdp10svkUhW+R//+7wdfx0LfU8n
nOrm2o+xCQZDezo1sKlj9ggGepb+BMbOFf0AjqfnpoCc/lqAWGC/bwmIRvaEQQgyzaft1mG/142D
GHvMMEwdMbwJxO6VbAfi+bkJEJbzawFxnqV3f/z/NFg978pfNw7N2BMcGWAbP8CCkz1Th3cYJt9q
Gz+1pu2orD06Aeb85NcC5kO88rKVekNYzD3OsU5M8bTr+sRlEbYnCENcB7f18AOvPwavJ5e1e0Xb
QfmmygSSD4e/FiTnQfbu7v7d/iq9D8rseXPewGAwBoMwDF1HTztvbjovSvaQyQUx8aO96ORZ+CMy
P7+w7QBNn5/gdL7/a+H0IVkNWfqmtgMAYDyCg54QgCiyHl44ZASIcowEeXzDJMr8zJK2Y/P9yQkq
H47+MiqbOdl6rgmp47p6YuoKfmKH/6w63z5yklie3pf1y7TyFOIspM+TnPFB5lo6v64SJGTIFIhO
NEN7JhkzB/bo88z/gKZHH14gZ2VxlnwZo/A0f7Ygbm1TdKL5vzd/Hh3EvFyl4P3usncXNeT5b1bW
kDGZNhked379zEEGjRE3Cby41aT+1Jq2H8YtHzExsvOLF1D9Vxc6pytA6U0Ta8z2KIGa09Tpk4Vs
wkTNPWxQhhDj315fzxp+YkXbwfn24ASSUygoJy7ivxqSeRb88b9vmcchvsdNnQidPSVyk1g0IsIM
YkBG8YjIxKXtXtB2QJ6fm+Ax/8USa4gn6Sr5Ut++ZQZn7OkGpM4mmMnjz7T8pHsm5AcE3vSICXA3
G1byU4vajsu6QhNsxij5K9kK2PybOi8EvsskYCbPifMEFmrsUaiHDAM/mQok3huw7FrPDxB5fGwK
xsuw/1/tuOTKf1NaAEGVI4ARg4C+GUJGbgZKH6hMxdYQsnMh21F4emyCgvzFUDgKoJJ5N78vV8Gb
BhFgk5EBHCZ6IounlgEcDYGQDnzyo0OblJw/u6zt0Gw+PUHoaP5rOS1H5X/8swwqSIxXafWWUQXr
e0TnQugjsTn+TFJk+vA6xoDjpt/6E0vaDtCLD5hg5PxiefHRmBf7f/y/N0VnjyE6JsVPIX9KOVMK
6AF8Bn7KnCcx/6fWtB2etUcnwGypLf+rg8zRCuxmDt069ZbQILbHETWBNOOboYbxPd0kmKAng5qW
+z+5nB+hsqbLFJfLX8uprW3E25f84NegYqRQUm7PlhkF+DhgBEXMww8Ep/W07M8tbidY3xScYvaL
ObnzDJKEZPW8V3+dmMZ74LtG7/Wcl03iD7CenAmKEXqiRSc4/cSCtoPz7cEJIue/WO0/chh//PPL
G0KiiT0EdIxhPudl06hD6J4BrQLdZE9jApPE7WeWtB2U709OUDmVv5ZvOw1W9R//fDsz0dge0hkS
36v/KSMDhgTkMzXYdw5t3Z/tXtAPEHlSZIrH8tfCY5OGPc5gMudNwTF0Bp2zbyF/MjYDbU8M8FEd
8uxtweZPrm47Uls/ZALb+fGvBdtY7azeWatqVUKN+oaIYbEH3RgDatPnpsxmEgesDaPIwDrbXpv+
/MK2gzV9foLThfWXcfph4w0SVwQlg44MtqkzhgEX3UAEaN+tp3S65kf3si0F+Nd0nmA9IRWtVX7/
7vq+vAPDfdHAuv4vaGBdQOn37nRVx29ZZQAmjBCTm2PrfvyB9Ge9g0WBqMeGwY3nQbEJEf9zi/oB
XmsKTc/nLzYLdnFfekH+li4f6UBugdOHdu8mIkTswa/H5GkKxe41/ACH5wenIDh/2Un8Rzu8l9kt
mHiQqjf04wADNnQYW1njdTfswwCChJGHubxn+1lPi35qTdthWXt0Aszlya8FzOM8MRALs/s7IIHf
tPMOZbYuGOfPtQSUCuv4MOiOQLwZvdsD+2hOCCxZ36eZevchgInhdx/qKkuzJKvVOwvmnV87Rtsh
e/3TJihaH16g+KH0xsMzZiLTEPQBysZtMxQ/DsPQQoW2kMB8siWmCeWXSQl99umTLTm674Lb7F/c
gY2Hpwof3bzQ+PH9L9Ud3/qn1NUg7RAmlPE6nYzHUJgpB/Nl0N18sNAxxK2b6NOhfPc89f786s8n
Hi8/YaK5PXuh+J9lNH+Msw6dJw6MoP6USU7iBecPbVudoieSF+jE/7T6L7PN6/v0fqjv4y0n/RrC
zjbo/62xZJIMPqPzuFGPJ2HjLQ9L3MTk1YsPEEfIw48+qasZ2Xts7D6PtMLr6/DsXskPXNHTXYaN
Vf+7rzhMIFq74/Btc2yotZyH6yQ//eqDgjARN3n0aZu2menTS8u7399D65xgAS4QjtQjXuPHbGzx
8xj847ZvPHS/UhVcW4GcCzNMuYF0E6grg0H3t71/eIlCfx4TDNdaoJiDKDOOGaZQ/vvwGIaBfgqT
RzqGigcq+JHJV1n98Bo4JSYgjYPndAaloGl+u8hzmsW9l6Xftuzp7+/SOjnNgrRSv79H8En549vG
9XJqYhAjCGfUMAj0ocGn57erc7gsNL77fxqatX4vIk/Gh41dRMvqktjpRXCVL4RvoVjSQPaXzZVm
I8i8v23VFskM6ZuiOcaEI0wZaPpAD41LWxPtm2Zv9F6YydDXtFhGvosvkkRTV0YZonlN1ad6KNSd
F7TqK2u8wFG8yB3Kk+4yEqF57OWxvmi7Lj5XcdPO0io1HEVqeAvm0Sqhrn9gFJgc9UUX1pJlKbvJ
E56eRixJ511J8U2KXc2TBSrcwy5B+UUQet2N7xloWVBWXZAqCea1hrJFEzJ6nAetGcmqNwbfCrWh
96SHhBvJrmx6R+EKX3EV9jOj1gu7Dkp8WHnC0B04IM1lXmXoilIxWEkfFMcJHowZK/p67hYlzsaP
wDNBunDhaYP/MU+Dyop6PXF4X9SzukiaVqZDzS6J1sUzPQwHp/G87qiuGpRZQd/qmfSDDB9njShO
KhFpsi/NTDmYF8FRmQZlIAsaNnPqcXHWa3q89F3q3Xqdh5VM89SVaVpWM4U85bRBiZyuzvAliDXO
he/prkUoHiyWJslBgoPYEVWipVaC2+4qT4b4Lu39PJN1WXSWO6RsjmoVnGlB29lKx/0gzRrBYBKN
ReeEGE5WnVRkLkwWBXYgGlO3mDEMXJJAz6Xr966dYj+xh7ZUTtxxIoGqT628bpEs2u6jWdF+rg9t
cRaaYb+fZwXfb9wydEpaBIdFJdylosi9wbFrnnYxUZ9xUeiebMuwPi6Vogc6dvGhSkM211w27NdK
qVOmUd9uvFSjsnEz3WrzKorlOCjwUUUDWZg08VJLN9t4JWjYOrQVeizTAHdHekiJbTY8OSAdqha0
KvkRQnVR24aXKmSptvQ7W2NtG1gBrptFg3NFbEp5kViJmXdMJklpJHbY6h58ZpjTT7AQtoxT4vVW
zpiubERRv5/gUHPqlBZnPmL6ocr07oIUXv+lVjy95CIPCkmSqPvY8apVFoa7KMouBY4vWi8oWwmX
7NxoAQO5RSgZy4vPRszxIalE4c48RoUL6/PKS0J8dsh7RFMp9DowLW4Gg5qhiGfId1pCg3nFah7I
MnRbbFdhRtCsajiYcD1orS4xvCWQjCj3U9fqOJ35Ro6K+z5KhLBJEhTnjQbntWzv20AQu49i84hU
XcuttENa/VnwIQrkgNoYz9Kcq4++3lZqWZVDmPsSTlsiFt0g8sFqeB2FMGMcpv0p+MyMHSZaVDoB
Qb1FhqiZYULyGS077zB3/aaTpltmraW5ntvYYSM0NoP/TvnM60TH5pTl4lM1xKlrV6RABz4qNNMm
bhebM5a2dN/HIlXgsxrvnqWN5s36QYuPEFbkswkhJTslHevgnKqyulJZQVIZEa/VZFHh6hgFrbDa
1PM7K6irQllggOIuRr7y5rFeMyr7NgpDm7pu/XVw9e6WRqa/aDOEblJVmu1MYR8vuthv6dIsDeNg
CD2172WlVsoIMS2xXNUP7Sk3+yaTrpsax37nxcdporPzLivwjRkE8U07sNK1VNT4101XVnPuFfEs
NmqWOa3qo14iVWi+jMEzh5ZRZ7SRURMYx62RZFKZrn4APF5mzGkfBclJGCX5l1AZ5KbMImJITQlx
nyOjnqVML85YSKNzYkTZZz+K8wUstSMyMpqIOFrjmjZthFqolmL3uC91QCLr3WQEuSSBFWJarvIu
KhKZZS76FJcgQw5GF4VSYMUs3jdBa4VlmSQWjRKjyqVepbElavAFgZlVN35DAlsEXjrzjK6PpWJt
9QUrFV5i6qYnmGbaqTKK+Ax6GHCk/bBDp5HIykvdb6IZMXNiB1mHP3kQPsE9NY3SrcTXy8gicFj3
K+6Wg9Q9lcomTocrwzeDy7ZIxBz7Rb1PDBRUdh7i9ChJdDBPLypR65iBG9+2ucg+dbDhvlRdlFl1
rGuHgeDZRVwWkR3ruakcANE7SwipuNQ4M+C3Qr/StaCaM5cS3476euitJB2SKxLEcehUwxAflUU7
9AszyCPTqUrK7UwExn6T5X4go67IByeoUe47MIGuHdQY87M67sPDFNF63kYxtevU0PJ55UP5cBbm
lYos1WfDvUh7817vcvQRXG9xFBUCYovLsbnMjLQpZGEKdmoWYFWmy5tjQYqhsLWu9JYahJN5Wnvx
0tUTf6alZn7r4c64472eMxnTprsXtR9cNLDoY8V0bxZFFVpA1HE9GTahN490d1iKwtQvvdoLjtJM
y8+550VfAq0pPradUZgyNwXZV0jT9ofU6y6bWlSV7XOechlwIzzwgsJfNkhFdksEI1YXFuGVZ/Dg
Jktb10lI2h67bsI+F01CzmjnmfslCbM5cRG+6zvPvzOMuIwlSnB3I5IcHajAMxOrLVF1HXi1X9lK
I9UiSqh+HSIvFBL5npZJPRH6l6St85M8yWkiVWEgNofw115Fvll9anBRXqUDzHOexZD+XbKiYp0V
aXoYyBoOLnby1EvPtKpS3MLZoCUyd3V1pYmSFTJSCJ8n1CexXZMWd/YgEkSPiYJOw37SdOHnNiqa
49L1kmVLA945SjdisACRX/pZ1HXSyIohsxButQO3Z4VlCC+7gcOqWWnW9Mdp2Pf9cVWyaKFFrUic
LKg4srNKT+7Kvqsvcr/B8VFdcy2zuALGGGwaiVC2Is33Q0iN+iVAVXrgRlOPHZQJ9BTnWd6mvhzy
mn9MYz+AY9prA5ENjVFkpTStMzsJufbF63B32yVKKKuANSO708yhsmA11bLEPb3SahWfR6oZkKXV
LmqkGyjvNjeK4Vy1LXKqFhJh2ecqY5bW5d2XwavaWe8W/i1P2xjSQLNPD9umA7lDXePSMmiPI1nn
STVYFIBNpNZ1LJFe6WlHpsgq+/WMGOiG9VScg/cQBhIQjijwL3AdbjMfbt0+QYEJqXgZXQl6EldX
r38+gopwUwAd+4CIYhMzwbEYF7CWcBew91VfVZAHWa1jQGqzqBaVhLQultXcXNZyhzz2Ut44n/dY
YjATTWoLX/V6qPzak82sd8xqkc6aBQV51bGOZTMvj+qTYBYCB/BaXYGAtphquSEV6qp1LfO+pnrP
QctwmZyzg8yCsCBbOz/Hi3D+uiy8ZUc3ZE0ga0jq5sgEWeCl5xR8BIRMu7PNQJrVEi0MW9mdU3kn
oePeEiteVJEUgRXNdi3kZS1F4Y7e963GY621Bm0QskZjDBZC5+WSLZoFmSPLs3arPN4Ze7m9JhEm
NRnDfCQJ1yVBpSvCygVQR5VTO5ubyVLZ6rA6j2zPzpzhJqQ7DGMrpARBTQzzoBgUnWjX9ZrLzbQZ
tUuOi33PaWQlDVlcVnOxfB1StO3QktGDGAKuzEHGtqlfBnG96/3Wk/ysdXSHOoEDscpq9vWZbid2
cqLZuwxlUoODJTKswxVLgWFyBWr+iUi9CwcVKjeQZNDsOG5s5CQzP3rcxSfq5HS99r/N8r4MPP/p
ezy+/fUfR89fDvJwefD770eG4/vfTvL79KIq7++ro1U+feco79tbv9+8G8mRb1cSJ4TL43eKrNMo
L4icH7z4c1QNZkBXr8H8gqhZvyXynax5euyJqsHmHqHjt1YwBkOSHPzwOlUDjRpoP1MdyhZICr4x
NWOvTTzc/cKcQetaiDWmxtyj0FyA7gE8SOC+PzX+DFPzcMg3mBqYCBivc8CHwmynObLV64aHGyqY
a0KwrGzIHrHtGxyqr9aJL8VMyWGhOe6icZBlXqeQ/uHEquap9We9KwW6GE4o3KUXBFFGgH3aWAWD
OicvWnFD55DSL/gylu2MzvDC2+3IJ851Igqi1qYo4Faqxugy/yF8uMER1DbRvuaUDp5Vwc1PuLYJ
IQUODZgoDOQa4Aw7PLVDM4KqL/LFDXibxBoGXbciVNZSdCbUQFG8VLl+3ZtEFgM+iAzXWTuST+a5
QcVNAtcL8ROAacdjOGKg7+hZY2LXc+AJLCBMMqeaq8Xr0sbNWztNHFrE0AiGs8QgDwDyZhIllXI9
s2HuTbh099U8mpO5v9i9peOSX5MygZBoPAxL7N6wiMqOf9KgSH1djam3nqhBJpEh04TKtNS98cNU
eu6CntTFjo16EfCmIkbY1kIr0O+oyBL3Rt9Xx9lZ4LRQzH1tbVeWVjoHG5vX/aOnfmSRt5yEce9f
2TUyGsaaRKLBMAxwbjdV3ECGPzMC5qT6ZSWYLIJLVl69voUv0sKpgpPw48dhobWxexMfAqdlRU5o
m8fmZzCyOcTzj68L24YX5TowsDA5AmFvfH1dtS4jPOq0G82onLo+0rmSUf/1dRnTcDrqsy5jfH1N
RpXFPPNr7SYiuSWqZZyXkhqu9H34qoc/lWk+CoJrXXAHhVO4d7opKEHpUAJf96n2+/SjyONizqpc
t4D9C1rZYWSckzDwbIUzgG7IS7MCEjdPLZXzBr4e5LW1bNtXkzMYLDfAoME9by4FxT0iSpk3UfGV
09OUXRrR2esStu2qyQ1IUAyIdaY58U6MFV0aDuImRZndicwqK9d2faCdgUF/XdKLFGzc13VRk0PC
lAl8lm/cjGUKtpRVU6lZleTSlcRJ7OjCdXbFtV3aTc6Mmw4u74W4YaRcGNpxowvHbX17wMTaodw2
x7uu3KQo0nqTxV1k3ISHQCVaMYTuZolmyFbzZB5YjeMfFMv6cjjybHeH6F06To5ratbt0HjGjaGE
xMFCNzqp83Pi7cJvm9MHkseAhBbm46Ge3TyLNZA/KgnMm3xgUjev9KTdcUC2C4Ai1hB07KxNBNCS
q6qqxU2G0kjqZfAxTXz4wpDX7GmLCLihAVPNoAWFK/4TF9zCd6yUanBvBHXUyKMO4Q4dthjshoCJ
DrxAqZ+BjzeDc5OeZPHnuL18XYUXgQtmROGOI+VwCwvsidJJ4AIWuBYDkMky+apWWjKrz+KZcQre
EPUy+MSuh89lAbTlDsXG87sevEapJoHLK7B1Jnwn30SxCLoUwlQ6kIx1fdKVRiuBjrC6Nr2I0XCC
qn7+uppTpKBmGrNrSNDhu/9G3mTztGXJQOK8iaG/5ec6jCL7Z6oy/E+vC5m2ScGhghQTKBqdCQxb
ObHazHSRRzhIKe2Zbg2a+4k6UO57srNaO+zxeaddMMt3NCC2d2zoVgXXRE/MtqmCOivcUUGzGRy9
gR5olXMx26HhuE+buJkUptE4XE6C3F6fkkMV5hmuNebL9NDYNwILLaJ56XQOboBFqBc7pI3285q0
iYvPa1YAjQvSWquxu8MBP8gbk9DEs/WFsHfI26odDMKDu4AzCfd6Nk8JAwrd8AXIC5fBorvwHM2C
hprV/AQp9JKtgLMyDt0/y5ro1iRR4cE7gApaeosSyXBm2JXT26qW5c48furUx4PJCQdHKCgar/pv
KhbxxGAF130ZCM21VZmZkqAiX1TwA2R7mB/s2MlJkfRgCePVaQMoEkg2+ERgAO3twSxAoEbwWdb1
n8qsQnYu/MNMG5xQVUImg+s0KFhUPt7hlh/sbHJuIMcZv+hzzEQgwGyqq4mic1FVjTWS7pfQwTxH
7knhXrBZ5FSLdpYwLgvoQvj+URNDvkAXuwqnnUuY2CMfkizsOlgCnqtoIYZjt3e8RTzrZGS1t8Ul
zU7y7GCAREWzd6UpD/nxS/0hxQOybzTWibcrByyGxmxH/Tuwm8zUZZA0q9EZcVvM04R+hImNZEln
2TJ18uNkFp0O1ylaBIF9Vc132vE0jMHxAzy+r2e087VcuyR52fpe90hKGDAMMMvmArKY7jpR9mCl
x52S+XynOY9B5OU2GON8JmQYMKK5KZZSleIQNb7kR+wmzmVhjZxgdmPc4kO6CGbFrlP/MqqNen4T
+MC/rumZlLUuSg8Ewrn7Wh0GC7EI9hOLL93FYMXH4aK4SC5Sa1fK9hAtX1H0wdesyc1a6hq8Abk9
+EndUVZo+xeRFUsxz2b6R7VDz+1wfldzAmejDa1BCzhemd+llpaGp66HjuLSVNYON7IlAGxs6CRN
GPooKooaFKtsYw58eTob01+g6ZXEMrd2Wu2WALAhbxIADHNAcVqBZjF0BcZGxO1g5ccNlLi7bHTr
HjIM1+MNxBkxJqUEtFKzFGYRILR1oY+liRXPZC+YaXlN9ETq/pAqIFv1WpM2cYjQXolYk4ABthaa
DcOsciVi4Yw63aKRVMYr4phfwwWedd0qWxInPtdn5pxiaSzaw+BTfVIsi1mQQwNo15aPfvDF0V1b
2cRPRgWu/CSDlQ0cZkNcN7rs/ORWS/ylctPSrqLStIbYOH39YOGtlsrgy265gJocTSvhdqgQzwS4
58KJChgI+Ihqi2SfVH5qlgtBrOjYLMBhQDMYfLZvmw+FJQ6kl4ID8Z0+D+0ob6zerqxgttNxbYfr
++om/ttEPGhSv/ZlBMTbPJ/5s8Cqjbk+q6yfcJO7pE3MOTbTvkxc2ItwWS4Tp1kUduN4VggGtqsD
Rbca9NgvwTBXD4ONk4NIygqmRPry0aCFdtJVS2LcGslHr4vlIM4FTH3l3JNRIiPHtQOrn+XHMQxC
HWk9HEZgXGEWbIhlf9E1X/JBQuBouBRc9hj+nKLOZl+DG01BOXPanFEKft7b2Yl5wYU9xLM1LSaH
NjDjBLWoGM2pderOTsCOcsc9gVRxgOxt53nYGsjW5E0CmUhbZbYR7NrY2YqVnc86aMnWdjdY2Wlm
B7M/yzKP+dt4XfcZpyljGtZu1WMCGtJ5fJo47rKejWRmuh/s9ITbU6U1WZPTHhmFqv0QtFMOmgFV
dk6vR+yFBe1C+knEi4TTWYOWIXCpu8HckhpvaDo5/Ubk90UsQHrblTddgxwTeHxFVsC/yNedzpZS
GzYVmj0cKm0on8ZZ7fU0KBi4HycDbOrYm9Ho9ZgGgWHbnrLJ1+qcQKdmvsvitp/VNaGTEKrYkDZm
+XBW0YxrF89nRyWWSfZ3k/kveLmHo7MmcBJDSxj4Ud4oEM/b69j7MoT1gYLx0ZnnmFZnlVx6NTv0
+3850VyTPSmq+rYaWNCB7BJ2ODdD6ZNSErtbjNlmnnxE5AwGwmK0qHZv9NZItiZ7EtFh/FBUWfgg
uzrsKIzwEhkrzTFWag6lnUxlfJ7HS65dZbibq5PdOcV2SzI40ymDe/RwbWPzgA1J3RHII8YD1tgU
mm7jauJDncPud+DWoTmdNxIPF1jq0rPjXena1qi6Jn9iyZke19w1Hnpx2XEKfgPNEtMSC3cZWPos
hTkAu7W1r3TniMXLyYbRX61JnphWGBeZ8HyY+Rw9ZA0kKQwVHmezn2htjp/0ImFZkzSxJ70oqjTV
QMdwWa9Gxz9SzuxrKMfBhl2sznZjAqJMAKjAZI5fa73uMjSvgJkAmMaT3cydf+7L68carp/Vw/iH
zkpLs3fFm20ucaRlH/4/GTB0PzlGZWVUgSgGX9aGX3w0OlTaQ9GxfeBsqWPAFIKzwzFuy0CgScwI
dHOxMMb2+LqWjMNgtOsGviTxZd4hmyWXMMpqBU19ATcZDlgrTnlaWZRcM5HuOLTbzuy67ElGMrQo
DqkJsuPwcDCQ02onKDsM9bN+MHeIgnvqLzRl8L/FgLAKd2wZtI4fQsRapZbC9eu8rFAlmxCzaNZ4
tMIW9voYvJJm5F/SpCxuM9OvQmmktVhhVQTQtlc8/9SVfWGLBodXNfwTKG0vM7hdwmxRagO5o64p
qfkl3AToYIzNDTCRuTdEZzD3lwvbd3XvoFKsgXluYJ2IzV0uTnGIOw53FRGrwCnCeDc0nWpKD4og
D++KzI2V5TPRXvpF2s15OGBsxSaCIcWUBdBKzYFlWXixlwQwWN3wGyOO2Ncha+vUSfIyWfSo01sH
Zgl95ESirbL9ACbGrwbfhXWKbrgMzJYp2Pi+oZLBlC7E97Boj5hHyXENeYFnp0SEq4EYWWJpEcIw
0aOr9ETX6u6aKJJkR4SRPrarxGthIL4LDLvHeneIYu7NtQSXgUM7ZmiWH3fNmQFDoBCIYNNdW0s9
nSxCQymYP/dC6knUkPak73Uayipq08qu9b43nLbD5ekQNuoG7uXUrRxcLJZZzvqLkGVVbQNDmR63
ehtGMsxr/Y5UDdatuupCJIMcRYVDG9O79qgRnXtemEd2o4h2MHhASMPQQJ8stapF+zpn7WXu9+U8
aGBA3oLZ6OLcz+vghGl5Zp5WjPbC0pI6v3aZqO8RadAhYz39EjReCZ3tHgxEFGV45pd+EUmjjOBw
ZDr/qmGWQ0Jdu6w8UVGuncKAf3wEA6P6XeoXJJbmkA9AS2kdWww8dQ8469LzbIhFDTcAAqi6m5hk
Nte61IPR4qw9MykKTmGSHsZoYZSarpgX6TI14JgZmgbTbHCP4BNpm68uTJsdpGaVwox8oBVwOyQn
91wl+q3KQ3c/I4U5J12RQsc/hMSd+MZF0yuG4ToRN69jQZQM4ALKcOBlPT+IE7jvAsOtKt2vh9DF
UgHJbTM/zm+0jof73GhhnCWtmiaFefkOnQklkoO2YAxODUXpVZ4Pw0UZNXDkc183Pum+1wJ8GV/A
t9JWi7DtqAYXOQKoLdJWE9KMuuCMJ8lwyCqBTsGi4kUQhRz8YumbF3XilSdJEF1WRa9mSVMUQgYV
bjRH9X2FYCK8jT+VQ0aPhV8ENw3vyT7yI3GS5qwoZOjVtTVEXW/14BAtnJBsQXJq2lnhae2sDPP8
WEO0ORJ6C/wdpz2a9Yw3lj/AnDqPGvD9pi/gFgrR4S4JzfNl2jEOk/81MAm5Qf+PvDNbjlvHsvYT
IYIziVsOOadGS7J0w7AtmQQJEiBAkCCfvle6qv46Tp+w/+7qu44TPuFBkUiCGDb2/tYCTY0ngIsl
ndNuTcyH1ypylEqZ39JHf3L0I1Xzki/BNJ1Jy8aTCaWYMjr08ikehqhL59XOH9XkJmdvCldgsT34
4jQImABTbKm6qTrkVXUw85PS0ZKXMW/bVNethSZL2wx/RB1Wxt22C8L2zsq6fJ27ONi0iY23czMM
+24u9cFdFz+buGd3WhG3w6CSVZACsqESA6D3Ci7C6CZWiclNCKFDCskV4P4+RhVWO/6exhITZnH5
qw17JjORWOe1atlU+GRszrQawo/WK5NPNe0pxnB9EUqFTYcsoJd08pOME7IdYnf52mAmPK9a1O9+
uY55lYiZ5WSw/uuCoH5KUSjTZ1utw82sffdhFMlybr0pqVLq9tU+6VjwRJnjbetxAPXMXahZ8G2H
6rCsHhJzYd/Q3CQ87PMawMhXmWwarFpP0lbpOOmPrvWOalRDYWL9rkcPihKKIU/OEWmzyGm+Vr3I
hgUM4KRuGi/JaTQ/rQu/6abNgEoarXCeqAU26YLQOHewNAbTuqRR7X8noUpLmchUqEplI9RbOsJa
NxCBzhj1Y9i+zdVw8IPuRGNW8Ip+EI6oHQPJjd8hYlSYNj6moTlx91PQqgvL/hwj0k2gwXHqORvd
hqeGFk6fHOphvqW9LNYAmX7DM7Em9xi+J175L1KrA2p1+7Ee9yiunrDnbccqShunvpczS+O+hMZh
yJq6upPhjcu7HUnqTZC8BYycO5mkkb5R45zWtt5Usrnl/vxJly8OCXLIkN7c+aXsMKV8J+f2lS9t
toD6WdiHiGQaEaQ16udwXiB76rJavnLP/RJ17YaFblZ6N2N0G8fHqdtHY7sZ/Drz8XKa4RsH1B3Y
5tkIExXEklxAGZVXUfAVy9E2onUhhiEvKclnPqZ1VH2XrUy7MWxyzy+nrFQlUlnj9KDoGuZx0rmF
acy76Fi96WLAO0rtVt3lilT5BGxCrV9XZXcQ1+y4GxR0vRvps0L1cuyDNKCmqLzyvZmcLgVUcqIr
+QZRyw3zmmccvliBunKBMhc0SHNyEcg4AXnTMmZYizFavXC9i1w65G40qzRhyAk2PHlyZHyvUPV3
mcqshs6NO0UYQCvliMeSyiMkS/u5F/ch+zSF/jahzab1uwdZQwiyAvbV1dH0XTY00JS1VTZGPgqS
a33re1WRlGbLau85HILTMicb7KYS3dQfXKjiYq/f92W8LftlL0n4HlonTuUa3CExkPrK3QSs24h5
uXUXs2snjB07t5nQ7odm9XaZ7D6S8rurunsn1Ptm8Ah6xd8ZH9KfQZbNrlV8uOFV/740S7ttmiT3
KhkeZh48Iszcy8mgEtMN+vO6rC5Ee/UbNuw55bMvv8TauWOa3lWo5LS634TNhMeSji0GYvK1QmyO
wDUhJsxl3atdSJW7tXHvHNe1DJ7nuD5GTB1jYaEsGDe+iA6V5645cyTEcs0YpI23JE9LN9XflhHb
LvRCLKOz+6EYQyLEwz7Xx5CIIWQhuZpYnK0hVIjhUONZK+kfCRctthBwKP0wJE8QNQQbKGqDW6W8
OgWqE2x6SrM+bmlKZt3tvMmwg4DOLhM949m8tmPahSG2kCjOeNl02HDKQzz7cxpDCONXLs8sH792
ptsZSU/xKC+BC1aogJAhnSaJlwuhEZbhJbyz5Ug2jp+8O3Kmp4S79BQsrE8TPYsmFYOyX52OJjd4
nBqhSbLyg9O0RV9qWTjLqtJ6jIOTrxv5zV8p3SZO70Mw56pdOSdQlFZ1H82ZkE58P/oOv6utBt0q
FAouPifbuhZmq7smBJBZduvGBu20TSzz3hpomfIVIuc2S+Q0flWKcr21knkFs22/R16Y762rR8gt
1ymNl3DdTcKNvi4jYdsagpHMGracuB5qSLS0cu6R3ggQhjRLM6fUEcFTO7Y1sgyCnloz4H8jR+a2
wt9p45Tob6+uIQETUH1K4/G9gPbmknwqvdc5lPhtBaHtwTFSFm3QJ9uZ2+SsEE7teOdB9BYYmqJ4
7KfWcepX39ZuTp3B6Y51rN2dqepg76CP+tyqWD21zjy81srwLo84cZ3U9Wq1qwYfW4or2NdxUTpJ
R9hXHtq2SbZmKpHm7/tFbkAsV/eWjWCG2cgLixdm0iBckycv7saHic/9DSJwd9cNniniikUqdRK/
slnSrUudIbY1ISIvx36eRc1upk5UehNBnXSopRXfPVmOx5Is0NIFzmo/SelE7+O4+hvdephkbgl1
RLWAwE1VX8lbIyr3WTgk+lDxHIoUB0nD08F3qo8JJp1nk5D2tLKW7Gucox/nAV2cdkO3bkljyLGX
k3+qjKbPbNLDnQ6Fv3UQ3X7xIhs8R7Eon3XL1VeumgHiP4+VkDf6U3vshVseDSVqr5kTIxoIOlNQ
RHNx6lf1ehhZY157HtBXjC5UVxQJdt5QOtugkR629c4sHTK1o3yo4x75p7WsbrXDySaBZvwMhGhA
xDzgJx09rud+jo9A6CCgdhUOH9L3MgC6a5/O0mnCNPIs7be1xIqoZx9gHVz7khq7zFQnObboityS
xvHz2gj+1M5D8iojabDLzyMQ5bWBDlD2fAcWpXmgWurTvGj7xGsRHicSVPgkV7s9tD7NuoeSkx9G
G5tvqmZxuy2F73wF4+QdrR4ZS7l0L8uU1y9H7IAzXtNg2GfmDOuhGf0BR5iAt9DsCvM+xHzFAW6Z
K+gJK/OwWBw0dwAgwkx2xnvq1CK/DfAxAITpDOamGn19wDLU3w/EQ3t8/IaP7d9Kp1w+Jbrqv1SN
G+cQq8csszikZCNSQAgyZHRSQjlJapyWItM4rnAlMLS7tVVADiAgsItUqH41bjBGG1juN58Dt452
Wow4A4vIihAnoSn6mowVOaHOmewJWUM/HevWy7Vs+zyIRHJyRhEcWhuhamGgzgZw6E38fmqt2iDf
2t4PEKfezouqvqkZwll37tgL8aj70HQ4U66yJDdzSYObcNH0IVJ++dIbD9+gcQxF5Qu5kIw4izl0
ZGk+WtGGm0UH5olFk9xRWVdnv41CHDpCkVm76uMgRTgcuHXjdEjKNZVYeI9hVANopXP/TsmKogrT
y/x5xMHiUV3MDJQxoDKXi8UBTqTdVlxsDyIxSQRpXoLT8sif6EDnUxe69REqn/ZLEgtZiIuFQjKL
eTNHnD8QAYMFja2MIbd7wY7QbFFf7BimizGDkcOrZokD6gCmDU5ovcd+HeHk4BLm1ghqPYQz0w/5
HP0hpXN+yOrmOnLaTF3Udih/XIR3JK6+ORc13kQDAXJ17obcs3EXp4T7VZOWDYUAcLqI+iA8dSBs
mqD1094SPOmL/o8zDimgxPiei8rt+4MYLTmCA2JHZ42ZzcUPHeH8Q1MopgH6QvFDa9iHVfQyE9Qk
IeNfI7p1vaUMjvUPlWL7Q7EYa97cVlEyffOCRehshf76U6yXsU9tGPQy65fV6fc1depPTVJaD8gx
EeZMiT88Ws6T7yG2+zvb2Hkj/MqsaTLZxDvU8yTddCwbUaXQ2mvMT/QDzVwbxoe4Kslz5ySsKiB9
Soa0HxOV4KQ/8fDQT5KtaVs6y3DiiHJoirHKjutIIyiiUWW5XaoxvjF8CvZkSlac8u1qEELG+mhU
4z3oZcKSkQSyv+W7XRN4gGsNIj3oAiOggZSJ6Q4x5XIXUj5/H8MleVs7PzrMOCI/CWbYqWeItEQ7
rTdjdZF2+5N/p0JHPiF+CjZVzZztHLTczWpknva0x+Y/MBverGT13HRdZT1DntmZ1yiaBiyDOD0t
aRj7zb2KfRlmxjYSEZoXihwn8ODNqpbsaBVN+0n68YvQXHxWpTPjQOhBo6obV8EYoSdtimA9vmEg
pd4i17RvnWHtsSqDMu28BGp1N2jwW4n4OGt8yGvTUSMVhE9R3YPXN8POlgGWTwDKGxksUK2qRj+h
cWfbtDhCZW0djufIH6YtH9gIGhBOG5CKND6mSKNidpwYRmZvVz8fq3BFFXMFgolBwxDM917lv67l
SE9gGb8xuCLc2EXMCMUF5pq3wlwEf5ecJ0zmDyGT+VMXTCbXA1QO6YD5sHVDHJYc7FOpchcPQZaf
3IgWRW2dVOM+mKfytkkUfwuwRr4LY/CJpfTp/YjD8VvfmP4A4HX8kKW3wv4nmJHdonrJjKiH+k/E
3c+p5sQFHoYbf6APxJXNSIpeq3dMaeSyMvf+Ukido7TOhmw8XtSmwUafgo2DGjTEwn8oxP341H/n
8H9p9bq6STxzmYnu/VAkW6/QX8JdnWMubMWZPvR5s5nSKevO7jY8hNn4ZLfdbbepNusrdKjbP2OH
P2CD332dq7JJ06ulD/F1mhPiqBzn6FO1g3lMDhF/3p2jO7anh/nWh1Lz/6PSe6kg/K7xq8qJa3zS
azRenlGs2Q3QwY6pzpuHf5SI/om9/N+RF/5kePUvL62LSdJFf/P/2PFftIU/+2z96+f/LSoEBA2/
PFhkhy4wTXzUP/2fYlwyg5oi/I/g1BmhSI7S/z/9n2DK7Piw2oManIZwXwvwZv9l/+TDCxcXzuGT
UGRAER+887+0k3f/ePm/s3/6eZKGWOfgb/cDar6g4nAH/bk88x/Xg67YKHDaYDbxnxejggJE9mpI
/mds1FXZFhIgXIERQ66JO/qSGPcp/PxwPfF7RGcUuT34KZ1NWcXPFNzmOWrH5U4FpNnyVgd3SQAQ
6S8j4J/d/Fcp39Vj/mgZ/ie4iz66WFslV4+pOBm9CiYciMum6H02VbWnLmdt2lXU/KGta9z40lh8
udXjMlIurV0hJFItKlEwlEmXAUnQKTUzc2FYwnFuOEvwV+wmmtaninKUUFFLoi0C6jQupznIW076
ZP/7Z79AAP9edaIAll64uwJa1QgDC/j/VdVNqqiNqSETosAIZIexyQkRRfzpv92Kj6Nf4l5wCzz4
FQ4Qtoa0lUAYERBZ5kit6PMET7OH37dyjVjgYXBLB2YZbh2A5Any3p+HkF587ZqOz+mwzOaEKlMM
3bkodT6sUfjglaJPB54gG62dYQOtqlvg6NrfsF4m2Zow8Ye+vZYhQADswrEUCvGLGt6BwfLP38fl
M1x04AuWUqqITN3SUQW8kJA4XwbinBFyxECwaYi8iTPjTIkgpSlaWnpFjePGe4R1hxzieAyeNePD
UYEEukVFmP1pUP4yAVxM8BDTHMUI9KB/RYpUcznblZXYbatuSLnppmyagqgYEjsXv39HPy9hl/H2
I9CA+ppiPUPP/Nwl/zEA/zePdrkRBEYdP4z16dWWXoU4cnRtBVnLtKxvtCzjPY4nOnfK6Y+v+/Ld
f5pLAKsvchoA/tAY/rKOIO84qn7EXIJdk954VC3FvNbRtg7gjdPRGv5wU1XeDQKwXJOYKCeGIbTv
Z1PujFB9RiMkNX/f39dABph/hKfBhZNwoYXB6vNzh//vCgCu13Q0TiEtC5AbQt00uJZo/y9Bpb+s
sT+aReGCIprFgnMxqP8rxjDAS48reNKkLm3ovjajIzM7JrwIJZyL3HWQ57n3okJGTrUPPAcnKs9h
+8Sx0+733X+1vGLMuViMfLgmIriPYKt09U1grtZaD4H91HfydnD8+d60F1H675u5fss/2gGN6uIX
yA2I7H5uZ63ahqNIrjNnmWQ+Bsl0wAmPbxMZwJAQppFflkmHqV6nEdsKOsKuzv3vv8MVv4GvAJLi
EuNc9jbcL37V6W3l0kUO44TMd0MuXIWfxGBChXrVyK29h9HYR/uZ0G75w8Nfnu0v0+4fDcPzF2r7
H9adV1NcItlrGm7QMOy2sknMJO9aAjZ49PhxcZXKazh53ZPK1w/wOSR/eO6rMX6xn7hsn1hgQDBH
WEF/7vpqBWgAGkamFIElrPEkt922Ascb3A4jS2ThJd4q7sJ4WFDz9MsqDP/QAVdr3KUDoihyEYMC
zUYoellz/8KyyEYldOGlgZSZ4WDre2rXxVN8E0XBf1PAf2kKViu4iREeHqgbXELdvzY1WEdDYT91
KQg7dXAkqvJp2CuxppA+yD/ESld7xT8bQ2QGhTTcU6+381iK3mNWo/6daPe1aoALRlh3Hz0x1V9L
B4qh34/gv2sPKzeC7Eu4jnn/88M1lbvidO7PWTjT6ZY5Li86gzQC8wFDO4HS+9+39zczJsZhAuvy
xejfu7jN/rUzHR6IEB55XZq0mp6VYoemmftvbIrb89AtwVtLQ/Unwef14vijV7ERBJCfe1iarlsd
GPSZUSLRq6oD6GqQZEecWh1QjsxhsbnpCGGpiDPgTHaTBHbZuU4V/WFd/Jshe8Ha8AvqTEjirrq6
ai1sSMXYgcwZ7MUvcc1NhHpTC2O3P4jQflmCMSEAYiL8grrj1z3IiBa+JDTGkJ2XcNOrstxTUU6f
f/8uf3mgH6EejXByhFsX9p2f32XMpmGqIlSmV2HcTBjbbsxg26y0hv+h734ZNmiKAtnHCRVqYcQa
PzcFSKlRLgpLabuqR6ROka1pUUAfQKAVw6y+hYMpH3//dL/uL4hgXRjqQCJ+ORZfh21uLTo4dXU9
SESqXidnCnKPTG4+OVYVperd1Pau3tcEA4cu9qlp2fwH/4bLY/20zOMreBiuuOQNN7lBPvzzY9dl
mHBLYjhxcoBkrHA9S8osCnsq3nkkfcTTkpR9voRisrtlsaTOO9jcDn9YJf5mPF3M9uHghfsIwGRe
bTdtD2FzxazNBlQm2pSx2Xt0A6K2v+/yv3ncJIDNPVa+y3Vd3lUzTQvABqKrPsUpfSxCxlHShXPl
1jfdnPUoYRbads3OUVGS8ZDwh983/+uuBsnoX5q/Wug5HaOh9OCRiZDSpEh/w82rmQ5+XJ5qAPW5
EN3L2GLt+p80CyNdkKDYZ5Krk8iQME74LDHOSpealIY2YqgujRD180HbN1sbSEbnpJQvM6jO/g/N
X81iZHAQxFzu+YDVPhDY68AxrkMHxTXfprDzbthXdwmM/OCzm/BHGBwv0cfvnxbH36sUKMT+V01e
bd5UqRH5ddCJcoxvGZC9wWRx06DinAprsKRtsEdMWqSJrUCgZUSLiXZYt8kCeGpSFQ7XGWx34e4a
m8aH8asq4z4t+3gQE9A5WMB+XgyICaxFkAIFcRHgJM66fFrbpYU5Tq+JGrMZxTp752ETCJ8cHroc
do6LnaIE1ngSB1UU8Cst4KybcBQvM7P6gKGzUBu3c7OEukKCHFN9P7j5QoLer7dmVqV310eBhi0O
dWaxkdGsyyFd1qSF2K2aHbupg8oWBJTrvolUfFykh1Kqikhz6FH3OQzhGJ16p6JZ4PEwNZZ1D0s/
TQaLQODqrDWrcymIrygHSAayBx6yCLD6nM8zvQFUMKAKCApUukuSJUNfZ6sbigMQFP8hmR194syY
Asbn/Rb3/jRZI0W5H4DybOrIghRawQlE3FOHQHrLznYx2WuEDwXDknciI4CT0YWwwWtoeAxBrkA5
SOboA6RnuxFlu95CcNcdKuNH6DEtCheUwKv2HbBwkGy/WrAz5zW2doPjMnm6WICCpoAMfM4RZ8kH
MhH2yQKIe2v6kQOpWhsAT3CEDYSGpR9XxsnXxJnPHTIdRaLD7nGeIvYVFIrcRZbZT7UC2cZWSrI5
nnnWoJ6csml0nli5qjxyCcrB09oAFZo7Ib7A/hWEXDVnTB8vJwqgP/M0jumytNMXHzhVDb6uXLe0
H/1UzRgB03BQi0lRW07e/MVAzx47wIU50g25UkRswQyrc6WpAxPXoL3tOjk8hxZmJqVUMP8GTZlK
No43BuHWhTdxu+8EFfbnqIb7KNrQ47HhRC7gXhGKRSSxOdADYNJUrqnf8u7EOfxtwmYIi9C13huS
O/IclUZtaFvGjwtXMXg5191WNnjpLEBM5ELqA21VPxVxV/MsFASFh3UNXle3MkUS99BbllTl3hDX
ubG2OxMFo1IEhxhkvprgMBhWSeHNybhkQJarLarW9yPqNoXTjDBF7Wuo2xFuHKBh2sx1iEKzBvGs
kxWFdwBJFkWz1rUvfT9G3zrbXMAfpyxYn8R5ObgzEkIec1MH+Oemsx6ql6NbTxJlLO0+lKCs0sW2
dyiPfYY68Xvntk/Ab4tpZd9WTneD0LvG8CN8yZ9gc/ShFvIOeAxGqgpHA7p2emfrnmXBYjsYH0Gb
gurnJxKOTyLGKYLZdQaSuKhDNPjeOYBDM9EG1TOXV5jx9JnUPV5C0u5FMJ8b4j86tZwLX8ZDYalr
s2Vwgrum7G45ZzaTuiuwVmOAuRpRAlpzgN2RQH0Whj1FzPs80cQDnVa1GRnB3Hml3rd8OiEKUqlo
4XtiyFNgUPWt3GqBNjda07Bu/f3gNvcj4JvU8/p7lFM/1q6/ZSjDbpgoRYZSOnhBMYCUrbt6J+ha
ZfPgYEg65UMf9luPRP4GkYrOlp59RagrQSEi71rVdZP3nUFydqCwC+lIIUoSvJRukFs7tYd1bUaU
d8P5JKfpDiP6rOEkjpHhVRlc8MLct+OK6Qqz6dVDSGi6Bz/sHsbaBf3kwXQZlh5YNHBSJ2EXbMo5
gh4+Wr2UzQ2sWDqwQDk10SKhw/DwxLSGH3nigg1PYKED02lnZz33va3b5GJL3KeL228M0CZAmAG7
K6OkzkHUk5T1ZchSyRuoVf0QbtidX6rc9Xt14y6+veuaIabwWTbrnZ0qejuQFsIEUFkNuMiPhdRH
2tFbC7gYR8/PWEYwtmkI7DNxHuYq2SUxYnYOpcBcqzuN0DEb4GmxHa2MMpx7tshGpKYJdijTF57T
3lZQuskQTlSlLqjRqam7IK3mqMeclEEawbc7Y/38rR5WMNm63SIN+qmpmlcT2cMa1MiRhu0pXpJt
gwilQH3+pFb75Ct9lp68RwoEIkwHH8eJygZLkizq+JEv/nHQPJ8QOjBIaQpLqtupYdu2Kj/sUIJj
DpIm1+CiUpx7Czotd50a4xxFaCgqSLsBNQJfQ69T2RQ5awrn5AJm1udhDT93c/fGV0wmzVMlhnsh
RTbK3oCygb1s1WGlGpfPVIld30DgzZ3cjUFRyNo+IduPt1nB2r+L1o9KRiIPGlpM0vmYcIfDlIxw
ZpZBViKRUpnlBOW4dx7q6NGFJbyI1jkXEZK2FqZEumtVOg9sQ30IpRWMLiDDKN16F0p9IIuPWgYI
kjxxMBxRC/4S9+y0EN/JYBQOgtupvzn1WnjxhMeF1/Lq+FthiSlaAwG2BNNl9OVSjkW7uMkBmhOa
R4aUTRqNvrx1NBXfuGHVexXR7uhNystJ7b0otZYZRohKe/xEhrF3GnVSTBO8vmW7ZprZ6Y1DhVy0
c60Bvy5AfzG7FKxsMECaKnmAz42zMzBjy8Hi640yEezuCFweRXLRTbrVccB6hj9VNy5+qHXh8jOW
t8DyugPilwwavG1D2wJ+7hjGAkPMQwgdLDvRdlDgtNFl9+E38+htqJzOamZZ3KuHJYBKsXZvuNPd
xX00IBSreB46WmV0LKvMaF/jB/wpN+4EOV9TbwlO7SnVNKfau2NgipHlYzd1BRErkk4HHXIcCI8g
fYE4sUPZi6JlFSZPI2AOPsEpYmqmdGH8sNLqFLRJkLZxzFKPsxen0xkZJjD4JNjUK5KJXH3WJtrM
Md3QiCO+4eE33FyRMeyT8eq/9ExjnV8xcpxX11k2fK6ffKJ1SpumaEJVxBNka2WfJfPyNjYtEMqB
3C9RtOl09IkKDztBJWB+DKdQr9pqURZL0OaBgXsoCW76tsRQLod3t6y/ViFQYseCOnMVy2tgMsnF
Izy2yV1p4hfXB3YCv+M0ZMHGB97ezu5Dp9FhBCPVr55isbx2HqpeQRYTfZdwCvlX4GWhK/dNIk9D
BEXPEtI3XH9wPwd1YcYgr2yS45KP1DbeLvHGgsvmiNBrSdWC/CJzqkfr8FeHMZgwlt7LBGFTLnj5
Wi393eque1KFQMzn+476dzBECVN/tlk9A0xtkpuQizeq4bi9+nAZqHp2h9sXPlA9QuC1eG+J2+Dw
V9OcKXLXJ8CiYWqG5DFqaIP7Bf+47RcwQPY1vMhayiDIk7A7hf4KwZXak0v5ZxT2RlR2zxAREfNe
zROGr3uWMYI8HFsbD/28YJUwJSlAg6oU+T2JaNc9TLUCb94jAoRv4CA2tAtx00n5HSmQbQ1/wzzx
0Lgk7QcuL/g6UMxq1PeeuNO/VOUCAULn3a6Cf0DltWZNp3atgHhB4OYThe4MQTXBmh732nhulMG+
Blou4hJo0tjWzhfKEy57miC+CqBYAFF1gHIN6HngnFWzHL0mSHBfBL0Bz7ytSX9sOnPp5keyTlt/
Cg/Wg42T9oowWrdgIinOAtNxTdSHo0MQcgisoGl5DIVzxyvo1ihn75Igah+qQBSko49zPECu1DyE
fvPdX2dAnEHGZb0ZiDxeLqHApdYo/n1Fsh9hVvSIXPBb5cqDRYBf9nKHibMHQ5kvmoHQheFPa/K2
6QsXt0ukRsQPnVPlPjYvvtjtFLtwJOqiDcHNLuMcFf5giiAe3roygjF41D4soV9YjktHpqCA2e/N
zNXOQxpNAptFjuBsvaDNghVLeN+MEH34YOYMywVZXpLl0hKSVqnTY7CUUdYJVQzrvA9BiQJofB+H
snAn2DJJgyLxE8W+NXLn3ln9B2thKOz1bbxdhHyhSxxis1AvY4TJoNdD13QcL0fgTqL10fdDGB2p
8R7Z1LNBlS9FNcCm4QQOMfDnHOU6LBvoAqSOufhU6+BhAFHrlH0K9ThcOROc/nleLwDW6wqRktqG
MKzsoUTz8TPYrKVJctNWeQUhkmD+PuhZUSX6xrdxviwst6VJZfeBCVBMvg9/EZvW3nBqSIK37acO
a7YJk5upNvdiau8I6Hz4QVnc81N37WPY8UL0a0qIA4RSnkWsUqk+RRW2WX/9ZIPPZP4i3EfJ5y3u
l3geRygaEH0ZhgM0fQ7lm6O/akDtIw8zBgat9IInZvYdHpJHJmX2tWxPzPJnf03AEMs8HpJ04UPq
ihsx3xDxiQLpXfSSz1C6VFOf9/Ib1rqt7697Z3awKz6RqdqVpL2FERdPO+KeEOik61zmk3IgM/wI
GieLIc7phcx9/470iBUcfhOIKGuiU+18MYNXIF7MvKR6NLO90W4JPxSTq/+i7jyW40ayNfxEiIA3
W5jydEWvDYKiyASQsAmPp79fzX2GWcyuW62WyCKQec5vUarpeEyzaQr97qMs08QS5qnDdjUGWMJA
cd0+Ee01V95lNtsHbXhL08dy68KqT+/zsk/8+q3J1nCpBrThbrjZ+W5x1ri0VVxqJjtBEYqmDMvm
0+rlHTr00B8xyRtPNney1BkiKyLjxXEdRoYD7YxEYyfG7437UyKHHsqNN2466zoXXZDullTuV37N
r/1oCcQuK93IZ3MrZJ2AMZwKSjqGnWZViLan2DKujXY0itcx/yxh4f2gSbDu71a2G8yTq7szGKc1
8a9a0fZv006zj02LE+nOliekPJGv7Li0aij2rokDS4sW/89kE2Ghp+Eq+3AujV0rXoX9oJn+tR7e
h2qf2mYs1W5tPxU7ZJ/5QA62f1x17oHRXogj679d96lir+0dbY+Xnym7uVelvnNElrh5dyqmex2E
s7PYeyrvrGzvQvwS+YLLEo/N8OKtQbS67ylyWNXveMamcbjHxvvW+39hGIA48iQvUitcs/FUc+xb
a5XICpnvekzd/Mmp7edV6DuU1++GybgTdEh5t2RmZNAoMXP9EWurdkIDzXJ+8wGPUVZza5TycKMb
pX83d8dNG5KmWnfbvB4dKrpIZiHry3yZepQP4sWff1YLi7D93Dofm27Hlnxs3EcxnjZ/iwOJgTJ1
7/BbuHZ+7oGYVcsRigRSE1hImhRZCtCTk+0svz013by3SkzEun/yHHU2+SGkGfGAuf3s+NPrOPFV
VzNsrEhEib/6wRtXUKX8Qv9VKDvrSZsPWRog3mh/XBMsxip2DvN3Xqo4UOhixXx2M+MFwfpp7qpd
N/WXpvSiCqOaE+CO8v8x8Rv4ZZbHrg2+JhfbCYDGY260X6XeXFW3sOBnt++iDU067ECqi2vuO1+c
BYe5RBpqpMOTrYZYrRajfi5YrxoGUpn/ZmvDAW6CeCDVwRTPb9bTbopXy70zU/dAycyFf2ZmKrW7
rNYiqd8BOB36mXeJ1aCrmkela7HNlje6eFrz+25JKFxJ5NJbVAnMkXKcgzEuBNSJXeMYr4XKuWG8
vZ3r3DZTMtT/6c065Xl7UazLIChTXLtT7LSfsib6K38Z6+nvks4ITLNDoC+h2/YJ1yvr8q+1kIij
f0y4KdDzJ23nmrFrtucxZcLlgaQqi/iho91Wd2VAGd7qXKVPTV9J4GzrBqHeLWNUkWs5uJ+94Z6z
LWeq9vCWulwE46/pFlGm/WjudtWCMim54Y11IZaXtWK2EjFZe9azsLSLS9twl2psXd2LIf8VHBZq
CHYG/8cKh1iPznVQy0nTzDDzvzskyNaW3wXzozt5IWtcWy3AUgaKpSevYui1R37qJp7UtGgT1WS7
0fPDAlMqfWb2fhmW50l4p9r0XxZPnZi+nx3rTRp61Elx8qYgXvQssYPnja3ZrI3ErQ8WP9GtBR7i
UMOWeYcKHRt0s6Pf7Wgar55Lj5MxdI84/c9jZQKVBnGV2l/CNV/cDvToltkq1UEr4J0sIc9eHtwx
Wxwss/1wdBUu/AHwcA+meFFSj4IgO1aTFQYqwNmTgBKGczBHLf1uCwbD1BNsR3Xiym6HoQRb0LfZ
0oXn85Hn4naYRIP3rPQm6Y2LOZjHumn+GXVipQepN/GY/i3yEpfMNhxQtx+JxknKzYzZ40LAX7xc
S1gj/KEZK/Yw0lXOpa+o5CK5kFmxPjQ8+m7xbo8jjw5xR5w39vZHS604natL3Q4XidMA5Qs5XaAH
Dg0/FKrlDbfHALT0FuR7qhojgZiWXyxbiuIECdsIXnrzn2CwwBt1tNj42blPqVl/INsAIlg/YGn3
wn+tFg9tnv6tZcOpM7OdN/LCpG96xxm6bWe8f0zby3GsJRnDvKBA53NhjQdj8TnQTVbevHY/BlHf
E51+kR3w2RIM/9I+Oy5prxLMDQQ6j+YV9fpv1hUo1HR5D/tT3pyw37Zr/8O1+WbZ7dVz52eBqQ4U
an5o5+IFXQCC+ureb4O/WmvcKo24NZbXES/pNOwC717o4/PoXm0XGzPtZd5HyR2i+k+H8AnI3zg1
CB4VXGtWwCIu48A+B9t9H/jRkGl3+rLGTm/vpyzYiao8rOp3pIOtczU42jxyiO4Ek3TJQ/DK74bE
2WpuEo9/tZ05nLkMfC3M7L+UddIX+DlO88H1EQYUZHfpu5yjU/N+Bz5LyeYAVeZy6bpZF/uEsel1
uq+EdZKKIwut/eTuUemfAlfb4xy8iuLBmbKv1ObnrGFl0Hhq2uIwENdkKtyJrkv/lCl6ICOQKM6o
YHnkIT5i/o+dQNvJ+TAPGoasz5zeRvw2u2mjpIyIcqfas90f3S44uOLDC9LTWo7nIivCYuxCvalv
Tn0k/n9RU8GVmNiIvUPF2k1RFJJ1Z3musu1lM+SJisfQKk6ZWT/aaBSc7EVLjbOLkntgX51+tvQh
WLjHGJewJkRi3YmOAAJcs7Zexq4q420eDz4JErr1hBMtlCahCPVdvzx7QmPQ/koVqWfIOKvpLetE
pCZcrDi7+WDz/GQVYBTyicc5zDc/LFedsFXOqu69MinD8skzoDdiZF3xYjs7lNoBhxRDImv/+lNa
LzYQT5ovZ0CLcDD5A9RPTeOmu/3WzbIHzb3QIvc1OCgWKi8ubLpuBpGUlRW10sJFFajjolMvZD3W
hId5L3PZ7OsJHFOF3a0SKLivnVenAc9oQPLTvacFf2avjcfSSDaQ8FY5GK5ZYgGXKufsT29m1d2v
xEAKH0V8lYL3Iur0moNuznutp1eViTm3532eDydtgkEpihF4dt4NnX9N5x5dA9dI4zf7tMx2tSuP
ZO08l4NzMIv6IF3tmrrNvjIJu8j6+U5V9XWu0JgUc0ZJJaiB0nvOOsMmDwWoEIewpkNA1S0doa53
KNpacnmPLlaWKr/L1EzKRy2+Ca9EDiTei6G7Igc4u6ubmBqOflMc6Ig7LbrxNbXe4wYUc6gyytxK
lslAL3NAqowbXGL1Lx3nt5wUcF3jD9+TPk/H1mdGLqaM+tdCnJD87heMLWGg4ajWofb2vtY/GBYz
tQkqPectHXkKQFqp7oo6ZwgHejrhcDPWv9Gmp1U4B3vJDhuCkTCF1SeNOz1YUr1MQ0sJ1xy8tlii
MeZvHQERpNhW3b5X6qMy3Ad7YNzo3YcmZU/bMn4ijcULqbnyb+3nsAU1f4EB2dSUOSow0etg2C5G
SV9y72EaG+aLb5V7czOdCLCATT49prcnUsKLMV7W9+a6zFFVQHmpef0qpfnZBh7IXdDnD4akOXAy
zEvnrbtutI4bBr/dTU0QT0WlYY0026MRZPlutKY/rQtVPzfOcJ5Vg9uUUZ6+lj5qoJuiIO3f+6K7
T73lqivPecp0Au9QOwROwdzrzMiNHI39sKgJCkH4EAOcFRhr/VssDM6q3Ww5sCVW5a7RUtN70IcN
uolnT1/rVxVQshjWwTy+2SlY4qvkk+YhN0115GGQSVW0Q3CjKoozo8QcvChn8QbUmoMO0aNArB2h
H+dAtH8DJy3XsPKz9qBlhfNWeZWNXXEc2+oRnHfL/+aLpfzvRmsUMZ+DK4EUeCcui9Nbd53PY7Wq
JrjT3Vm/w0jcEFgx6B89DHdsDj6LKWsF2cltdoLhbD7N0U4P+aTIhcTlfXXHPKXgMy2XSxY01Z3M
rS5mR9jCspr7Jy0z3CMVxc7ZSov5YFVFvwPdaC761myRWVR50hWjDeZpdcWu3Noq9ufxOrLVHnPB
shjUpfVoqAazuA7clmiG2UWb23rRWk4aS4CkEDboiqidFaMyhrgCFcqZElvzsinOgTKFlKCpkhgL
VTrzDl/XcARWqhM1VNMZohnBWkWxobfAZfJOreGEP5nMtjF7Kogt8hLN8dlGfG/JLnNmkWIGHlYz
2vGnrU3htuE41fJoBSSirJPQn+x26hNbmt2zls71A8+vGeuTNTIyOHB9mSHARWzIncao5v28uMT1
1PXEIu71B5m6Kmm2IL1Qh+lFtpuxx+FdL6I1Feb7entE55JV2pZkA9VGUTwG5e2cWzQZS9PJo9rS
plPbeR3ZIETzlJBW63rG7ZjdV3Ib9VBlQe8yznHc2J1RHXUAQWKasmyfmnr6N3UtWFZdOf2rqNfh
RCKWEYt25QBDDcZItQBArLoJa6T7hy0bKvyjtbG3p8kJ/TWQcEo0l4jMDU61BqKLFJ4Lxe+9NNQg
KM6NZlt3wkShvIrAgJOsF/Ivci9Z6Uw8z/K2kgA279qtlgnxNEVU08L05jjVH0diLnYhdfa9M2o3
6NB4cZxJRWaqADPlJN/MARF0nNVoMmGzYHA21VSJVk/l1Xaa7Df3SAUyyl5EfdmSidzOVWR2QJZD
MUyXFRfcuRiE8UzI0HSQ1kR+FTZPe+aaHc2uNN7XGhJwC+FEMhJXeuNhkLVz4uOWGS5OIV2MaoYj
JWRZ1lpZHZvZMgWXVukSXZtlNGYrgAzLrDxbJYk9XxSqImh9zRAdCCiOsi4VQwbtp+V7Rw2v/VVl
1rb0O9vehqE7CmfdSlgjr+7eMUimzWNbaMp72QLl8j/mHHol4w4/iOnd8yrL+bVNikFhWqRmQOH5
2+CvJ6RhvnySA1bkUxHMuELVlDr1bvW4Hy+j0sobNZSj/8F1ugU5aU6tRLUAneY4XvlptGQZ/wh7
sty/jSa85d+mFSZrgtUEK5yTOy+Ev4A4TrSdJm0r7eELsGNU2BU3lRI34uD8LsLVH7TtMW/sKjgZ
bjcTKOQEzdK+67J1RRqiezUdQB47UIKHSM1FQxpvbQdge0BwafUp7X4G+ODgycYfzYM3Y1PP9F7/
x8NG8TZL58KXFJJ4MnSfpMnU45NrT0tw1OzCVu9pavTBsfQIUfn1ePTXh7VJl/XDcuzeOhVukw5R
P3iC6Dt7rJ0Dwb/K5W1siUgfXVnrb00AYXd2bZaLBGuRj20OF6rawXPw1lj6TGmv03dmfy29aWkZ
BBZboOzUSbCi5soTh3ow6V7tu05Z8dzZXpnk/ZhaaFB8QS2wWLXP1Wz8z972PbYXR+/SnGL0racl
XM9sOuiiCvlzpR99DC7Ah4Pd1P28T1vNZ4QwSl2Ov3zLnZvUFA3DyslM/x31cZx+1BJoRR5tk5jU
Z4XMgGHSXjy9Ansg+ih/1fSRwvoZ1IIfh9627ocfcODfwmLyrTsOw6Izgheus1kvjUViUu+bS0d2
gb1cPeJprP3aukPxELjKrJKqAQcH9bMsTdFU7qNP8XBTr1ipma/EBJ+rrRtBqGRUme3nf0KL1g4I
mkcVaOaWUdQQEFGGmOUaES+4UQw2cOGt57QRpvcsOAWruFeT/oNGeB2uuFZM6se7wOpOs4SY+yWJ
AHhsu2VFRp3raFUa9t7Uo7oqKM5gSSO7K2rFaFg728MtzLthrsXZX1uj48MZG43Apsqv812j46U6
a52jnFgtmzJ/u6nxltjCbuy8BULfKPIkaezOU3Aj002sZ3mwOEKkzR6/aw7mZTekrOnKlk0Wd3nZ
aj++k/n+m6svtAeHQgPZ/9sM7aY/w9Ns6X2mT2N2KXmpsgN9waOWgE+YK8E75TR8bfxX7cOjfOlG
1W/03FNwq1dOZCDS7n7T3gloROItzA++Owoc6CumDWJ+0q0kkiPOZ4rFH/rSYfjLGq/I38cWIvjj
/+vO03SwvIufev704hDG1ibOmmu3wNqK9uk//6W+ctMqU/LKRIccqugJI3ss02b5n+orH1rdTu+N
hVy7YyMyoPmVkubnVg80m33ET3tkFrAApHaRA0YFtASzrnPRf5vDTP4QyYdLgJogtXbjosyIVJL+
nkj8PNhrsvSf3KGdtpehVM2VXaX+mVf6luNhsskKyf1m6+N5NaxTRZjTA56z7iEzNJVoafphi/GT
8eut9XqiOnoL4V1HTmBtb01ozPNFbP3ecMc3p9rQ+zkjjJJLzXg1WH5UOdq7vkCyuSQj5IE3XlS9
YpE2Edg1k/dYYvlin1zqUypRU+m11JluRkF04aC+wZzFY631aaLW5oBtwY0cczqWVa/tGKpIbvKa
7CzXYttzG9YXJ7XUH5YLgoyC7pSiwItIBtLI3EnBqQhqCLeisfciNYy3blD9QbWz9lhwG+iRXuhz
ee/J1LhDv8SHWNpwH2tGTJqjwZRN05HGlPLJAav7u2rV/NZ1a9VdLV3ayeykxE77A+9WRE5hdYeU
AG1PxVPpxs7SBddVM63T4I7WGBlugawJiUsfZ1g+3tGTDGHbDD/50Ljx1reQOdM27vnyf6e61XZF
EGwA6g3oqnubF2rZ74j+ocqMj/e4uL0dd766ZABbbqVkuJDVuNcMoKl1lCcbzxd/Xd9ZJPmnGmFI
Ps7tdQoSI7XfHaUg22vLIT2QipmRy/SxzUAwZqt7M8lUQePVbGdKF8V16Lb8Ng1ORA9Yd0NpnvWg
ZFHBTko4i1VFS+baYdsFT5vRXRhtkAikHudYsGxv4+gjB6HiPSIcadeMSsTe4uHmLxreU5slzlj4
xEcze9w2WHE5OXYUVOrBVtIhb+VmBbgpNZYSxSmqOhe1m9dhUfTJ0ho98zyNziPjyJdWMiUJOEce
zmqLkJaiTpYtM6DHQD9hiaTmZWPx0w0+1YLxzZpdfEgEfZHXK07dZJ1G0dyi42QdKT2I0qmsQKkR
aqhGhoYvvTiodf20NJu7c1qFjGEaF+4ekAM8szULvmyimZf1HqutB6krs6jiGkJY+bQE+HjbjldY
k7czHs7oqA+53LlYV4iVsM5QlFlkbkbKJVhtSevpQTz5+UcwDKCWjK+J7xPuV2bd9wxz0NbectGk
/WL3Xg9Z3L+N7kaEg5450WraS0L8hDwuXtHF3DdDLEU77HO5OmfE6NoeWcBMPTiKZkxRdoJO4txO
M3NHja23k5ykWd9Giks5arvZDBvLPKL+b/ajcg5dBvVBEk6yFZV8JKgDfpKk01ywIQxTwc9Zm6xk
c40/qscogv0c7qrmA8ZkvUXSLssj6LqBWIB8MUMwmFSy3KPkgDvIpwudPdBf4Nfwsepipz08o3Ss
I0+VFpUVQ5LMincTtT+6By5ssb1ki2wJtB7OTaU9eyZMeut9FBYQOAT5AX26EwZeRlhg+jraYBTb
3F7Txv7ImOBvWgUzEnY3PYmGJDU+/umxCIp5V46mFevKiNOloqErqN85ci0a6zmmc+nUSYCUMVod
aBWCZwRhVCaENb8WwpW0UZ5LUr5HtqPqxg6TM/gzGrobS3qzIrxZpDAN3ndqjg9Gvn6ivP1oycJR
o3owlX+fZ+MDKMauZiQO6YI8ubWmveXCeKi8GgLRr1cMwz4Y0fhmqPSaKd3aeZvxYEyEa5Egsvw2
c+XvCSwFfVwqveCPYVbJgV9J7WMCL462MoE9TJfsJa2sjksFShs2TiHuPFsOqHB0HgufQqZxsEgY
Ggo9GbSqBm3o8ysoWQ+7YJXnQoj1EcBhuuoIld/qoN9elW1P18IuLOJ4pvqu9YNhT3xScVkmM/Og
zhtkUHBbjp/UJH2uTwQE8VK6s0HSTuDWHRIx79VAnYNXejWBKjXlDk2cbjUpZbKtOKI7vb/riRkU
lq6H2yQRJhDbdC+XTnsbdHel81TvYz7Ib0HqX0iKP9sk1tfjxOqFyG8mnEvvViojWEIbIJ6kYR2I
XWc0Of55aN2VnCVsLVCGA8GY7N/mIQjEeUmbDzzUMsrRlb5XCi5kLtfuyFLcJqPuqrOsWO+lzOIc
VcsuHys4GXUvncWOnWFTN65gffTwZyapZsw7kJ2D2FpwXmM45qlABQJuUPg10mM2iv1aeyToWtVw
QMdtsgtVX/BS2/04Cs61tkcisU2RvvnBcQUtPel4i+96ycfCp2oQGEUPOAeN8ypUYIZ1AWlqmtlD
Jsd7MEpk3VrBezcpZA8ie7K3pd4Hwi6jlAhWhK0XdH/s2/QoRUs3o6jHIYwofbHimh/XTzn2QOPb
8rwFFiEpxIyhYLHV0SgzRCeDnng36LMxAKpVQzPKOsl7BnFwp5kFzAnWMJ3bA9mRIcGAR6lTkhFI
/08/TN9tv8LvMjbv0WWgBsrEz5Bnd3lXHNuyPapS7cgnkRebTWKr4GOcDkeKx1EPII+QBwyctUdf
RDKQSxmVKJqcbZZYy4JIWfJqBuLEGR2Pmfld9O17OQFtl/32OBr8jtYZWQW65tOrWlJpG+fHWHKZ
rJ79XWc8QtvY6VG2cEA7Y3c0S2snJ6im6SYjSecXkWZBwtJjy9BRBnGkWfbuDGYaEZ+FdpKgtbfW
MZ4Nv0JAJgMEi+t68Sb5Luf+UJls5euof8+6THzys5HUdeLNTTmgkXIUsSMC4ImhPAxLefaMSjvp
EwcDXqcF12OpLj5pQ/HSlk9csedBEGhay+FS+tqptuQakuGHPEFBwJl9eipzwCzf/8MTHU1eeWcS
aLQu/oNepG/GOj+O5XIwbejuNTO+rHIFxp8llBIJWDtMVeTjtNh8i4LAMzsr8H7Niq+zqcmVQjkU
kSPBk1+jbcqNiUjx2QK6czMvlCX6DccbvNfFE4ThUhBAcFpO26cZIBgYVXfXSb8PvazJY1mjCs1M
71J5BGhmWh6r1tJY5flKpJRv4JNo0vwetqXabNQpLYLQJi+ijXvbKCqWp+0MxNSiTF4flmz6zc2b
HLFBb4mvYIrcmRUqbdeHlMk1MmfjiW4hK3FKI+6AhtFjLF9KlGNc9IONlHj8IfXUeyBLAVNQOn0R
sv1HVlA2hE5pkRhYSFVnPpWT9SRKRUAk0Y76HDznOgmaOOR/5slDn+INZZSjQojGcSZdfBgYW/L+
Y2GhzHsCFzISUAVs0bFT6cLVaHY7yGwtHHsT9WXZJZPXOrs5qE7SHYeTryGptlKDnkdsO+ehNSBj
S/u3Aa8Nbd98bRvb4ruDS8vqXzrQ9kbh3LXw6hgsADUJZD+Ma3ZiG30gefihFwxCPeh64c1//Cy9
KpbGZOvyfzWzOvBmfVTb9GluZRpuXVBxxBljaCjxRPD2P8Im7/vJI0vZ+F3IayTIQftCZXfkHEQ0
4Ni7sgBkzmSQLE7qReOqIpW1e9Gpv8JHEj9hjm82S129zd6vfvBtZTmBfmohxbyx3zuneLRKebcE
kzj3+fCZ5wTy4uP6KIDLIEpY591m+8RNMfGp+IcU6fzTtM7LbiSuNCID9zRU+WVml3jC7mPdkXZ2
APN1ItNdzkNTrzgnINIFGGAgyhBj3G5b8r0arTLmaOJzqa1/1DAkktjGfQaIaUTQjPa5XPR/hdd/
iq1GMNlWL5vIHhtr/dBrnBa6rqDXtOFJ4/dFBBPvC/I+vaU4D1t9xh9KSK7m6o+iCo61NpiwfKQq
1hMzRzsHYMaTQygk2FcydUh2ZFucink42o1hxmXVlhGe6GuWNtz+pv+TyvmZxX3P0fiQGtqC1WH5
xWV7M96b1qF3QOL4ftwZGQN3VWLJ6Ydr+L6GC0qIcCNhUgT3lkHolK1dXWGMcdnUT95Arrwu5h3f
HtqX9I/HgAD2zRNYaA0n6Hw0JnSgWlcciNlxYYCawyaUHqZO5UedlppxtQ0/RKCL2Fi6P4M2J25n
v+EFQz1mPmjpSJS/f+d17l+KKNmKZ9kkSkOsAlSmXeo5JXe5y/ZDWsG+tn6+hy3CrgLhPflZneTd
0N/N/RYwbhV3UrdOjjCREc3fxmJ9iJrVOSVR8ezytaC/KSIB5HqTuJqRYjfn4ATGmpoh9gCDUM4j
WJEraGJrypcis59IFHwy05aGQpvQ+dLg8SUXFsVHYYUZg9lNCF1RiHDMCn+AQeb0sSvWPjG8ZbZ3
gJND6SbKo1H5r4HWnDVlH0j/u8BvH500jWXlM/pmzl61dNPwb1wNTWyWAz6Hzf2EXPgI1p4UooJX
MjuuOTB7Q1YKGoptBxxCzP8QPPsu2Z5wTiJWinlDnw95Q10DoSNnwSgQNRZyhRFJxKCcy+I6N0fJ
CopYfDfk24bkHB1rVZHgukz6ESPBXo7zHHHFFHd+qf3YLm1k2ti/gLV14dKbYaq55x5B6tRZmARR
09HHkJTzhVcgcSw9Ue7fNGufzKGNg2H5Lq3uTJ07r5x535vVdQLeDYZp35rbRx6IBIAsWWqy8Jx+
fa5HLbZKTrXCHP84ZkqY7JyfZnuMg8rW9yzUT2vn46zy9l1TIKRIIyjVRJNmuCH3nGHEc1LCO9eL
/ZWj1cpP5foTEOSEig3TGVfvCyHxH0Y6D9G0OM+DQ2CwjqM1725ygLFf75qhu+82MvUa1CBFV+FS
WH4xl2BuhImmqGJ7rYv1ffXNZ6dFPuD0ztk2Am0/N/V15SmKxlw7NCT+DOB+GDicBzf34Maqu16g
nfAzvEGD/cevvb/O4HyspgsOYvOw4D5M8K4j6UXL1gAPAx3r1WHIq6OqgMMHpXZm6/6uRsUr3Z8q
SLDC1g/1RgCgml79sqbMgBaPubmD+uUhre7zoI6rwd2TQ0FCv3BP5BfTAWhoaN+EHzla/WiMdp2k
Ag1HkJPdvqbnwaiPRepcrJulE2EM4iJX/XEQeiHGPNGVGwII3wPS9Wh8+l3BE6sNiGTorL7WtXpr
remRHlYSI6ubeSkl33GmNmS0ij1NRQj+GsYW/9VBPNCa91SWHkofFVJTIj5HhU5lxJEA8YvSp2Oa
49LsfKh178kaijgPNIrXxCODc8VH6T9l7bjXzDYSPtpHknnKkCWgCbXaedOWm4Esx1hAelPUVMv9
Eiy7dUl3wLjkt04oETaLK5iD/0EKvJZ6UAF9FN9ez0N1E5agCwx6BPZMemlfkuJinIWc/rVS/+Ou
4kJm/pumT1dnW9Zk8j0tNkRz3Lz52XLGXT9xQNjVhya7GEw/wQHFjD5kUIMGG7VhWQfye9EH3txY
U7K6NuIcnA66nz4SP8mw0+YHWbn3Uzp/bcH8AqLLRlydW7M6QfGc1IDPcvV/dbY42p1sO+xVil5q
Isve86K68u51T09cy+XYFH800/5dpuHZxTNEkYD77k/SiSw9/91yjkjlG7DeJtUBAnVhWHdT0vTW
WfWouxWxo9bgdEll2cduMXetJ3fr5sBQksae8jTpOAzs6VM4dD4N+SnjkCFVPakcDwAb1MJfUUmp
5UtvrZO5pBHPxy7Xtl/j1gQrtovBRKGI2p1z60GY7A+zO+2mfDoV+voLr+jgkS7ucp9yFXLsW/F3
vqnJqga16zAc02q+ruYzsbTvBE4xVvuxiyfyJjo3Ufc7/eZE/Zz+aTsdymo+izzfmWSjcI72L0TB
PoHTQSAW48neyiSrwHPmGz6ZCkTCcCFehIwCgVyKliudxz6e0uoI/PW3SGWilJtFQVM822aKFaKf
d166PQaT8TZnhIPVW3sQi/bPoPGBNay+Bnp68fXSjOmHeHUkG2C1lrsha2OXprjQntw7f92+Vtd5
DCQgCQAF4i7evhYdUriQVR5C7QFG1PbJM6Yj2kL2lHpv1v/H0Xksx2pEYfiJqIImNGwHJgeNRlkb
StKVyLmJT+9vvLN9XbY0A93n/FGtTORFg8gLcD6gidKpL1S1MtI3pNyat2WmIBYBwZCMHOb2OV7E
Vx0Z31GFstRTm2hS9yd4mzgoa1W7AE/r1jaDmupoSHInb5vD46ZF9ZA7pH7zcp6kzF06I7pApcNP
XBc3rKmXFHccJoJmP4kwSCsZdFP3Woliv8R9ywsa60jIGiIy1LSb+ua7ray7JcjcYbjS0WZhWhXd
Re8pG8dhbRI63hFcFS1iHzvz0UvtR61IPkdUNY0HU5q6D3b0PhXUhob1scCMYd5/UcLvo7E+doW1
qxoXHxwl7BietHraGUN0xg0drxxMwPVg3YTUg9hqGXpdbc843Pjj6NE81aHLMShS2XTIg9XyqqBE
jSI8uqTvr8ci/0sy99khwCYosW4EckjnjXBxg7IWlH5VgYjZ9W8Sk+6HogbGp2R+c6BeQG+pWkhB
D0U4P+F3xviNayApM6xOFhLwJsx+3dq9LN70Yy0SFTtnTJ4Zj+RHH+VS//Yy/TDL7KAbJe8g7KtJ
IPjQvOk9qUDNcG36M0IYmgeilzERH2nf0Y02pBReDcVaupiO8cfDGZL+xq7osQ6gF0u15Ukzumtn
VAGKWOQEffinj4jFpob8HfSgGKI9137hxV8X8Vsd6dtcuLvE4mly2aaScQsi6ePzRPOZG6Qz05Sa
sMgW6bcwUZzVxGmbLv46Z4SeCG38inoZRKOlArMc40u3SHvTTOCzyAwcqEsWNsMaeGiNcHoYYiw9
nqOYw0pZnZsoUWD7Yj42s6KXwum6TUPB7mNXY67Ew/wzRE6N2LKMfKMBIMx1vfyS2CuJTKKYPG9F
GuiofM66aHPEXaBPJDK8t3GEbKCI1rpV/OVadWDQ23E4r+X4PdXjZ5s426FcftvU8CVoRlRs4Yz3
rRdYJcoBbBPoJnArcn4bsmbUGFdFKg5zlQW0Jx0MkDww83Oscl7OqPe7SewQhFFHgfopYwAqc+RS
Ydtt7ZxEfkNd5gTnJZr2GMuhPVRrW848sPq11O11yPseFvX5bod3TBn0jNqm21/1/9fP4axicFeL
6hlSzDOcS2VGR48xdoGW0noAgpaaqJci9VXr4Zbk6d/cxqSJ26YQDiHbyXM5sg6qOD3Zaffulc6Z
lwM/n7kK+3chaR1CiVCY0SFSCXnKte+ycGk/w6hz6Fq+FhlnPqxTUohdbeGRZTVAbb9zqZZLXPOt
iKwfz2jOJCyvwT4Y850qDUBxsp9yrHof8jndtFO3zoS3SQeBZK3l+zICOn43LLZ+3hYIdZPTBAeD
BeqxjK78VBs6LazVPFp/WmrsEUr5SvVnC0FjGPGDaeFrE0GsAffILgtG7Lz2tM1y8CPAH88JX1PN
Qcj4Uo3P1fjjpcjhJThhl18zgCFooWczmd4zZ/D78rdL5HPUOOTqyQdjUi9OqjbhQouSGjYmOnJ7
SNZDj+cYxvyTUAAoWcwlwAzD3ZCQ3Jyq3PZGsTNVvtJAF9LSyBjqeIjr/iOJzqWebHtulm7qf5xK
nfGGBnnErACdjZK/sv2l1LcSVdc9yXNxWSg8eYAn2fdZvx3cF37voMrm24A39x7pMPdfvZzXige5
6ZOj29YXWRXHKmJDKxKi2qOz108HNZpHT3dP1TKf8cp6ZsyoCNQNiqmy+WhJ/VREFV/nSMmVih70
KFlPrhvoNVRHPD1hecXclh5qj/tSGx5iaybpwT6j2jHQl8rzZAF1a8sxXNzvPCK5v63QMyY77d7G
OunPRBQfQ+NPX/K9WJxjz1xdAwJmMzEfDVEWK7L5D7ocPnkJfj1bYwhNNwxID/m8750rjOZTLIpz
2HTn1C79upyvmC2OS3rwAE5cyg7nO8EYim0CRzB7oHCUL8DZattWdlezNV+EZE+6A6XuKL9LlfzU
eYgDznZK0IByT0o+jR/Fd+7WzxxMwZT3m4rotfn/UEaDtBx3TcL3150u7cP8aKTx05zMWKCAbJ0x
f3eq/E1kruEjizrnITpSpT15CeFOCV/MvGzo5ttVxM9s7rwKkqVuxUSCwDE6kp2ATcm5JE7F7lFt
DaiSLKuOFalTNpVzbkcVRgWPFPNp4sHm67ny+Jzyaf7LndyC5cKX0OivZRzfpNH+RWghVtrSEa8Q
fwoGnSTvn2jwC6iN3KkILekol+fQ5t6KRY2/M3xr7nCe3T0b6HeyAQ930+0SFFrINMS2tnX0itju
EvB41DK3vtMezWa6Qv+uU8t4lN7nYC3Y2ytfV/ark7h3hzmKmIytwbQ5XTEEkgbEHwYeW78aVdCl
WALGLn5lmdkXuEaK9hb22Rflcr6sH0fd5N3IDwYISkeiqd7OgRa26xrZfYFjv4B1dcKRSpL4aCLX
7t1DnxqsL014mRp0WkO3o3XnJUvNw4wlYk64VLx+Qx8fqgk8bwRCmPDBrf3ShONDK+/NUp1yV0Oo
byBIG0P7h0/GBxbBL5b8TpZFwv940pu3gRC5iIIkoiiuepcfMEru2Cgvmr7slqG4DJjEvNnEiEx0
rOXclw5EMxA8LA1eTj15xPCbAgQPHbBzlv9QBFEDizf7Hg6hN7sfxrxDYTFfNPXdBmK9mcawbYVC
Vq896mLZN3H56qiJLBOMdKh4tXI9oXASjXyU7bTD1YUQbI9Nx+akjDhPCB9ol78lL0huWTatmigm
I2SU6kA9P1bUpoXlgUviLyRrRNTaytVfEtdDNYpScGaHwJDmNd6Ly8XF4hyk3qzWTipes2nYxqWx
S021d/pso3WZb0zcEvDZLtOHge9p9s5xYgfZ4D5awB8IqVZF+0VbW5BQqtWV7pn5ZW934SoKh7VV
JF/MYiur03zK7lYWstoa0KxhEsxKLSinbG1T1RIjnNYR8Boza149kT2ney9K039jTdvmBQOyU0Nj
Eth0FLm3iSOg82a8om070eqFHBepTUcoRmlaaw6+oE0k/vOB9JBFO1WW96aQ2FLHhj3E+TdV+Ov7
JQCe3qdaiXw25QEQjbZebLp34BlbfR17V2203s0ECbDbY/XEgCK1jRStP5MCUUXeBq4jwAcGSvzL
VsD9XW6Nzvwb+vDYAnlq2otLyEgg6vFqFfPBQh5RAbWViERX6EYvoxxOyqkf29Raxyo7pRWS/Mr8
d6dCkklcR8t4m4xyVxrxVtCRs3Q9ZH3qD2RFOVO3z0cPx2C5ThFYL3Z0MJLi0IVf4ZRduOCg+cik
oJEU8/KjZ9CC6JRrfu0300pugJYf2pi2q0gCpOGBAfC31jnrfzMVGxl1fjjSgsXFZBNxYC8oMMYU
lwKdt3N9FE1CVga1j+FgMXC0ERo7AngQmdLJxVJgQQr3fgmiAhNaQMckqfk6EYi5ggSGPOaxCz/q
EuN2/3BXObXYembBK+w8k/6E4koXPhLjtQdQIIptabdbj4m0B2sLQvcsYAU6dTbnc5J9NR0nUVP6
pvtnEoFkcTCZYfUlJpagsTOCxUgPeOs+49HbF4DojL/jQ9GZ75VGF3OOpIEKQLxF86lKXV86x0IT
G7u79vgzLP0fCUiXLrfWwyz/KqwPhGWTLQOXRnpF2arTaH1bKXb7bFqn5DLMYUg7yF9fzyilFWTo
H0scvt32J0nxtIby5BAJqHUqKLoGBCw+50zjLvJv9v64NBl9SbnCpnXCYbYD5CV+jTNPZd0hZL9y
ZbvN0n2oxwGKBk5w3ixbHOfuXbWUprWY83LRP8PrkRWeTBfqQr+dlnt56asLc/BHhO565izgSMD4
6lqMsE7Tf+V2e7W0u/Gy8W1XkqIRfjslkjU7bpiLnMrvSdzybER/OR813T1+1KeYF/vHSWUv9HsF
fXuHqzPSIdC7GAkhUl381vC/JoTyYS7qU8QHOgqU2LjbUbSAaXCatdLF4XyLwu86+eBm8q07g2e7
kP5U0dgcLv3Cz7X089Yu4vuHOr9NifEZA72vCMP9tRsd5ay8R2PgfY8jxilVf5U6/nohro3dfCSG
+2n3r+DW+pq2mG2Y6pvCjt9A3T5j92Eqsz81zy9lse242DFakNrxQSjZRrAJ1ckT+WAf+liePKML
wsr4Uon3rwtrjrEjFcF+m4e/mm7uSlK3bNmKra6IKHKI4vE9MtwDDO1cbQXhEdkpom8KIH2+YDxL
bjR4hp/t/ZHMCvWSJKaLmBCiEOHYDD4skrWbu9WjqrUigNaYA3s2KBFfaK+s08492jSL7kWtSOUg
gWqtMvOIrCm8t1TFvL8lcowSH2HQWIocDclyj2iceAmTsI9MKgz1eRMdZ91uUPmrxp8MmqIQw82o
d90vZPFfy5zB4Xj1pxR8eTSMAmmL6lY0VbYJ5fw12gZuPw8mUJuwNJeTtFbJHL30jcPfaT1x4qI5
L5PTbxsLCLRLFTFj5nSMe63f2xryHyCGaqPdA51UQ6AlsN11NOC9ZZ/nflRCUDhMlIOdbFAO8J8p
YLLkZD8Ms3tzh0QCoxYmo1izDgWew7g3khUFvGLrxsvJATnkpMWk21fDduicL/T3HROnupJuUrDV
o6DrZAQ2WH4T+UiIgcFvYOWbAp9zAeG0EpFxFZn3SMdiENnOLqvhuNIJJ7VyoNXd/oly6F2t878A
VKW9buO4bTApCuyc6MsFKJHgIWkXXjUN6nS+23568+S1/Z240p5zBsqlkQH8dwdCpL5TXoBJ0C2b
C2AdrFVWeeE/jZadzzQKaXHsaxubilq+s4kXpl3iab0U7LajQYBK7BawfVOLL1C/WsLd8/X8I5rK
wYCp7UsnfxyJghrk/AhOVq5bSdCVaeP+R+UBuprVG1vkJ1kBjEFrPtNJdrGz6S3pABxSBIj+ZOXI
5Nx+XySLBxNL+w9dGd/tsDjXoqjAvcK22gyDpHMyzYKF4yghKMwzq6OrM7V2cfcvTDnYY3Zof7Hy
Z0Nlv8kyndO8w6Gobr3Qn3S3+mct8/0aAhfzDAsP2VD/OKaGfr6M97gLgrq1PkMXE4ZlY4P3Uliq
pKFpZyh+jcQx0AniVegqJoOqBFK20BKWrYNdES+H4y17Ec8ICHI17aekeaid+Iy0/d9iGeLAWvrN
5/pjFLXuU7+85R9e0cl93sGt6j6WEJML/tT6cUM+A2HYiT9Lw/dQ6oKpurSaYQrxx3iM/TgdPw21
vHXY0aZl+cruBvAm7DcNOacBefSXqsrOIuGYY4uh/KlICArqlwxVZbQhLpE6SI0Yw9qY0o1ISaEw
OJV9i1drlarqS4XiaeHlLnmx+RYJolKClzGmkmDfm4DBI8J9uEDEb6VFEMfk6L8FuvX13OF54a58
9eqO5q4B8oh2K/KjqBhUAuiadFlCwvChIa//TUpkNs0oGyLasHrJhjStAoFFmtu7rph+QQDGXdsJ
7Fjp8EiK7w6mm/Uo22uoE4lVG4PujnFauQY4jy6EoJkDxNdXbrnrmr/A4Yd0ZZwYPy3K0FD5nGNZ
YHw3yCgJB53R+87pj8I42QQvBZS7jRwKApcvm7NMOXDNTNvA7mziQed2zu1jakdqG871czXlX66H
vbWojW2uatb5iQFziC5mwwZnNvZqJBrFj4yCnS8bNk4Y0ubrPKjS+Sl7j0uqCvK8vA5t/dkotI+V
Bg1ZoEVMUnYcIZ5qJGXk6JRWMHb27JtxqCHjr45NEV4Q4Z/aSRzT1tiZVi+Blj8s29A3+ew8ETv3
MrgIL5D+3Mq5/8n6+GHu1b5M5TlNgXgKRO93+5YVG9c2AQsRIt8mdf+gDOuzK6K3ZRxejUa8gesz
h+rmEaZ0oysNjNn7J1Db7uOxm4JZAPMmqdHvFhdFfL5szVj/hdJapfY90hHfNo5nHJz2aq6iBlf/
vTWti8gHoIbL5LAMrX7f1XPkoxf8YAsz8Rph/6Nh66vOIJ8oRjQDWLHLNBa3NL2PhwvyU12Q0Ze2
PBxYMh7KzC02HgxkIko9yCQ3jobCQHfTCxrlaCWLQvpCJQiybcu73wLv5OukK1yUHyLCo78Q5GGr
jrpdqbARyUFuorYp/Jke83Ubj3ueU8uHoX9qhIvwATDVxjW0zgYewCqceaUVDh8s2NEcXTmIDl0q
vt0uO00ZhgCSiMhAyr1hHTZluIlrhM+6QLwjpiPV4w+GW/8tOuD8LBlUSegkcpXYln0YzeeOPx86
eI/O3Ie1M++0gYxraZPvZTYkn97ZtCUlz6pJwdW1Uh1nciyDxO4eRkcd6OzcL7zxiHG2JGHQbWsP
x8J0ijXZZXh20vbCagE1q7m3tBL/DJNqYKf3uL1TjTE0vGNPcAU75XBHVwPn7JwpDqeSDCCA12Td
2/IWx5wz5EfsUo9nsoPyCVH8oJliNpyGddx5H51mv0mibMIkPONh2slEf/SK5GBrsAyVlkPnEnGN
Fcy4dWFyHAkrXQ0zm2rt5EGuKoIZBJBOAxqEzQiVVPLZoL9Y2Li1KPrWB8KGJsGJBbyNEFPsmcJh
Yql0fVIu4SK5LN/LAlQUi9q651cv7iLduR8Aa3JwWNbD1Jlxts9DutE9RDZx1Kld55HmiVOnPUX6
wApeo8wZJEIxewzlFXG43LVhTau29SiEZWyM0nnxUlfHJU1w2qIcEgkFrpYqIapyKBs9UIWVov5m
uZf6UhNwEv55PVE9zOY+cttskxpgwPg80TU291wEUNDa5qQZW42TTN3amhoxN3pNgXHq1PmsJwB/
Cxl+VnobC7WCb+bFucyzV4RUfDWUFhOeFqMd6w3WIxOdQMyZjw58mdVOSe15ccV1kNarh+jQhvd3
F/19Jr4qqxJChIU8U5G3ZgTZjG22XmikmwsL6Du9y9dlBtFIuGNT1S8dEXl1ixvSjvVPVY97or33
ZiPfm3H+kLRBkaTSw8pr1kuREUZqpcLYJffizbyK7nmxM5yIYQ40UArCS7z6NJikX0SyWbVt9QHZ
cBkAhynnHQkpGPSnLGZArB37Zam6p46pwCq7vSaJ9uiW3X35TKvkWYu1C47tlzh2zlR4s9+roxWb
J9E+yBkEii3nHi/gG3V1NDRyIAZ7i7WUok1QW78j3IiQvo3VTmenxDuXFNNXVD15aftSh8UOJvfQ
58utpBrShrrE7RgMjgbiCxxXKHBLxqw+li88U9SqI0UVGNDAu8LrYs/vbleOeAftP7shijZiB9MB
XeEliFFOHVZ8y+fRpnqbfKu7SvtlyKOHOQuPMTxhTx7LPLMRRShcevHi2vm/bI43oV5cFDiC6r9o
ujpbREWlmfsGJPSgcg/ZKpyL6nZ9/wUDvEpqnTmObdFaTmFeUdTjqu8KJDfQhPYAUIdeNn1D9+Hn
5ecsib2ajRcb3j3Rx1PVqEMrxW4iAmxV9qg50FbjETtVHYWyOjoZl0vYMtVzXzkEKZPVSDJBNDKQ
et0fKHQ72HsUlqvQszdCdkG1oD+bcnnUOExrzMyIuC7RQO3GmJwKj4Jc3fTbqnM4bi1yXMLiNaz7
N1NzDjn6mnjQ3kjUI2fTfhgZWMBzXd5Vl/Gg6NEslR1pj20bB6Glc/f3s71VNutsqbaxCSLQpm8h
MoeODtHYUwGICUBs7WthvV1GlxzCz8awb9jMdlhMP8O75gid/J6WhQdJ5K+nTc8WEj+r/NJB0wwq
qRMUOp2xEKPhmLgckDEX0S4feFLmiH9/DOi4CbQlAhQp32V19bhxoygKLIukBPVT4VBlBK5Rsi/J
26CsLxAakOFJfTM1POEmDUhC3mLWu3XSXVdSXptc/sN9QbDHfKgH7ZexdU35GcCJexvJEhx6tSkc
jy+8DOxw8guOYby8y9pZrL0DfshqydyE1inK/kSGU3tOEJcCYyzZeJB0St2XwZeGPYq7fGM4w9Zw
00NouZdYalcL5XCuQQpnA6JN/WkozTskzAlB3oSRIltPwSOIPbPHbR2OJ2UxbFaze1ZQ+kNF7XZL
fo2yMnjj5SQ56SHPs6BJeeL5IbZDTqJIZRIduDCILd34qRpna2kLk6K2vGMJAaoVO63VTvigH0eU
ENHE+WnYcxwQ67lDSXycpfLntH2LJtRjesHyMfyZzAO+M6EfaJpiF9fUJqImy4r6WHnVsfWIaQ0L
xS5O/QbERZ8GKiPEOCsIjZdC7uzQ2LkmxmOKxBSJvMo32tzXJguLrWrJ5Gp5mks8prXQSC8qjxPp
lIGY1XtUtW9xTjUsc6u1ovplq+Vci07Rn2KR7hsm85pAxcYhWM/lWpYmUncDoJGs5mwNuP5aJDox
K9L2R4+whyKbxTqPhTiytT7bhoU1HwEaNw+OpsyPMfn73oJ6vho+rbK6jnJGzN2ueldc0Kl2K1GS
uBc37WOdeJ9z4U3+kIbPiUOYDr2ssRef63s0OZ73Hcf3C6h0EEp6kOR86AbrxtjA8q5xrGorrxgv
FYmAWfUpDVJnUV+O2ni0EI2xqwcVhNlYE4fsfNsEjNQFUSAIYBamuwpdH931pfukFy9EQfCWuXj3
22PZsuzDX+pIvOLsDfcN+Ugg2uSxkWhUsS0VerUb6E52HfXkIYcjM0gAZs/tFWgnJSwoZmMjrWti
ngKMdTxuW6+obiCe1UqhAZ3j9FjGM0JMviIQA3el1fZbqJGBW5ESpgxJYFb8wrDqG8pcD8b8YTDr
Ir3kZDM9rDtDo817tIfbBKX7qnBirDI2STqx8h4jLCZOpr3VaXEjNXlk0BSPiaGT+OD8zEayH1oI
N0ksLEz3yCiG/COmkXnruu26r/t7VCPEy2Rsx0xL/EL+km3O6cUpY3Gb1ll26EumBfEJObnu2hR0
8B+x+gEXjB/m+mlqiM6jx2Q9tPdMbXkO7RT8utUeFhKLVh4ClSCMpyrQRf9mS/Nh6ZHnhNK6erXH
Iu5oTGdpeLBhmHv0uoEy3I03Npy/C1uh86SL+KlwgNvqlmZj6ZBfON8rs8RkfTsTNzOi5IBEEB7s
RWcSttqEWbG60TKPJNv4aYHpTXdc402FHsW3NOFAbxts2pl1qdPS3VKLfMvnMlozil7j3N3qPdor
eIN/UYP/jDz951bLXEIYWsqmC8qNMVU8jEPyGNr2BRX+No0TpgeEYKBr3dbKmGl6xd6W1MS/qAFg
pJhfKuH91nPFLgDo1CE2qmIo3MjmJ6uI+EKpbkd4ikmnq+xHB9jWrzKwE2n16C7iZ4xiP3Geb1qC
xFRtPYlCvngsGSthxsQ/tTtCah/knbFlxeR0zj88zXiepfnd6+5l1iZGy/C4YCsDFcHsPuLScGpq
FUJgbWWTHpyKBhx0GK9Jbz/D88EexNgFCufXmS44L4gQbjFu1DIGZA7Td2eyqTA3z2GS7jFeBqWD
zBCiyBpGdPv8DLrxNiTGLuegjtSd1ehaFjc+HMGwHHYceLa2zl0afEeHdAOigeZ54VxCilIGS2E8
1wt+Axl2W6z5zPdhENusE4QL62P7gRRk4tH6MKzQdzt3B/FpbYUAMBqi6BQvBhdiBKQNG/NWchVS
JE4230xjfAF8L27SqniAdJaeltllcpdzXN3TWJ2HzlKnvkFq5VEnUEGJ5/302/Iul0uKsMrQuT31
t87kKgB7eLcXWi6E0i7skkGoa2jnc+VPOLBn/VaMwgfgqO5CJl8bh2DkUksRCofxcHYT82SN3g4p
RGBYBB8JeQ0tjTfb4WjOoM+B3YcBzAZ9YQL6nYALsFgYuxDRWVz1G9e8xSj+o4GgECGYZUNpvuLK
fQAmS0/Yyaqj13n/7MncYao/YALEfBhmeCaQ4Dk/ZjNvp5BMchrR9mOTMhJkV2JRflF+cM1r4ftg
IZXEk7L4Kmnf+rC7LeF7k8znLJ3eony8GW1abqQgL8PVimvaTWt6tLtNZjI3Q4OPun502olmaysj
SaZyfYs4UVEgVcdMEIRzuQTzgnVK9x7bpVzjlFlPluS7G5N1MQ9PpoOTry5bCCUrRrvfFX+m09+6
yAi3TTgxSaCGxYtVoJlGlw/M1SA7XhxmVucWzc2PnnAbgNOxpXuxs0J6vbHN8hS53XckkJR5buV3
kSxYQ/j94b69QX00vZETGynWLO473TCKlYbEsS6KTzxgDIsN8yRP6CPo941Pwicy5dDfpw8T4sxV
O2l4x7sMdyzFxnKQq3j2Wnjlp4Y+Vlf9fuyak6eSL1CzfVK1ICKwXbZlxIGpjdu5qy9kW+89At/b
2L6hvzR8HQcwFLymb8Aefhu0GJprVkyw9bY3jZ2FgLKE69RaWN/KmwxiRbqvftqXAuOKsfDSRvSZ
RCPxPsPesau3fI7vKSGI6WcKUjIYf0BjBCokC6ey3TSNu9PrjRXhrxU/RohgkN/I3gEKub7W2oRa
Ef46jxoCBoIre+tpGhGLq+IShcSnpe0zVB/iOvJ6sdYaYf44TPPjYtp02UdbTWZ7GYH0I6bueVa8
fD7NI4OZnZi/+HlRDI8PfchCykm/SXlU9RZp4H3CS+3e88XMrcs3joXC1iqm1XitlwuXAR0tbjto
5J6n/EB0IQCJO1gbXczmS/PlGaLwKYm4xwJ3XHB1yScHSy2Ybkl0WXkwp7ACJLAVHOdJ2f3anMvQ
EOJDGARldOHNU9EL+9tOLfbDEptnDbsS4fkaNzyjloZZxzfK4b29L6ZIbt6cEgkQPquPZABmMfKn
2uObdCo4HDmsUJExq/yabC1dGtnbJML6NGl+WOBHMjUq6md6Uci8++4qtR6TMcjDkLt3SKiu0CqM
7+h3SBNcjxOZYQN237hBnxV/FwKdYaqRvA8LqLiLDan7kTSY+eq1NFN6m6BB5kXBTyP7s5VHTnAL
C5Zx2ep1ehojnEJ1Op/yOV8vFN+XPTdwm/Elj+KsemtvkRMjYup4kozkx7DJjkpDKjhbjIYm9Sng
Yu5Xg02ot4YjGqMa+UhPJH18l3qXJd1NZCu7o/1UDN7NqDmGoxhNMIUE2pV2Eo85oT2RQXWyMQBW
Y3voTTwFeoP05h9Ytq/pINyZ8cmijjBLw8dDCvNtEuqH2r8WV/EofTvS3t3JeSrqkdGns9fzkG+w
/KKdK1Gwp87WY+hcYTxnkRrkPyzAL9USvhZG9zOHYGIgLAfR/7QmQLCVxdsFij7EJCkGdBZJ4lCr
Ica/svzQFpwJrvtUsoGUXrYtFvtojk+F5J4ykI8PCSux9IwT/8ItVMzw6Faujj5+9rn7ivETSREZ
JFs7mXgOE/09zYyHYZJntxv+YjpwOKXd6mCH9nPt1j+TjiO9vtNfJp9uFJK4EMfHYsRp6Xg7l2Wj
J7+/aeFmKmVu4lK8EsPxi832kJkXG59/6R3JDXovwRWEkv/CRLuUfMjtNB2c1Hqbak7tNtuHgi9A
AhGRdNpF+lXSWNtrxTkZIVwZYxe3C8hL5gEE4EraQF9eHJh13TC3lgK+145z/NDw2xlIHlNmKG/E
ihHuSEC6H3kYIaVvosVMq4Yf/ZKTRDlDPVaoUgtksUu+w6+Dp2zadPjtx3jYj5oWRB1bGsLmweDI
Wpq10PNn766S4ZAz2NwWrHE5oHLZwVlCBftmq/w+sh51IPwyT9cItsboa7g7t6oXwXhCTAnvuX1r
aFFRZCnywLzqU3pY7kpCrdhmDkJ8c4pOffJlpzDDvFYNVQVgr32t7eRUcOO528ouz9ZinV3rH24M
vvl0leNunU02GFmuWvmawh04Nrq56J+7eD7JVc9z7nxBxbtRfhfTkyZJ78pu6ORGtdjMXQUkJ75h
oYN0UtsMlEOPvst7trk30iAKza2eB9CnmRuw0uQuS2yAmozVJNxmJs97yVyliy+HW4byHX60GMsh
RAao0isBFueyrDczRaxdtbGl3EyE09513ijdiR0o1h24X2HBZErvHku6msDC3UH4osfb2xQHDYIi
b9t9A81f3cN8Ixt8SdsPVG61QGy9e0qRrRsI/JQHWkJw1wjZDoeHZIXdgNmoLr9LE31DhB0TwCgK
N8jxcKNG21brD0L/sEsEAou5qohPSkzEkd2HZp7IOOXrJwRgeJ5xwgwchjjIGT/31UxaLBZRYvJI
1OZ05orvjG7bkLtJquqlr14LDdM0fW1BHJ+61kJaa/5rZq49rpWa0Fmgq1UPkTs/if6Uj0/luNMx
tnnjbun36dQEtkaKRRmC5nDtyHybDtm6in5c8ImM3BF7uVFssdE19oZ7aLpzIITk4lrlxkGs4MXR
p6tHp7k0/yySyGePBGfNKP1e/MfReS03qm1R9IuoIodXCVBOliWHF8pu2+QcNvD1Z3DeTtXt23ZL
sPcKc47Zu2EfgitVXo28ZIrcOAQvWEie+uFH59wMESTJQ+aRwsi53k1+XjO4H1WsuQ0JCTShIfbA
ag+w5KjZ9tXIJxqoFEdp+dM006UdT5LBfGAIDqopeWMsrVXQYzE73HFqNi13ry7u9AuJ9m2PEaut
7chsrhI6VZjiCch29NggZ6hnRY0fkyF3zovNMnde5kAtCRZVv2McyfrD9hiMYzmpjpAsO12s0hBG
o6S4Nn6jcs4pK6zt3H11DoNPw9kJcYs7mG7ImlLc6RRMzNfn2ld4i+w2P7Z4RPVzGEH1q+nxlc66
4bgmGuHS1ftBflV5F5XY1SWfA4cp/VcSQjtW3ppyJ0Vk8IiboLwIr2P7KNJzp6sEJyx7i38omFYV
6yBb8cJlaWDrntKhcDOeCdsZLJHGmG1VwZo+hwucyG7c66vRWppOIiXKzm9D3ZsBxqrIyHME8jK0
s5AFBowiXpd/+gBMLMWqvFClo4m4RPlFL4g6sI6y5dMlLcx6Jfqem7eKhiicGdVRQ44Rn24CEAvn
moTWqt7ZXBAaIn6h+cv8U8k/Uddl9bGavgp01BUerzn8sz+DCqtnfC7oThkF28gWFS5BkAEghNYG
cArTs8bPWAa0fWG7Yo4+22kmZzjpNqLZgHMM65O1gMPBgiVQy4AbmjSJRuXn9mubvZqNOyBANoHy
4P+mTzga4a+O8U8jkqyd3UFCAuOcCRn2unDcGyhiJB2TfFrsS26KLncIL2iYOY5eQzpPozmcE9h4
MCWGGh4flrEMNL064q6n/iSqjyJuV6qeE/yYBol56Vl1tM1oS+ucGYbN/noyFpkvsX5zftSdHe8c
g2fc/zWDQMwBqvnmRABZ1XSLzHffxlCfzfS3TMjZLpvfXjLgD8poAMa6Q8SHgTzPlZdlZk20R0Qz
FkWAGmbxrYfg7Ev4pESGjT7wpr3thA9HRYBkWMmVfT5MATA2cDRifCDlaG1JlXNzxgWUfa4W07vZ
Polo0XTrAgFi+VWvkOXhRBiK1azeM2CVjZx4cKtx/cOa7M191GpruemuFpUkW4g3MnoBrxpM7+Jd
Ll9sGaLja2dcw+HEVGql0hZLM3E18+fIRqrXpVNafgwKVgi0gbiyciN+ayfO9gpkm1kdjOEuJZJn
o4OEO+h2sbU30TRCLaNtcoXxLuMkQIgCx2iV06Qxa9HLbW6+AwS3AtzIjVsw6SzKj056a9GLKHHr
WdKMmAb/IPTekBAqeXnLuC/CexU9DfldNg9NcB5EyLzyPEFx7rDtVWzB3AR4nzLtqVdNi/0d02H9
X4pWe1lxQMhkgfdK9CtLgXTXDo6vpry7BOHk+F4Ngngy/bWfN7rzUhJ9BGUUaWS5U3FwD/o/pR4x
v571BDbQhjibkzN/CBytSJA8+GFuDMS6pwFn4FkY5wmpY/yw7F2m3O3yHZCpYZqegPVo2tskuJs8
gEaymxUfuQ5jCEQdtvJOIiazC/Ql7FX3i/5wEfmKcDuM8HBJwXrEztlkoY6bxekzd+x9xm5G4msI
ejVWnjFm3u4lIHvJQEnqZMeoJlrCawmM4QkV+GcDYfn4j44VFyrMiOWuXmXgFkjWY2Zn+EoyvThl
L0F6Bsxtalxedmi/M0YQBCrw/jCODGKsy+hycdY6j1kbbjJQTGVgSCd1+75J97XAsFJdyrykb7+z
qd8D0L/mQGyiUl6P8bwG5sNAoVpF7D+V1PnMUWRaVMDAHxngW64+nVgEgt1ViEnge2ghZsaNb5De
x6hAa541wKp21xKbNUtXoR/D+lW0lxE7ZLYpssK31exfHPGgSl15GCU8WQD/2OyuNcSXQaZtoOR+
TsTgEKFm+qmcbgoE9ha6eWdArJgoxy5P/2xsEq0hbhR2e4mImwb7Otc82yhlW7AnE0zHw+zYVGI/
tGSpSAzmVBtj+dRBI67xS41r/p5dJ//otuzKsQkSiyKomn5mTX4ZiuE52/FJaeeNKTFQG2pO3VL7
DonoDgF9zbmx0iUA16zZ8ahACw44XyxScUQwI09LVHx0v6FUXfvJUxhTdB8ju17TWcUqHABiFlmk
TLusxkzyCCrqpcntpvqiEfhbMI2kWQZgsw2mxCPGh3DI7ZyLL0IQkZ0gem4LT7KGfUosQdjlb7Y8
rYVCEOU2aQeOV7Fqiv7aJiCreVtPcP+YpOUykz/ZbVF7sjB9zyUE/5qx6WU4qvrvUB1mqmwrP82z
ujEZ6tjTUVIqb6gvIdAYIRGEhbmB3fWQyEhZ23OGu4nwgkAFHruXAr+kKUwn7YiSdSuqCz55ThTS
pjrEUTPygNgQd6Tk7kBYVN0xikvlq2KKzdDVDzhnRwMVmNKi9LceGCSzJa2SFldFgWFo0q1ypKfe
s9SiIAvUaJvCAyvEFWfKjy4517IaKRFzwCRE6Y3hWrOgeE08rLBbqJigiyBiC1yK4xf2qHABFiRQ
tNFiOFONvmOG75FDRA7kX89QMmrfZSqIEY8TWjEn2uvSe8HuppH+ibHYqfKPCSI4E8Q2MJFoqtNQ
PeHk83JT5uvBXsTmUWVRjLd2Mwnw6EzcB5szk/llLNaOpfrFQn4HlV3wx6I5AZEx+bWO2K3vtvmI
5bqJdqRTvSZ68BJ3p76afTX84QRCAo7nQiADnOmqSCnm1VAG6Wjo+i6Hn9MPt45LQr4XjbXj3Zft
fzLFYN69t82zNPjusl3aPCLM8TH1ZxJg5anD1wD1b4YGF4mElxoC8Xj/VyxsBBFRQsHzpbpF8JQB
GW8yHSaq59CXm1XFvHUgbcF0aw2rlfjAwRmp+yZUuIqkHZ6lsWJMithbr96m6DmHhAOF9CIRfWF+
JUKMH6F5NV8z2M1L36FGmJHV2/uWDibG1hZrGBvTF4xzfD2ZF2CgHAY+KTGSF0lukuK8jIY7JY9O
3Q3FRKN+k4gQThRpA+zUQ0tlSd0pj9Dy5rTuhvYW8FGjAy2Kb9u62cD8ajQMRXkZWQs62bOtP1p1
dluTJ3t8F8m+RVFVEQXHsoHfZvpFRo6xwOAEsbbLnWsnzZb05KXnomohcJrrrHEngbRZiJUBM42V
7Fp2QE5hx4qn1q/ADncT2z4cpAQ4YtGbSfpRt0vySSCVfoLKnFafVgoQgV0eUrvaVI25CbDry5p8
Qgj5yi0BPk5iTzyh+4p3ote8NA3Wfc20JWrWBX6sZXWFqcSlD0XPe7J64xaD31ZQ/9jGuM15wUtO
oBnS3SyphMToe+xqW9ArRwSGOzmg7KrSJwake0w8IJze9TgPbk2ahsLgJIWUFZGcFTXdinhVL85w
Y/C2VSoTTBNbK699OfzIlLtcLuiL2mAHot7tEP8kM+aCVNlCMN4NuXOTnU8jiS8RYQmhkLaVAVO8
ocTV4BZww096Tu8pQ5aV3Rx3oZbEoKUC7IiTW4f2PbE4G2OwLEGywTJ+xJ26M3Fbry3kV5c5YBus
FKhaKLvMOHkfTIsRh0W3UE8kYrCuClednYEnzNLfGvxs0QM6HOJTqo6PGWFVahVkbdYXFbNl3mcb
vde+pATDT/FsjPk1y36bIkSsJd5GQSaxop1D7OG1lhzkKLwI0e46w/kLR+ctYkfbVDLfyXJ9XOGp
eWH60uYcl4b8w/7kt1MG1zYVr58EIX/VHqY+vKIa6WGNDOBZlMgLnWU6alO0tTOwb2veNGnvocBw
bT0/DEN/Lrv62UwNY6djqgM3RjLggMwyTB/gvCQNUFuKvc1cKSqne8QkjSz6jWXJt55w0JnCtZUH
5r7aC7aaDQw2RtjvVX4dTNb+zp4DG73TpHgAy31TCE+nbOY8+U5jfkcOXtBxv8AMLmmEGRNzva7x
pDN7SPg9bEqUbCi2va2fUmWxFZ4U4QzYnFRqZEB30neELYr3yvqYkbR36hcVUEbygpX/TAhus0Ry
ozF7dBwmkZJ8QOjkEMRUIofWKgYuZ/JXJuobciEGHL+dwcrYymgkY3oxw9z38xOg3v8NzzRiPlTS
cxR46H1/Qz560ctrg0sMezsAEWpry0g2DUarEo5KWSig5P8N2etItNlg1r6KpU0EJpJFggd0Nlq2
eRqn8tKUmZvUJl5CHLdls5/bFlimDqiS8Iyxew74xwo5OIu58hRmqdxJR9DDrtUwX6uiq8pIw86l
X0aZTyN9JM5PXD8SCbxpYJBvBv9aEdS6ravPl6kyMLJ1IIsg0unyV6Vxn6Vo1Q0F9wBv+wzn02B8
UCDOsKbGLa3Cry1yVJxkyw3iipnQwHQ4xrG6TzusdeKGmGGnR/8Hd5A0yUcbU5+lHoKkS5whKO+J
mWneYxmkQD8S/tbBbViGP+FRinuvTh10POotTOutymh+4RAFA53RBK4Ck7Aq7YVN9dBreyNmEZtF
gK4cOmoqND1uSbuhFKDpb5i9KJRNhe2b3HQSiYkEyP0Bx+clq7wsM4kxmWOs4/u0R+JOuFBdhp4R
YpIBlHbqMwOrfOo5lQZ/M/QRzLS9AfWCmS1Z1WN+Y/L1kgYdfgHr1cyWQ4idJz+xRsDWGnuDuZ7q
mBtllj/kYKHMGGwAgbRIHV1+gpYv5VfoJLTMea/cZCPby33/m84tfKPhO8XXRzUNyygakTWMOUmH
qZaaq6Gf/kETvDljfxb8lut8zhBvYPxcFPIU9NK8cCOA4eS54TdWM/EhpNkrirj2UkxTcInq8mHr
RHcrukfaN1d9Xt8zSFgEHnWfvQaAgWw6jogiQKqXaq9TFP5gfHtKUfoLDeTJGOJ3nCNqb4XTsxYg
YmJi5zyrpn5NKuVb9CNtgcZyqJxE72m1wL0s5haUeWpsgKsdJpDYAV911fRIoo2monMvs41jYD+I
x4sZJS3eEOlH09IrQTfxZo5HllvBS0734rZ8sGuhlxUGjxDeSqo/VMHhOwnMq4A9lY0zkfZgLKpp
rQjIyeHfTCQ0+Y6K02Mw4oCoW/WvSjG1hZmGemUQZwtbPXNLC0uHbErroVQc9OnVXWZivUyFriqE
tjWkSR4Vw/gI42ljp8G1LzI/nMt918jbSOX0LdRXm5JSKbSNOlpnbP2WqyiAbMwUrbj+0miM78nk
Wumi/itloOSh+gxhvOKnj1atg2/UkKV91BSvLUXvKtfgRmDY04R4k5MUek86PTQ5fuSNbrpFb3KV
wyaMoTekSn/ALArdtEPHaG2KJWQ8tcKLYaMucizgtixMS5mdoJFLDMUtHB/pcSDZNp7E0WyGPQub
bZJiDk7y+S0usYeDvcf6ZrlDKK3RG/q2PbyIjNFjUKE/Nr5sUV8xlHla4lzlkaHRiCAEnHqQjh8o
Uo5V2TKBQczLSFKLLELcmif5CKesa26GQkOK6RITumwd1XFm6aj6I+nZzcKV4ohjHvIQjNxxvryU
egcuQVa2dWNuhc62gRkF91ld8Qn3+d0Ow9sQIzVpVPtQttl3FDM4bklk6hkBRPMfu5BPvSZfWfRu
p1Vvg0HsVaQxS0uNe6nN92lkVQZwgzQKMz1KAScOybiOqSnUX8Eb+WQ3TZkYSqcXM8+fQxadRBd+
LWwlTYzHhvEnYRu7sJwrX+t7P1AZBdRsewvZa8kQ02LlXKnhH3NXeFzjzpD1XYt0FC9o7opRq1Zt
R0mRU+hEvcQoUD6nis0ppG6By2BdQHtWcb+SeNs09i5hU5tL4x6k1baJWheACsLAjhqVLQISpqMk
wQPIzEdts3xQU0xNSxtT0cTlk3WZ1JTWK9600AWIECR8w2RNW+yCSdmT0OHbVbYd0R7aDjxHlj9s
feT0ZVYDv6hAYgz/6pisOrFFk+CNFZ4/bj9CCFeZna3BPgwNtS9qROYXJ6TmG6KSdqWtXkyjewX+
tBuH/Ea6s2tQZYZ97veKdM3q3xh52WCgAsebs1n4wlFQ3Owpu3AybdW4P4wyyA3WMVJpPftU2jbl
3ZrfDcwicv8qy5JPGMGnLS05hdaLUK8Qi8+hBpFgSA6CTZ9IcFfSEiDCX8+Tdau11IvMHLoeQZEm
socZhVBiV3trmpD+lmvHOS4YK8KiXXw/bmdhNqAOLJx4o0oWhSFREHXP/a4j4zOPYfytLmM6qd5r
mMcQ4bTOdzGRXdTBW2P5EEWaZ00UWLyMBazDxGFn5vD7MCzRX+aQPonNXum8yayHG2YGDKF5ngkg
l/V9FwSnwtYI+gKNwi3am9VGVrE3BL957/hjpvu1Jm1IbNoSZ+EVFm5tXWVohE/dYQ6eMrlbeqOS
W5J6ny/tT6vKr0xCh9VPNhLck2wRK4JHEGBUMKfbMGA2nU682NUfteOuUR5qXmzJrFi1JuKHyKuz
9NgAepfTr7R4Vq2ylib9QxuPE07MEOOTQSZ7iuqfTKR1ISihawaRaIu4WnzQdThqXmOI4QV62Vgm
2p7VS9diS0iAhpQafSBjY3CMlQqsK2v6FxVxlazAP8/GvTNFuCfGtSLldG0NQgIEzxCcbO1o5x82
E3Wyf5iAFh7ohTC7KXO2kWnrtAVXtgSHZII5SUmNBgWxhI0xUuUWreovUptGcIDjoZggr3T/zOGh
MOvtzfsyauptQhxJhgsN50i8xlaTpfXsRIeGur/ERhIS9xX0/2rlkArDbZHuGfM/EinXoaz8qGTW
r5KZkSHbtTpgs9yBGTFzd1LCbyWNXhRDeEWcHOO5PuUztLyRu74JdoWTe3aI0zv+Q3KViOpmDs0/
KSRESjhUAwmrXHwqjKZIizjYNvHG+LXwCe7sStsMKPdG666DGwJgQEqHhSR99AMUWw5xP8jofYu3
2ErhDlVfffSW22TnMF9REPWqMCKipWqZFqQAY/CBElXHnwcWBxXAUdLlfRhh+B44VqfpkyPM5QY/
4oM+yqyo+/kSau+O7EniDeIpqz74tXLoj631rJPxqzAtkisrDNfaU5nMP07HPRhlCA7ySeQQldhY
qflNEX8mepWQVgZKJv7qRdvgtCcH44I13WUqrXL5WstyW0yBhwTUy4xX4pbW4qWWQjK3TjnDcJOX
q6sA3EKQQ0SnKo9RKp5BI38rXY2RGg8MWkr+pT0+UVl5K6BYiN4B8MGHBTRnO6rNn5DUf1A0pmRk
NRUxTCW8gcOCqVqSktw071s808xjMuliLXGxiJQF2rCa4WMr4UbhvM5lJFVttp3nZeMzHgpw9ZMG
CYTNeIdDO9Hyk4zszEYkNdQNFqTGJdIS3bBCcC2cGUj6f4nuoAqv9za7EJ70jkcwJ2C6x+BEsA2P
+jOd8QXz1cYsuUUdLy6gJ1E2vJZMt3HtEfNNnGUNziHbDNAJHP3RZi8Y4YU4URvaKJalQxVu4+6Y
oPcFYDE725QuBw0s8e/1dKoQ3YWJ18lbRpdtt+OiFnA6LibsFeddrR/m/J4PiOrQ7s76e679GqxG
7L1pXK1S8ZiWcH7F2bpjForvS2hXiJCzBLULwNeXgufO9LGRsiQERQI4W+Fmt+AAZLx+SABQ1FDO
tUtI1+g3nIoaHkLjO5/eM6Yn7S9cmjnZMAdQrml/1IZNEHi8SwuGvv2nw2gHiMnqbqInNKcHHAGC
B+6zAeAKim12CHTsbNSam5xtXWxGGxE+x4ESJDpZALwMiN93W/seExQOruKckfptW+sTpQMGXBVC
Wu70u1CdDc/K3u3i0XFhkjzlxeDI2KAZ2ADGTRgetHzTS3uG5wSAe2VS0QxudNiAgz2RJvVK5bXW
IyRzEtoYVtyfUnMz479yvNUGmEtgbEDiznW/0vNVncEgXVXtj4SlvX0z840lnygL8/mfnS06SthL
0EIGsuiOomBwWb0SdJ/kNxQCiYSNRTxFhSjZK4yfOKYnOhogXQh9Q7qXbuI3CCi2Dc9pkQvVB6j6
jbEjcCazXX3w1fqD7lWG5BjUEBbBepAQ3ZRPCAtW+WJJCQBt+pYdFFNQCIizclRqQMQgvHsFBsfx
z1K88VrRU1n1OYOUo9wL+2sRs1vWaWrY/75nqEFl4aml39uXTH12S+7kA7bLjJkHEc4sTjAYq/xL
XmIyJi9mw69C38YyEdIkwMmWsexvstg+5UO4M6XrkPulgpEl1K+MUblr1gEA7xXRS5lz7UcozSQe
YvAkrCumstoU5ueok2UYQmwr9xFTiow/1DEbkljoJJ2xdrSQGGr2EzdlfEcc1LW7ProT6sGrhSmv
+S6EO2CkHDZ9jacNFgbA9eFilg8M+1yXJcplTBQhK35ieFFi8/Z0jOzfq7eCrB6Dk/UfTQ72qfOE
uiRAfacR946blanLa5teeVIsHDWOdmHonFQA0JZMFD+j0TGo2wQcP6yyJSlEDNAjT20Ocv6m8tul
0S0tf3ugB1Qb0tWooMQjY4lyP1J3idh17U2MV/x5ezxdtb5hkTJwiUcDAv4fSJ+xtdVAFUPtZwZ9
xAH2Cp1eXQyPozhofOkOxX/aLu5a/JwxmQRIqXKgK1D0ZD6rBA+Vq/0DKySFewg7ynwe7Yc0kP7g
ojCKLhIKsAy6OS8OrtmaQLgeOs1WSDYZlKd2umlMvxR6hiadn6PkBcuxhu25yk/4IJFhbgw8I07v
Dl/h/ENQShz9sTqxpcGT8VaQsojvPHwX83VqtzlTXgjqy5OFWsAVy7lXPR20bY1CXaj+tWroRhPi
NjQjIbW+PLJ1eMVjMEyfmvQmUNKU+q8275ByNLFfWF5BQPlkuzZVWBuelH4HISZFDUjErcYDktpX
JTwo5T3HDNWBbZr+JcWxUY+A8GgWTsAWK+vfxLTd4oWO7pnwcbHy0yPzYjvPMPMlDJiMScVfyvtP
Ylh/d+CfyluThXZ/zJFDUWg52hkRdWuJBeUBlR/mA6USitnpNFnPmNxzhZPQLwZwEzBF9oXxlbUf
VuUP4SVNPgzNjwMabhhzdwxk+A+b/GviydQ3/E/l7JIqeQtw2du7qGDRkrupvk+i44D7TtK3I3KF
WXmHwNA5LHJBMpGAY+/AvFs9BmtmarI6+dKifCU5UcVAhD5qfhbQCzv5n4wZsD1MxomMdcJFp+lH
RN8duQbcnZALSmczqWuEZ5GgOsenSYTB4kb/ZB5uZmtMwyW9EqUk559xsbFakJdC038f4kPdb0kJ
1BO6IsYYTKtIErQ4/ubsykhrmI+97kbLSvlf0nWMUtfzx1ijL9vycobDOtc8RlbwVBFZmyGLcqSB
vXTJw2devVcRc2W2NUM+n7G11y2uWmaGHNBO+Bmp37LzWmTADZbb6JCyJ3UejvY6Q6i0vAX2JEWw
MWM/y1+a+T1kKWVJw1GNIzdMbkv2UFxy3QzfLa1Z6KbZbkpOZri1sw0ofn/o37HSopj+yCDPyz+x
9pXX6Dno1Nrwras+8CdjLIGenhVMdtH9eGO4U9vNGL7L7Zukxntbldc4/3jsHBb+o/ZIkXE2Ov+K
gQ+kfI1+WJC3L8ko9vaA13NatcMxL78pgVzD+JrTd53FKuKi/F8SBS6jEuCelwa0oQoWvIYzAmk9
MC6jqfpsEk3o4UhFu9cIwo0yLn63j3D4MIbBG+fR7TIcYhGjE2TeBvYDsErd/FpwcOHJBK7IqUyM
Uo36it2gIHjNooBQvRCkf4mW06KJagr0iQZw9jOUrxndSlZuxUtmqhfWFqV0KQxfUlBfaQ8znlaW
fmJjob1b8r+E5zDDjVdoAIVQ3wJhfkS2hy12ZUvfFhIg8C9q8mrm2zbd9dnVSR56cMFLhDIjA/+j
PMzWtbsDSnOHldDAccmhyH5fRrjkhZy8MfSlxvAL56XvAd1ofwpfDQMdoKEHtb3LSB0L4w68Eb3t
Zh6dVS1GfdUZf3x4UXLRyTzSTY84ASqqD35ufOzJmkT84wTnIL8FzkPWbp2xU5SzMK9N9ZYLmL5+
mL/r86mBjK8SZE5uSMhxCHcBLQMNelUeJdANDQECpAbLXM5bdXIr61FUHwpFZ+jIrg3cUmLeyPZY
JbYZGUrHHQxGaxVZ+6EjlbzZJd2fNHyN4Q2YBeIqF5w3rP4e1o43GB5qnxSrJP4sQn7X/Jgpu+mx
JzvH2HjTexKRSDKPKZWI2kSX9teyDAb+xeOE/qrmW2x2EpV02VrndGKYC0GvXEtLbNXwkKUb+x+n
uCwi14Cx9rJwuBWwzmLZOGm2Dm4ZI9AmUSjBfmXEe9lnbwGAYi83fyviy2HzHRnaxuwOdvVmMkKR
PSLyaoxlNGAUhPjzGMHo4DaTEWSktCmw45S4crCiNAivk0uQkLDNChp6DWApfRNxa8zMmu9d9K6+
wRzRTTYVpF0YKqRNbJCvVctOvvud8zt4ii7bN0jjmPdEpLQkcPkrnMA/U7IR3ck2vw0upfYqpm8W
6utoetennR14mUMZyj3BClWannHEKoeGcy0kwB2MlWxoY+QKbi11148HGYV+oh1QITjjXwHRAGF9
S9QEa7RAkk8xqRpMqhGRufQ6YGknB+LItmbuH7NVV9Ddo8cMm7OEoHmSsYVN6157oiaLo+2STzEy
ny4J8C6XHU9T0RtgcRXbSfED8xEqHzn9KxqKHv2NSP/y5nvG/qlYoGhAibDkZY7cS4CMByZNJ726
KiCUI5NqgcdiZm7idurPCCTSyEHWJJ+CuUqtbmpOJzjKBlDeZJvUr3aPJaw6KBW3pqCC0XcW55N4
w0EwEYs1vzEWgK2659lj5Vlot4hpXb01608TGp/DnBek0IeiYF5Z/gv4Sbrtkn0s82IUDIuqTVN/
pQkJT+dJ92eBnX34wJ+wSMvwsXqwg0PSoNruSOQFk+1xXQP+CqjiuwJ26U+JTr9Pjj3Tz8ZHpLGa
eAxaoIFpei6Dv4S6T0kz39J9q7pq6KJAZ3NsmPyfDU+EnO1QtLEBskN/6xKwow9yV6ceOa32tIsP
laYWuV5Uv1rKn1pdWwcSfLVaoqrLGmfLukVGrr4FzDuwIbDhI90lv5nkuTj8Fwvdgr+mOgsQxAug
C33yjE+TM/SDuGk9Ll1Wl7EMWxJDQ8VhmcXTOgM5ThpCY20L+0mCPPNCk48+bh7a+C8HL2l9oyfA
gHWzP+CZmaFfZ+dm/g1rKgEC5+11XHxmCFqr7hlGXN/8FjT9ziyoH0NX4gp3lejeDsw3MLz4w0vF
E9C4NQKQ3sAMuQ8NZAwxdDrXbP/0lpyvnaK+t/iJDQcFYXsuLHc8Y0tcL+pNBQ4/9MyQqx5wWG8c
Ro7GgBaBkUWYH2LwCrP4UWbyo11pOiZkG9HhwL2Emy/i3yTikf0ri38VEhbyuXap/mvPn9E/A3WE
Ku0y7RMbl2/kCSFGG8HX1iyP9RtyT1t6kSq8vRY3Ckvk7p4MnwNiIt1B3YVd+jRNF9KyCFM28CRZ
AfluvozUGbYyx4oi/7E6yaRTIO1riSDEO23IwJa6mc99guMsIxIdpq8Rbfu62jgJ2bFQSEx8HXQH
ivJrEgPGn8Ggxu4a1e7FxJqGqdmeNmaIH+ypMYQuLN0zOe75UZyjoNac+TPDltVUP3p0GJSj6ANX
piqJMzfGl5xHw4lUcpl/UJoeUnB68wnCXi8OTnWVw0PAMiN4Gi8o5zrxbkrM2x4ZVDpj8ouIpost
7ZeOIspGGmcSQNWl9/qH8DkYFtHwU+IjZN4DA/AUInAFlao+6Ud6oAnm1g6Yi67hHebDwkZZjfKn
Yv4mFY0wK5q1MTyt6qcxXrVkBz1wbfb7itdSBQt4N+YzmHgnYcJ7UlgJBDplyPIVa9y9d2v4SuIv
gjYibMHa4Bulj+QMDBGvPEtka3yKDD7BTo441j3FXleWL/KTMa7ZJbcM+owdl/hs4jeBNoIQMOUw
5emYyh39Kv6/yXH79sWwp1U9fs7cT3x6Mgd1egIU3aKOTVnGmndaPKJWUgbr6sBYbU8qqw/jEeXc
yokIaLkhTGWia+aHOT4H0ltUfkiDzyRNT+9Rjkmq+Bwy1g93WUbnuCGaAGCkhXK10f1Av9r6eVA8
qExxdmunF1ZiQ4yfvPtNEdcNmC+nxdfEAZkMMZEqWypxQz2n7XHqfpUq3Tbc7qC93Jlg0fJrOQDT
HDN9zECvfpaLNZ0RplYvQ08a2/zTir4rJd2b1bfNiBVrG+snSonSuhY0L5jACFRko84FhRSj8SX7
WPfM+7a5OCU9OeFEOZDbRiwjKuP+C/oCqrJdkv/+X7Q9FPs1wjOoM752c0yZLWeuw9Fkop4GwdVz
cQ8lvXry1DWMTOeFOC/4eqIIR+0qWsIx/pEGjqroROKvlm+d8tpKl4FjmkiVgYNmOqqEB5MgYBsc
93vVJDduHxt7EjHFD+SevvqdVaAysPKAbqBphBGOEgEFcPqc2EpEP/P0YyEK6Ckm8/qoaghSR5KZ
2Hf2LFJ5ZXkqN215tegwE+MnZFYtJ9gFn1N6Tdu7KLatghxyG2i3wkEFgWm81FZSAkmJWzBF5wrG
Af1P6Q4jSlMCFTuEDVjNGoyWv32Iv/VuhAO/PSiCpcVjqiFBuZJbmWCG8ARvJWb8jgvMmYeT8mS7
lPLy9fsFP4uChc4Hd6qJYpelQpH7+u+yr9Ds2F+AmsOMFggUymtqYpBc6+mBRYIAU87p3L8b7Qma
fTTvSLKr7GfW74Fco14CUlXTKecjFHVtJV9xfvFc2Ff2lH13BEE1EZGl9edB+rO0c/yUAhw12Jwa
ZDGsQhNAChkr86rlrjnD5yIowcN9RmNlt1x3qwWfaGtAD1fla8uwvEvidaqwy1k6PDJOURgQeAQX
JdvbzZZFKu5MBCrLH2jVZ5XfS3lx9eFu8DrpwxzJDtpENn0GwPiJh2Z2CQQrEBdwT0J3k0KE27+1
4YXjIWwjlLgj94ynmOR8YP6+B6mNAwmm9peu3atxM7EnwBSoM7jGroRyCpWgTFBFyXuBKmn1H0fn
tdu6tUXRLyLAstleJZHq3ZItvxBuh713fn0GA1wgF0GSY0vk3qvMOeZ4jKw3IkuoIVakrorygXqH
YI86+cyxRMETqgH1x+6U0IEAKV9rNqpujQ7h1NKynvzYbboriBCqmSM5sgUvUHZjTycNOrBt2hB2
0oobBtuC1ycYD4H5GWlfgXivp59Butn9t1psmOO2qLHZatot8HFhsmfljKg+FfUeNB4DpiVrAAZ+
CG/dutwbuo4LA1LdWbAl08NdhpMXo49OYLCFb9lU7zb777DYMsAgdRVCDH/jh/JKnoMB0Cxj5V/H
4U6etHuLOlJRZox7tcBgs1CVfQrPJvnNMeTKLqW2gnZ8Z95NhD+9GDfBj9wdy+aUswH0yj8N62/H
gJQmXGZ7rCESXvvi2XsLytZU/PJxrVteJ8P6gTkRTViA+wLl+JVLBOv+pOz79hG1uOL5AtD1QRpp
XvVXXF3C9DTE52z6FogbNDZdBXaVXcBwxdzr5XW0MYtyG0fshFC6dPsajQqjDw2L4aUQN8uiNKs2
qr4raseDIdKwze02fnHpgu8OWnA5AbdsOwd61toCv571v3q8wbXRWYRzy4cIPRY8MJK8mGDAw87C
t4YA3yT9J4Z9KR+ChE/LfpXjtgkt9PR4+s9y8VHnhQOAAwW9bHFjbEPeubzfEOgOWeUSR+sB0Uii
gLcg/JMfwU5OElhBOh+xtQhQph1LbqOCeUY/i99IyVFvXuVu102kJ6b7lCgvr+CNO8RsKORtOpGD
w3U0qNdeudDPFfElxMXFGH1p0EGpJw0tQuyYsUZ0VL+U7DfM3Ni0oOLlVOHcyZMjcSQWGDuIKKRi
CoCEpM0z55RBlpmW/9TeQZim0oGPHPJtXTsyf21w/0RE+4hgiYK6IXIr5XejQyD/vEATHL9TNMns
bb3/b3mH96/V2PQpXBfcYvU8/S9Yk9X6NdVXjWztg+ErhffQQR7OqSVbVH41yu5HN7yB7HBt0l2E
vIx1B1gq2MNfufvW9bfUvBqoVpG9US8xG6veAVdq5YUVSTez0Zbso1tSScnamIxwReb7Oo0ZVKC1
qD0YlMERP9MmJirYCNMvrzroyT0BPcWYueL8o1p8oV3BSh5CosFCZhFVRz1Ub5h2d1CmuS78fwbO
SzvADe0zPjuSVEOsijl91wwrEm+vdP/ErzmeFcM1VKdO8S/wqfzBvh0BWSbxOkJxPF4p/jSGLeLN
qA51zNO+NjrW+Gej2ihaj2PaaTJ1C4iEltP1Iwx9SLjzKt7YMCLrqXpDkwSyYAy1FTfiQBJgVHP9
VSFuWs7ycRllX020nwuRIKVe75VFpu766DPK1hFtIKcP6TejeBKmqc9Ktx0/Xk3ZpoutjApuSwZn
DQVAsw7DBwFBura09QP7Ia/7tpILABvdBPsU3WPrrBRPlncIZYVx7mXgXejF6DH4CvZ2eqm6m5qT
deeyPioSzbG6CwNuzdrzEXvhzdJvFaLXAOPr1OxM+SLJp45bH+EPuxuLaZ0a//QKZgqUYijH/eLY
+xC1I6Cr7dmoTzFDdqU+h+1xBPDVMWgggEqezySCWxmizXfsogm3jJkNi2oGwQfsOoUUMv2l6gVD
NyAe7D2q+F0BgRobPywq0YsRTrgl8NDFTsHikNgqMnH3uQVn49m0R/z2cKxYwnwUgLQhTy2Ezld7
lbSLbeJLYwSVi4vRXfXk6lMlqOpdfJT6Y+q/CDlSSaakh8lvQfI2L2Y9bJniV/hrr3GC/DtUvE2m
A0Au3svhGWS3nrQ8Yg4NGshtU95HjyfcKWyC6XrsyIspwNhA0C/NMEtqCfUwCqj+4jHQzpypZZGJ
tiDZekxfrWus7KXx2NscaI9aCHcGU1ZAIROK/t/IYuyiuEn2l8jasdGZezH+Rw1/iLQ5t6Z3lAlY
Pw5LT9A6WzkayNytKQ9LAQXy3zxWUccNe2EsTwmfA2dHcjH7W6SsRvkSinOhHECFUcxFZPiyXEk1
5IxEQzTLSHuhiva0VdkB+PlLLTdl6EtJ06IMF4x0Ch59pXgnnxMi67YODhm1dQC2oKrDhfDeDN2x
pmWNBrIOP2xOnXG86tkv/nS9dyekbmxHUdSrxZm1f5kHCMufaU7c0NqjRuJ8rrk2ZufOKVO+4TPg
u/RbSETH7ndSxoVtTDtRkEw++36f/J1NDQWhhvxgoJvIUEvg98b/bjHJDl/oU3j+AXVa3iOw9zJf
ELdFAIMj+lfMRxRveRX9pfknHyp74cz/bBjDQVaxZi1BAaAwPah/Y85GlpsIr7yGrlNm2fww6EY9
lW0XKwZcS0wediZvmGCadoUgao4cV3ihpC+ezHhYk1Ji4jMuN7ZxkxhYVuq+LNcyL12NZzVXN3j4
YsyPEYEZ8TwKPUzeH4UIKGmGREst35QxmsYVSuxR4vZj8OwDSGi7cqP1tE8Ps/jRaoNEgV+Z+cbA
KKL/4m2DaKGJf+wcynRvZUgdEGnwpu4ZXNkRWNcXuhH6NTi5GXO/nKiInc06BF9arKLUZrhKdgzR
3fLN5BcBGKzY57ZlON2RwcVN2DnsHtRnUDd72/5UksdMNksUUL9WtBxPQXAu6Lel1GZWVoJabp1K
PodVuxqKvxbBgLLSzG0EA3lCyYCqkIjjpTQ9I+MZDReILnblZmBk6mcTUT7m16BhCBvvQgGAtfiU
WU9kZHIYTXNosBtG+qEyd0URsla6VzFJuhoNi3w32R1HTy14w0dtySzZT7UUr0z5XEzop25IA+wK
x+vF09127jPUC1RRKt6DHL4NHE2WQf8xOKIY1+wELfhiOV0Rslta3vfQfKpM40bAiSQNjL1jRu+y
f7Kx3JTlX0UqDJ8AcwJvD1uAf8uwOHhgWLbUnwzh8iUE/E0Y3QI8cmn3YbKf8ZC7GE8LnSISYqyU
XLAxxU78KflXtTyJ8mkN13h0C2vbn6L0SAMDHqQP3Yn7Kf+XoaXK4y1eRqacfbpSp2vaUJa3jox7
B5RyvGO9ldQb9YHuTDM2k7Fu8psYnFSh2XcGjVVBzeAZmWXefaUoUvzsTkgqjvZrZpxZUzGq7Fhx
7LIBGO7KH67QFNRhK9q3vv1UgZQHX2p88pKNxuTaLx+9bjMtnpZcFI4u6q0hLoPxJgOBkO2vPMaU
cItTionB0UfG1/hdloLkUMq16t9IcVtYj6Q4xaQ+DFtt+E29zWxM0UdjpYSbcfiz8d2liEH5E/Da
6KdsAHfG2UyujopPOva/UV6QvzAYCIzWlL+Sjei7v2kJcncSJ3H+aPU2C75RwYbmLZ7bmzWwAk+c
BgprPuAo+ld13+ir4mw7zzn99DgAF2FqFJhuMdB/4y/FK9ol58x6k/urx2ebIuIXSPEddKxsd9jw
dFviaPG/eOTW6seG1VzETLmCfI8J/rOhNQ2wPXTk1kqgQILkEqLyh6wq8g8LinHqgPiz+jVq+za6
mf4e219YfEvmj84SG8Egq37BcV2H64AM+nApoo0q7uNE4digH3gTIXZft30VRDeolwENcYOyRJ5v
tpZUJLf3ryUMbUxy2q8W469CycoAHP0IDWKb3Ovg2LUcIfZK9u7MMIRZEqB6S1HnFFi/3DTc4HQc
6kvXeCs7O42Ghm3/H1qodd0XqLjqZSvsDQz2Vceof4pv1ixRrz/F7JX61Mp5bEt6XMz42hPc4b9V
+ywswNAWPz+tLMuaxUgBrlHAxFRRKT9NI8t3QmuHQ1YRMsiw7OXHr56SowwvkskWlbDHHGAgg8eA
3rlQXtVN9VkKP+t7EqFHJjuCl5Sek8tPtK4kH9rhU5LyDVcAxbzModKsaZohjFTen8oUyVw22smY
eL43lQGPwh2/w2mjBpT40yc8FYm9fT98C+MRgFYitoD8roVlniXpYA3POS1lXIedI+nuCJMbp4i4
T/meGekoNjW/iPYT9j8duJI5Azzp9714pdFWGT882CO1OPoKMd8XGiEJj1SPJQjlmPXMEVKW59mE
nf6rX2U2LCsUYCyw1PauoQ4peARpupLQmYyjME6jtovNj5Rg53yDnhu5gvZgRutlULxXODcoYgE3
LUw05RPvpTWHrT4ztqQmt/1kORPPq5FBv2JnBf9EMjEWMBV4j6s3YTKE+5oS8A/ePy09yPpeIEzA
Dt2hIgweeMK04alq+yyhFuURILyBZrqqYHYfdV6M2HCt+ev81fJDPc/j6j0uyiS4adjAVAqXgQon
ZrE4+rehvBexTgH7ZaVnJSfGdh6zruN2h8QE828KH7n1d4P2qfTwDNOV8S0jaoax0oznCPNinnwE
2XdkX/V8Jz78ZmnDq2SCDJ9N4KRlHKCkSMkRGap8nhSW1RAsQCb4xk1uZmoWOq2EC5rO2FP3fRfs
OlByEWctyTQKgsRZWT/7FRu/XbXyZtRcCaJZ/szRW47iquMJiFD8q5mTZnsJdxbUBrFUv1V1o9DG
Jd45Rv6bSWf6xhSVtjSDyn7KdsXOe8yoCxDxsWo42yDIevJOSU8lEPwD/pL52QTXZJKJAgO4iY4L
xBL5U22futbYLf1pP8kHpfstpRtxxKF64GNFgd2Oaxwfi+pLmvcfHdpZBn+MNlseBAvLmh6urPIn
9Ryjp8Lx/6TB6cUvw+PEc3UADppCz0WHEyg/RWkvDCQ3LQMI8RGryzJgrvBIuCKQnrsYCJSjyACC
PUYNDU3xNKX3DsRC4t+s+oJNjEGk3r3BJ679Z2yaDDhpINrNgLJB6aE04ILz7ZXPfxmZ4HwGOhJO
7k77Mut71vKjJ8cuPoIG63GOJ95OK//h6DTkb2tcCaJ0cXipratIpHBPHt/k79CeQTV23bMDSzvY
bwNlmaR+hmqxNpLriNGuQZUb8KMQFLGMGW0pM4Fvliuyx7Qj3Dwr2V/nUebI6qPxNjMbynTE9DEy
y6zRLbZUr/khG1xbx96RnlWYMuZGVDtSzzjB92a8D8SJvREevu+SHLFJY01MzMukXOgADXHM22NP
ana6i4uVZDg+3l95j9dQ5J81g8zYegT63Wr/AXUozMuQ35EnchiU6YEruYp4jZ2xony+tCX/DptW
6D4E3sJ+XdXlJgsOJe95naarQL0JtOUwBueLqAg2Y3PPmjt6dSCdh7LcNl9cq5xDkvaZN1c/oKtZ
JAoE5hXakNS8dcOVIb41Aa6/peqRK6p/GSqqvXcQVMvyzoqZlQYrzJA7LCcvg9OG0ATs5s0G0ZMg
kEW9dfld+UzjW9N2y+Y9Y9Mp86mSBPJSLO7WlthDOXYUMrs4jlHZh+EdBVHO78soh/04+l7rrtOb
zXkPNULtGDeriro8gXqU2doe6x0P9ss4yPY6K88tsvnQv3vt1lNWmblPmuYCsmwVMjEKfXiIMIUJ
AWvRcasshtdYtUvBQGpyZ13++KxMH6n1DS+znFD2uHHlcCEVrRM+Oqu7w01dMZrJJrZr0QkELtw5
r/uD+1BXJKOE6AYJ2NKO0nTVW+Bi6U1urwPcTW+vJ98xwJNk+Mv1S1xwRzNKqlwLAQ1AXhJNKxai
3SUOXt740SBh50D6CIO/SiAytfaA7Qriiu1hVRb2WqL0k16UCNZ8VWLxhZiaUrjILHYoBfHT50hs
MMOy8U67N7/fJs8gRBMrBICyK+ojmmMJySz6sAHmK2qbSn8f4XZ0KHtt+2/IdhNbDMv77eUPVR0d
Hzq80b5olMcCxKaFvAQ6VIAWQzCESkLO1Wgn6U73MGCS4uMOdjiEGNoWyYrLvYBgh+JXYZpvkbnr
9NM343q9+1VQVAyEbzNpPcTKLjMOJeXhoD/6eD9Km4EvSB0hgylsQHJ9yzEz6fE1zhiDK0vePVDx
Gr9d0Lz3xP01DQWtCQXqLrRjwbqqukrTEZzRkqYaYwmnYBa4BugWeEpkfXuy0/EZzGJp4USgiuvi
yCOXsTdk7JObfyllFlMEyEa1wRXSf9fmeUhOgqSuNio4uknPAXCsfo0mDBTG7w2KufSoFguTymtE
DYs0oVzzgIvopMtbn96fYEqacugJ5YKZT218Ko8w+kHXLclOpC9l/0OrXmX0J4Ahy4TSTvMCUG2e
Rbmz4bkWbyo3Mub+Zi+GC18yRAVhn2bSSc++nrhxGv6SEVzKdLj6LTRYnXsVwQggc3tj1Og5EQtu
OlBYMA/lvacTtIcaDS8KaihOe+YLs+QC3T/nS8F7kAxID7onFpVVFd9jY3KNjqSQoXmoxjdGNnfS
cSOBhfWXkrgJdNAibxajBJB/QMrGP5upgu0/fxzz8jD1EFXnHyZiBrKTLqVVLHMY1h3h6KTetLq8
Fuo9rT4iqdrqzRNvdhW+vEznzkJtal4789WGODiZSWndfWQem1BGt56ynpALKNGprf+RbOjUiOpU
CgNUgoM/brRIoMUOLiXp5RUfv83gEDRpUC8lIBUFwkRBeRbrn3G6bfNLVR19rAchZGItyh4J1n8b
812puJJ3SdA/aqkTUoDbMHZGoroT1WCuNMubGbWI5wBenZjLZQ9Qjrz7VdCoCwFXpe2IQXRL9m4y
abHoSDtISFjC3Mn7N5KtFnzZ0OBYFbKxrQ8NoVpJfU+Jl/A5FS3dHXw3YmYLDHjRs27E8QAviQgd
9CsWe+gpMthjsRjC+NcThwvUk/5hQ6TUtptIqPIciyCFkglG1HCG0ePgbVqKHh0FYxaNLCy7jNej
+A0Ng7JDRf+CbnF0q5FViTHhfGHissJZmbHlE2OIahGHP9YpRqgDDAUDD6xN9aNCIgW8ziN0xEbm
RMi7suGd0JjNFN2GkL0qF0eM/geDAeJqrGOqvlQVbPnkoQmzfYMNekZmthOajQAzQd9afysevIOq
jhesK6JomxKAMtpuPZvyH/7411pXDFa4K69exTnI5hY2mciutvSSvK/UOsBZXA7jo/OuifIS5asC
mkd3MJ2y7BREn6p6LUiv9HnhKm69cWAFyXKFcgRCwQgfK+D8YWZYqilX7jue6WWkvMnJXTSfU/Sh
2MeaNdpoPWXUOqw8I1bdeuktfRCfC5U5tcr5GHBvERjJ/pCRyzRZp3Qo1wFTr7A+zv77QkbFVf3F
kXUfZ5VsQCxjGv7YBTUjfMKMrhpawqJSzjLhM9a1T9pF3883GFgP8Jxxcw6sYk/mqB18RIjlVQ3d
oUQ8U8B/gdqgS6NNwsywwydGHtwyZdCoou4zsF8UugZYZP5C+6eMp9/uuGfU3BkkyWGvAKKbVbTR
MMGkbynFhkAHLgwFufhPV7EiqxufE1s75H3J4rb81wCZM3kqwJRxUQNU10LwVaVTttUGgrcTIlQc
Ooqa0EOaudGrYx8JQtviu1L9RMQ6JqQRVdV72fjEAN2ICtGbTT/svKw4hyLGq2MtZJZTpUbz2o0O
SdSMcz7z+UefP4y6dUbb4C7I2IUbNorVua0C2hIywFB3harzRTQAYZvuX6pFp1pX/iTUTEH/v0Bl
2TK7lKw3zTiTXQCKhgsGXoiuNQhPB3zU7SpBjcDU1LCx0blce0GD+47FRwQ0Sg1/cUYA1aRmCtCn
b4W+V9kcIEn1xNUzP6zuICKO234t6mRffqjUNhOL5BzTa2PqSz/+NLv/zVpkeUtge45kdpdICLta
A2JMUkscuSGVWy8FC4+mZwIMYNeYEvt7GnNBbFKmaYbFvnAiAklQ/LHWPNTK3BtehXEJe5udMWA8
KHr92kZD06XLVPzk+e8kxzj/J/iDbsVmuS6+UTOepOgjQH0uvSxKOuqzynJbNL7oP0MfYRFL0a1S
8ZjtiwYckLaTG3KT1KPsf8nsqwtUKvKSId2l0PTzqKfPjFUdjYjIdi3o+wQ53qQQJBof9EDMmQhL
GU2ghW3HzH/MYnTb4R+ImRhzRIVAjXEMe/0ZMq+dJLHu5J1laPs4MzFc9VTuGl/2TAYDGkBNZlXQ
KoebYvwQ0TYh74Fnj/+lbr41dDck27Kq3wFt0RgdDv09UmcE66LRGL7phPpufBZ3Ad6fFS8BAT/B
jzleKJBV6T2yMBIxArFQxSTdoyghPciPPI4AjVFrwcmd052YAHjpIe3fbDXGmEdpjhBFXeU8TTVf
ghJ+lBbXCXHnfYZQ1oIU6kbJN+Jnv711xVWUgPv4nZOlhRwAi9yiMbHCo9UWbMyZR640Bcz+qrc/
kBNEmbbS2Iiufe9hSQAD1ZXM+S1ZnQtnexEx3IKhErCs4MiKrVUGhSrYxso20A2Qx8/BQ3wGoZOt
FeuYX8GzXuJHyM3a1bFIktDJnzQC8GfyN8R326D77Pm07qhfK/5f6W2EfJHHfVrthn8puD5rlJYl
cpG5l2XLptQX8itRfxB9dcgzNOiXaULSwV7NQ1JzommKuo2CYahj8DeETA2aU9z/Cr0ERIxxYG+q
hEgr/LQ/ecFeemaWJVSsvVsx1BLpACJuBT4SM5Spmwsf81QiT45pdetYoZ4iRziFMYiasnZG0Poe
9oCZItLpG+RvKdJAX863pvoIke4PSb6a/yspw5S8wccU3RsIgf66bI5ju5Ms5knb9JFJ763/PXsM
+F+JoEtzKm+XwsuqwcJMb1LoIuX02f1oPAJXfDpWcTNDtJMwzSsiHZV5BQhSSwNypWLlGJEjkcN3
xdx59FCr5Ow/RsbRMR1v5penKZ4XurBM61F2UUO5AZb7BO8BcXZfI01A07Xbxk5wqTNrUhjGBsmW
d4psTp1JZXnx83aN6DLh0fCJ19szxR3Fes4nAB5HKlUPQOeMaSnQ3IzsDtkl3MuOt8ngGMklIUHR
P9BAEPIwC5ExivuEe3bM23E3EsJqoclkhjmsdAb3DVDNt7ZYw3vR4zW0JmwjIwuYYjOqrqqh23hK
uNzvannO1WWBtycjUcaLYpg9d67QdkIV8c2f09XRS2b76svuwKKFHTC+F5QZNhHQtfad4yItmrPR
bqvs3qAJGP5qau2q5DKq3wlzW9AtEj2Q6HN6xk/HhH2oJm4LUjua/JiwyK85sGXzf7ToqL0m+VzX
7CnUterbB7ppJnSCs2IK1kKEq7Ka1ujVcTdog4RC5qnSAsXR+xh1bl5d/YQtkr8tyNiK2c5C6k1l
bz3oVA5nX8Wy33OVDEx18Lo2N5m1syCzmA9Q5QMT5HayGU8ZFz+K7t8E3raGD47jnYicUzc4jX4v
Efk31tOSK8rvS+wfmvBoUgeqkk2BfQi0s91cdJP1iry3s+dgJquRTtooXpoCYVUmcRtzK07IMget
mPjuDF0ZkmOqXSvtX8BaQlKexYyy73c2lkc9/RJtygwuQ8B9JLOZ/OtIoxPjn6hJwSq+0oLQNpgM
lEsnS74mJLRh3w7f83hDkhFTGIS8mzEqdkzpFO+So4dIsFNJ5q/NITHSTFb1vWpdDawwDhBA5ihu
oIqBb3yLTLet/VUWxPecHDflMoTHYHohGgjteaLe6BXZZGLlm6SW2h/tePX1U0kVDkPenbINLBbM
TJqOQw+p6qzQ8/CtpwTLv0/MOFpePGbqeKl9slVjRzIaF/VmB4kgZAruZRTHeLdQmSkqkg841uo/
BTRN1Fu4N9dKsQ0DtvO+v5PDS9D/xKj+1UKlpIjWls4GQXpvOMgVLK2GP3s5kQLM/Gk2H210lhMK
Xxen2bYLT5N3s6q7SRyEkaH6AQuanxmYQU1G4Uk727Di/vbFPEeCmY7E4y9UVwkxSd670R+7DOkQ
giDdBiiGUj0SN+nDto2V7b8iYjxL3hUhLdFpEc9mCGyby5KFX8aWItik5s6Eupsr6t6XWGDrNBa8
29HVUt5ikA1QdNxGmgh6btykBtpVKcyQAUwiwDMZzCpatS6jihXbr0UjhEt/YSJa4LuOGzyofOAV
rhLMDNxJaG4dQDsGGlXjJcD3hMPWM3al9z4Me1FKf+zP71mdsYo28NlziRD7IJOL6nMUEK62MSyP
8wX6V44MXuKXVvFry9sg/lXCV8sKbTDHbdvvsqqnCe1cwjbXncpeglo+xHfRMxgsSJzIU4jcbVp/
RlKI+cleJeGlsC1og7qJNJ0JlWJ0G0u1t/PTW3zWzAaILUerXDAdmx6yReMtd0RWp+8Tu2E1/moR
1hRYeFJUMCKj3kCKkXgo3gr7z+qO0dCyJcTEpgSscGwHcedXyBjOU4JDo6Er8xnweZB/q+44NSPK
EoD8TMRbjBW+Tn4ZYBrP5qbShnrfG/93q2QB0ov5nrEy6QdbMrWkrEJcj4+mHup1if7EUPGpc/N2
7Hkpu2JRf2Qwk/AHDFuLWDRVEWAJcHQM/BiTsUhEtS6mp8Gcl3LZf5uQxdikAykqnGtKROSNEXN8
TcUFx5OWaPUOAczKrI1NOMFDgmxXNiZ66Xk28ggnMN2B6fg6caL4v9VuVcl3fQgcAgpp5Z8Dj7/K
dLAjJo4wtMb4g8AArCM8ZjGB6BHbmjTr/2GCY5xWe/fAS1fFYLhjnmA/MUfXN7RPHUdrwibKuks5
M9lk3WM1TTk8YhT3ng8bE6dPMzB/BG+sIfgPLV5tc0s7RnXO2hXjisfHjBluaTYcRXX1IaFJq7CG
t97ObL+5t3zELzkGhiQjvc2UnyH7L6BouCpMZyIFHq25R46tJIprNmkES5fvOGvTsfkpDcj+Qw7N
IMeeRMYgosg49FZS8zXKgDaEdvB5OzNrVg/724SDJtdTOkNMDzyyZdm7QcN8nl1FxHXe8dDkFR5x
f9swQ++br7S9EBx0JlV8SST2wsT0bSOz0qvxlBnPGbIg24cEHUE/eZh226WVIHRrYlhPNuESAqmH
bwcng+2GWf7wD17bXNvK02eXY+hkPlWlbkMynZ2PD4wGrHWymWTshAiNPIWRJU7kuLL3VrqXwZcZ
pb1uk/BcdszaUunTqkZ10QGsNb8C1qM+XsyUAVakLTWQtVKEqD7L3RhTut1tjOzQoagY0q0WtSuL
V1meNj667TE/SkhHbIZ3KhjnrP8p6NxHNDZKh9MbODiXOb+7cFr1DHvPnSoMvqQwmNCeqwT0dX5v
4Lx788c78EfEKNP1EQHH2CIfPxUI0okxX0S2vIvklBSZaJmp6S6ZmK6gFUU/lbcPPoYtWXcwrrhM
UBdoir+W0gOhN4zX4JgX5YQlZiZytqswUQ5lFZyrEfcPNpkWSqdhNBulZ/qrZ5S81YWAyI0623nV
5Jaaw6bAICIQNeYsbtXmZnA92grNbkd3XwYFcWMSKfX/0jEZF1XbncOANEwYcrZs08KtYRat7Dpd
0VmsJY0qiU7UY19EbdW1rMcCKkn94WEt9GpO0dDqVkqpHej/3+KAab0F2eHYQqamiFrZiB+ytlhq
tKkSloKU7JuxhVwL083QQMI21krSYLZjuAK61MK31jRpK9H5thwgT61ft6r93dOkejzLkVD+TezG
uDvYtoqlpeorduaYb5YyFu5coz3Q4o9IL54BTabCYrdJVWYWndtgxUF5uei6PxN+31RSOAcltAjm
+r5xVvpoNSD7ThDqQHB2Z2c2czxX83t2n9QPyrpJd21uOHr0ZjLWl0hgTMZfPYTMq/2MJbqPL90C
R9NCvNaio42qWTKTx2AMr1E6IuwbVLSPVkKyGwTJbp3JxZNEEWTtfY+TUfg/+RjvO9+e9bGrrCje
DPOtyXXIODVg7NyHhAHjp7na1cO0jqaWI9/6tCvisAY8hz6c7sa6Fk1/1RF7e1zZNfewhtaufdZo
rAhDiWFdp4/eNPehb29SrUYWwKmWjudAsn/HMoSchzR5QBJTBTgX762NWTOn7gXuRDCwqiOXVGcr
1T3vJGbb+i5szE0feWzSUTaUoONIecC8izK/wakX0vaIX1ityzyidZ1FDVyPcKiFHtHhfqjaR8x0
So2/W5NRe6T/kS1L96QAtmHZ6WPqC+tNPJKl1wTEsUb0D2eF575tgS/g7sj9rwkxr+e3IxuaCn85
aKSguKkZlhtJX6EYwc+fZT/MyoeSrMj0t7KtHzucJVwEtij9SrBMZFXAvtZ2coZrIxa2vkZRjQPN
aCVCRs6tWfFdbyTUvhovj8aYIu+zWzJnfXqUa+Tsdf2z4KgsO87gM2tMmfVboN1Bypf2odCpXKqH
jTsoonsJ9lqLMIYwgFwwf35F2MM13yN+hD6Y7XfY+qzDjrY5b7VnfVGP6vlvLL8rAVLVv6QxYuAe
KzDn9RyLkY9gqlvwIAQBKUzqBtOFc0+7H9H5AtEoQ8vpVe0uwceYEFDB6F51bGtT/GoG97KXgvT0
ws3ENjuYl788GDXfWQXSTw7lh4cpoFVlqOo9wl6xiYgdk0rzMIXRDl4hoWLzy022N9jXc1oT/OFx
VEZo6gWOPd8GccZVYvudq8wSW0Q57Nm1v1prFzhGS7typtx6dfGQMs4y11R+BMHFLFkhdxKBZsCZ
RqNq69chYFjA4HcyUQXxMKoYZYfgVrNd51/kufwmeWobNnDAea6ZyGKY31kQiKoGwLn8IegLa3XV
o/bWS7KzM9g594ockhqrYYERqWw6uJfmosi+Jx1XK+PdWrNxu5GKVtSugXfBTKHrW7sIB6LCemhI
S7fCEy2n1XbUI1rW0JFYbBfqPhmvnt/sa+KU00o+atgzRJ4sU/3oJekmJCIdMt+n1jW71NKAYLRE
o+7iOYdOvxWyyioQXSoDGrVL/0lsFWNZ4uaBhp7OycL7mves1BF5IUdSccT0jB3DWGx6P9tWHfp5
bVynSCbJjHFi6j0DSaNqheuihqxVlZ9jZ74nxohI6ydnAqkArjU9dRk1rzTXjpHO+pnDKrGbG3Hl
K42td1uprD2nE0C3RciAopRhIfT5aVbFxwD2cgYO4OpuED8IwXmzdJrkhm1io6y4TAkN1vaq1bpg
Bar8MqjtnDnyO2cnD9SzlXwbovaiUPNkk0lR16wr29iSxr0QSflogp6+4h3vHujVxDGpWvKydBTR
bUeKE7vxIKc9Z6mZRFVoEbeoUt112Nbiwt/2xrgXsrUuumxdzl0PzDrKeRJiyA+weDvYkZNOHIFY
/4+j81qOFNmi6BcRkXh4VXmvMrIvhKSW8DaBBL5+FvM2E3OvWl0FmcfsvXaRine6LVQpYp0gLBQq
fsTha5jrF9tHBsxMrx1JWLpmaAFq6sN8vAWCmBw8VPhcd74G7oyza+RAS3D9FYHxamCzZT8Rd2R/
si8ziIIl3G9dpOU6+J8Xaq8oennR+41VobAIiM+dykvCYMtqVh6vWKV9dfmz5SRAo9lSkW+qYsAg
OANHca4l48Am/xvSaV3RLLV6cPCjeONlxUU1xb4GzuDxcYccEBWYo6J5R3FKN9De+PATNFIWorm+
m25WeewtShAvZndNUaVBIfMktWLhn9swOAVuenE7b5kN9G0kItaYXdn2JGmzGWpznZBYmBnJ2kK0
6qdibejuPozBqNEGCwYCOjcJJnhXGCdgs6V8WBQS/ksSYx8NHCRE5DhUND0Nv+Y/ljmeES8UPnyJ
bIsV4mKoy4vCqRkC5CkC0hrYGgYWqwGKYpftxs5heVBVA1pB/Pu068IVxJWUm0LuPfSsGSarCmaW
jdsdyAeU400Al8Zx4bEUbxENatykXPWMirifiio9eKRSuU14opBEURecY8wuVl+soph9lRZu9dHd
yrZaVdTlgPaR68pbG2gvDe7blq3AgAF6YlQy5pzFQbdi0a96ZiEigjOnrwL4KaJQvMNsZVcm/4VI
sIVrZtvIYq6ign1F1pHjQGril3IsrGSvTkt+A9JPPoNU5x3Bd1ehI/cwo1o/Qf1JfmCQvOlMHIpQ
LH1QDAVwKb/cUhlt4mB68x2yrSLF3ZkvQ6zetvndAAqL2OYr8ciLZSrQ+cEn7K16oSaKw8B5nmyN
EQGxNDbwHxQcs1bEHRlyFeC4TEDEvlp3DF6DPvxoSdpMc3SNecOrgNQZNkQA/KNBWIHcYGtNCNkz
SjH8OlaSHWzH/2da32lJVR1qd990TkofNsocMKfrq5HSf4i0h+YTStG2pzb468Z/ebxsuRyTcK6P
9IPrazDQPqX9kkz+KhS/yvnV7OAm6C/meb2s/0xHLUJkEkMmmMea+9qjz8maFQi+pYnTRDAnyPmr
GubVgEs+5GyOaSdTjghsvBo7XKhuQPY6dHES+jD7Pqw/Vg1UE2lSM21phh5O5GMIw7rLlFj6GZ18
sEwl0ApPTe8ucqce02inx6cRJ0wVDZtIY7BZW3vdbHdVFh1s9qpD82LJczew+RGMAYPAwpHNGhW7
gwNpCI/VGQfeVhca0g3/CisQxjbmSkpxFA3b3OqPIbtjL8WzEGOcNTzMRAX5KMHOReuhCySjXcH/
KZOrJmu+pnHYuUxWvL7eOBOaNLfjuuDTHslVAIQADP049vWr62X7xJuuocEMzY13FjbwEgJzL5hX
TvGhRzctRqJWHZAMTrqxSxxLw1vojQ+KPiakYpX60GpNpBBWCQcitgv0CxkOdG/vw5oRmN9DLJhd
QHZG2YBZHBgEhahSWc4iSDZSHei9vI3OuaNnzkjpFUHxJ6GmP5WJeQ1Z8nUEl0gmndlUb4pKPKdI
HDrfIBL1Jw5f2JJvXA27BGRHWTeof+fdA6yZ3oEmZx4a/teaxDoKTow156Fl5WJxRihEvmqAshLp
SMrTs6ziBy/9eZyiN89OuScMp1gM+qvOVN6oXxk2bd0S8CqCqIodVY5YS6v/lQT+EOa8Bdz7O1Yb
+NvrCJFf1H7QCVK9hk8U+hiLkJleVESpbTooYgpQRnhqcRll0O4T91DqP3W4a7gbeeYO9ug9dNLY
G+DQ+cAnMEcZ0iUE03To/eFfmzKwx96Wks0SkUmph5yS4HtH6hbP/myreFOyGR5LnK0DiyX9aY7D
kS63EXq+KKn/FQPZnQ5NVyaz9YjvQDCk7iPqEY4fD5ic7vwpxkfaGJ4CuAgNpIMq1u9CnymetNRA
42zrjiwXT2m6MMDMtx3dKVoCG31wIv7ZCL5CIbBa1lg74K9a5vMgms08hS0Mp9uQdzu7scDWhbAv
HkP7JvDWxvCAgnGv19S7gsu+gt3CZvMY8abWtf1KMsgLIs5r0OLNcfL50I6h6cVHGp1nN4GFx+Kv
NZcuhapGaA8rsiddMLcyGBkUDDeDyNwITT8NnMfxCCZSuX9xMa9w+WE2FgiLtTOwjI+QmcCAsK+x
0bdD3hm19ZCXt9pnvhSNu4T1q4+JN0+KfWixmWsbds35oiUaTOI40Jx6l+sk8+ExHRW9deT+GIV6
bThucs2g4LLQv5nua1YjcKS+LtNwZr2wAKsPZngr4JwUYf+cTdbKk9F7CNTRK7PDkMtbz8ZAjNlO
a3ja5vyHGr2Mmb7wY+7S/aqn4RQ1LgOhagFgf1UqXtWWyCl4fMYwrhTbf2M2CLnemxXRuA7VvgAU
UWfIU0z/t83sGM1qB2zHvRFBGONp04P8teG4IYoAQXk8Ha0UrB+fYRkKgr+KVaX8U4dXTEz9I6Lw
nkZ8Uyn4nwpIXrnmldm5Q4hvoZ02RNdTsDP91h2xFuZra1HB6SH+g4wHwpHo5YxGvCXNFaOZnzq7
SpXo1SkJMz27kOLwbKnvKntV/XSoLc7H2j76puDu+Z7DXGygfJW11Acsf2CdResfpmHcuVUNTM7X
V6plrBRh2Q97n6wAdIqihUqUn1soC37mY3ugbK7ru1EgaCnijSBiT6ZIIzzmp213MF2HKyQkyaSj
UKNpsFGsBn3xqEZn6wgEvw4AotreR/mrCJCizCkiRCF0rn8vwSXVasRDMC/6GiyITKRQcIWmvU6N
k5qc17Bpt9I0z33sbUx2jnYRLXRR7Wt3WFtNe8jbEhkQEjNGln91kB9UzXM4X4JK4h3O1hahVubI
QsR11qpqXlX6FebfUwvcpC7XAL45htgyFf3anMJ9LtQuTqfnoKpWPrpntkBMvtOFNWH7wtlsTkeT
GVjQuSsuZvRNOWwjYi71z9YnW91fetBJa+GeDcmeJBXbDrlKnp3igMsk7Mnv/cdDgaGH9DwoxsNE
CwWdkXR37mD7HCZgKiG596G9Uz4sRZYwJcSQWnfR5jA2HFODM1bdPHb+imyWKI43BllLmCUsd+4a
ZpcrrOnikkcVKxEWgBFptqJUuMv8E0iati+vAeJB7tr7KLulKrAT2CG7EUrfBmDQpH3ndKUGMkwr
rI9Z5G2SxPkJFZoNIbe6NXEgrrzkPvcgiZDv9FusETKWbR1Kks8KZdyA2HsSal/FDRLj37BFke/i
1ZylCC3aF73qL7nAnqKLi+l6G7upcHIN+8EGuZ9GJEGw/dZc/dT4wS4w3ZXdy5umOxjnIHcwUXXH
EEPa2SEZfPI2nQ7W7qPQ+1VWcZiiVMyYGPY6ltpyG0qUsJTcdt185+qzQSJd+F82o+2unB7+xHrb
LTeEx5HinGWfKTdyFI+YcoboECkGtEn77TjRvWL9vsycDotPwALe0tVsQ0oxQAv71e0vXlWcQj9d
DPndnS31mBK9+CjqbJ/jEO7ZAAFBYMLGu6YU56Nzn0knBZy/NNmW9Xs2JQe3vVoQZOJ0PGH22NR4
GnxnuGTJhKUTJwCicdNSmL7lIhko/2awgPI+KiQDZqce45gfXGXcDWK2RFi9WhEzssFZteiBnkYB
TxCoq6NQQ1JYBnY+O/6nWxRNwDTym+7WaBmrX60OWPYp5kTJjy5Lyj/FQ9d1NticZHhHZUcaUshc
SMYeww6rCYihCjZJTJASaZYu8IqySjcCLcpUn+uxuJo6GVeoT4okf/YNOATuKQ1j8FUyJ/4u1ShG
rGMV/wsLl24WUV/Elqa2szUTvP2AQ7IvAbnU+luUM8Uc5aw2BoIB8dZKc0IwkPIP/zqLaTq0upUI
ur0YHaY/1SYdQwzxgMBb41RL/EJ+uQxUaKCjoUqb/FNU9DcLCXDC0aaJ9hx6zrVK47MrxrWR2ltV
dNyfHQ4Ll/iai12+TMGzNlLODO6l9XSs/7gI8uqalOZhjOTOw701oTGWhvaseS5WSQbDRF2afXdJ
IU43EUx+f/J3Y4is0QRsPc+cyV5INSyYdFNa051CyMrxTAsEkgcxmos6P6SDWDT9u5+1m9DmioQe
p9xm0ZKKGHMM8eexZELEHWWH2YheVwKyr7GhPp8R3zpHV7hJu3xna/ZZ47JWYchTT9Q5GKk4ByhJ
RpA90BnOenUu+cREzysYTKKVGCYKvMheyHzWkqOdMxPGiy1mdg5wPdzV4t9IaITBXi1LxM6HgpIC
LIY/Q3q3ueuMcVtr/MjcwGSB/syGfxG4AHvHCPSXukauF15L2f0hwtvK2H6J6lgyXaAXw5SLPlWh
cITa2xnlqzfHeieINTtkVMncB+Nean11ofJDa4G5zPY5u/hYvzL6NDm7XTT2GplufRpae+yD4KGV
8pej5DI29nlMyj/LRRVUoM0U9IrOBEEqZW9akhHfe77BoMdgWNnRN+bcEKBUQdu6E/e2F5u80N13
OQuwZY790QicQ5dWAHY9nItRHb0wSF6GZYg3C1jwE3faU1dhHIo/e/29Ge91NW36IGVPR1CqKndz
dBM95ZNpRmvXHX/bsOHUo1Stm5pIT6joekF1zH3SQ0KHRI4GRtIDTjFhM0m+06vs0bhvhskT01A8
mJYLUBk+UgCVyUUiMkgSahWdq+axDY8b75ZqgPKMZN9zVo2wHVwVHqzMPOcE7oBpslCz85vHgPj6
sP4YK+PV8onDpt3XcneXtRYIEtiVgW5vck/bMsBcUGNvbahUiSc2GoUw4721MtQjKYx5vYeDAUMX
J66WyX2cjCwwHIZNxbIN2Wdm7V2y4FtHvPmFUuuRozREejBK6ywB4rdu+dW1aq87tNq5vZyy6pTD
zTNZ/hbaX1A+UqLwGM/i08akYxTE/E4IfIg9ovliYIib30LtqbVgG3FzFgmOzip5dOT42GVJWGux
TyO19epvRZ3fyWnR93eH2oZuBWc5wrc2vVX4t/CkAqJ59crhvZzQAikiz+07Xe9Hiacv1o2NiTVZ
yyqmPRLuMe6eEK4k97U2AxXosPr4GLZIyZJZ+LFUgDoDizwwpz3KsLqlibo7hX7TCqjDkwmUBNyj
cB5Dpr7ssNtW49bDHlk32rLqqAFt0je04KOSzmJiN+sxcBAKsydjqmTUkSWMfNOtzrQh+xdrHrFI
s09AxP8IIr/1I/7zTvdeVNV/SrhlT5GcAen6ARYnrVII12gqzBvC2ZubIInXBhx9NiWKjl6tMh3w
VR7uLfFZ45DO+ABz/LClPsB8m/Dg1NWzdNK9TrqR4QY/EOCPLOLh/oY3H3NIZ/FtFupam+5zbRK3
QqaRgagahciVi2FgksVES0P5GueX3C5vOnO9ZJQak/JgYzXlwS5I+6xoD0uk0chMbM3/bEy01UI8
tFY/eSYONhW2BBzFGxNNzGRaZ6vwNmGUbKSPlAi5jq2otBLjAcQfkhFsMiY250Ew2SwcDocuYvch
YmoImDeGbO5Jba114b2UNY1Nmw7rpgupES1UZWSt5PanjyIAb9dvTHlC/MjV6SIHE+2I+xnmep7o
NrUCEpZQI+w9AFAdzrlDXSzm5G1oI9RGtH9l+6LL8Nny+7uiCWWgCXrRAAw3lMjYIafx2W8kkKaW
wR298CVHCCLSiCmmPPp81ZWWT0+DTyCeF5Z0h9lGb9uVQ00rE+3K1IKIwB62MFbAUb2Vkp4ZY3hP
gx8bPZAlyr7U5lBsk4ieRb3Ra/7SoeITQmFWVwzHaoj5KOSZPDKjd63XmnVFhu8yG+Q/o2f3aZCj
Uk+LIUNJHg5Hg12nBr+YD4dmOd+N0bB2Cn8lLBuPobuKfI9gamAVUGZ12hVE0ssJAoDWGUsH748L
5dVCquIw7upi9676rF/m3hwLhlal8t9LE1wgZYcjJfun5osb1lnkkbfr9Jr+Aqd4PPgJ/vUZSU1b
PIO0ZSjufYZmt3LOOPEIvw3wk5WAMf5kByOreC/aipLNPDbWeJCVc6jkdK7y7Jr36SbI4Y4ZjbWL
zUcEC8hsEcI6DC6QoFtsYxdjYyBQcA1ny2TkWUbmopznjH51YuH9m1VgcF2wW2VMMlw+dSeUnGjs
8+RcRyDUCwIAMs1jT4XwteTsXE3Surucs1FQIqus8IxiScZwlycQqkrU0InbHLSmvfalPBN0t64o
JYBGme9VhlyiSjo29Fq6KBsPP64DX8NYlX1Nn2oWd0cxbVXVhanYGb8LRgH9tTE6gSaLY93t6J3K
xKGXzL9a06nIuPDY14p6b2v9WzkW336illPhHFozvjHiZqYEnoWESeC+4Rr3+0/vs7Zva8IYJa8h
Zm3+wYWIYLvlu1FN+7BLf4swJ8xMO6Ro0+3K4VGIr1aP9J//yPKCiVQrg7XuMirKw4NNSZR4yBJr
jQVExPBd4kvkgCRmxIDqNpEVLFMWTgJLWhhR0nqUYiWubL0Ovru8OKLv3zbkGIQmclgj+hWpeq4M
wL+lNm30FAWzP1qPyDO+eht8ZoKca6RMi3oXlSKVNKjxsWEeQ46UOzn+09Ax6SxgxRR2lyw9Me2U
qYigxlRmSxYNPnxi/DwBVrW6Lc5GUJ2cIf9L3Z6sb/CxZVitUqMl2M+u14UiXkxL9jmxxFw35Z46
FVcD0g/d2xX0NE7zkaENlFN4aQR8axcSFvMtPSO1PvMXlps86lRsCPqlwIf2bJHWXcvmwepwZcDw
JlwJV1IknnN2iZPVLTUdeZDunA1BfVmOWEqMeseHh4hMW6nZGZV2cs146aAm4xzEyGUoWJuiPxnC
vJcxB35enKLUX+eF+Es1dD01aiDPIWTdkCGu8GrtQzNEcoNXVGe3Ro2iPHRELhpVplkGIrbsaiMs
exrZh+YuizameQgQ8d5P02NwIQfKUMOIL7z1RHU9IJTSk/jguqyjUjZ/Qq8RFA/3uGnPiX/XjWwX
iv4Qx9YPeWGr0kkOleBCrsXJaFl9mwRZuejjgFOGVbAYvOoj8qNHHY6o0uxj6rOnH1moE3uL5gRA
AeJwq3jP3ekxf1SlAv4myjWvAfZYrD2srVJGl2E4YLQN/5oA0EKllZdO6y8RJkvN54pIzJMNxTnp
p00S+XQwBqaX6K8vwW0blmli8Buo2dDiROV50OyHZI+ldSxLDJyFgwd5BA3FU5llzLo9+qTeQI9A
oQV6zTiMutiYHYqhkQA4i5skau1rN6ZcU8BSBnEjpPep6O0le/Otk5HSRp38VBDVWegdwHSqGBTk
fae/BT4CffbJRFT7eO1wK0Eazp3mLGwGGyVmt8Cmvx2o0zFdE6XY2suowowyxvlRCozQrY06r+0x
QhazAFZG+8lzX/KEQDssmrPHCZHKTuLwaYT+XuvDo3Nm5UoZbIQ/rXrVf7qOxp8dbVw3OmfwdtEt
6ssGVxe8npvWsXyXjnUvgnrbTvC39HDvdPI68bmXNqqUHBh0ZEVINH48G/RVPN5t06PuMgoWe9lL
VzFydXxKNnXJfMkJWFw7ejUHMJwZFPcuTB7CifZjN73kk8YiCv9Nld5zsAmlBfyC1TVbGEbKYOsE
wHvi5rBzAmDAOqLCHcGENLiwZNBn9Tcbuz9d19oLZ6p7ufUSe2Wq7GQTGm34QPNE53969CAah3zU
2T4EOFSag/qR3htnxrsedHfdY0BMQIit363JWcQlXbjSbh1QpJHS1Haaq4eDySmMd2f0nyNGbjmh
4DVdCgqAndFcwcxin2hWpvWSgk/h6oFTxboIbaAxaudpQEzR88RUufsSszxysKY4Vv2LROstchN8
my+2Mq64dH5NTuIyvrOtPteJvbMHuP7xh53xfiIHKW1u3hpysKWOeo7+JS7kQTeHEyGGuEtfLD1j
wxmjL0ud7pi4c8wLKvEwJk+A9DJfMGy3EIGW43cdsAHC22pCa9EwBbIBfh5GHirXWQzlq2ZLXHcZ
vTS4uNrY9UawC7V/JXzAti23owMU3egkxSoUiEny7baw2nrvpS7fh5SPKBxf4x51NFNSHRBLmZGg
jLl0sBhslRE5IwQ3jdzi3YSjzs+hE8ELSQtAGKCi513D9BEnyD0C59fWOSsLAFYpqEACBQGjexZu
MPHV0A0rPO6pGomd7o5lCmq89U8YHs+Bcj5NroVKGe9eXTw1cByUl7yMukVa+49qyhc3BHCtWliZ
yIHZFelFv9HwObnxUZ96HEhYyUwfBUSalcxMs32pa4yo/JkutqoIxvIyAkEcwmGG5JQIkBFaI7aa
04FaZJURExQ6BJCgJipVuNSXpEGNZnvxVYXybIdISPXOJh25I5qTHTw7GFQtGyOWhxh3rWv9TPOy
xXEu+Daoz77rwfmXeu1lKucxNQqDLLJ9OiK8TjXzFKV+RsTNk0vEeaxZ18pr2KaPywAyhMmaBMa0
ZPdq4g1q6/ifrAqkknzlfjeeSd1YD8jVmPbvRqTXbUxyAo+IaL03UPHvWkMuFr6wEnlnbvsLvwep
Wkjui3x0jlOP1rYt2NO3xQb1lFg2I6uThE10gYj7qTHLAv8GmOk0jzkPC5A3sNs17TsLR6SHfrB1
x24r4vbgCw5mQyM9Op+GizZk4I4klVr+o3mOOBYVGzNHYQYuC/SiaUh+YO9LMgcrrBtCTu+tMG9N
JndVh4PWoMBt5B+mjVtUsWZl5k7Qk4+WJ2t6YhhKHzlLv8ESimcqM36tEcPa6GqfDYp4SkAnf5of
Do8+B8UDsoUBmEjRM9zUTeYHHJO3qZDEBrpHRCX4D6L40sxIMb1mAybU2eqrm9kxamcsANqhPagB
cojKjT23DX3KiIhaOewZlJGegY65ACRAt0/59K2V1cUovFuVMJiva35n1H/XJK+ORlhsrYpwa1de
LTvaa2Sp2236KkEyKKxEOVFrSAP8D5tpWEPJLpUG8CumT/YsyMCZ42A1w3lPtt8c1aDDfDNbPvek
hg4wimo3ZYjQNbdElm+eYpHf/bD+8lHJK1dgijDx1IHhcgB4EaflmGQHZzFNhp79A0O8nNI/T/KV
at4eQNltUMUX04NngiC2Scbl3Cc/MJHMdedayM0A+7FDYrTNfeKzqIgze5dweT8p/8sC0mxDKmgw
abl29c+x9PcunfZMIq/2UG3CNnpU3rT2jYFEVY15V9h72NPCfZoJKiINpzqIKsJEFkHSPuxa3k07
v9QlEEqqVVQphBajHEsmotgxBQzoPXyuz9SwPpM+XNaZfU8alM8jlcIIFipJFco6lKmDTnaeR/ah
jkXUM+qHEfsvmQGd2qv8hyXMFyIefhWjjkF6kFOhRbjRDojH0Rl7OGZet29ssRt4+cMsP4ZVc2I1
tfIEPldXO6vAW3g67nPRboMY7l3C+U1hjSWVNtqx3jML2Ek7Eo7GIV8FOQNoGyM3mjvdiSHiJdim
TQiIQUUeuxZs0zI6GCK9jIb+lhbEw0l9TfwBRKoZhwjG1XSZAjvIDKq+OfsdRlXwgbGeLJV70eEh
Dsx/bGMOYhDNtfPLDVf+OhqcXWPulW3rgEYy6+ToENuK6Jno6HHRk1XVFt3aGDIytZhqokzVRzRo
NgpcNTRkSozJejRtAmjkasjqo5my9uavSUJr9NxlsCwDU6wwf6ZEeMG4NAY6h1CB0J66GdtFCFrO
jHlSYGBqweCTemVEcD6W2sNE4TPqybGRYIuLELGFRi1YkY1s0wEujRF6X6pN+77Rb3Yy7Qqd5J1R
R20j04aYTPun77xz23SPQQfBKgvxYUjz3cvpA+sZEq5Qljolni9fphypFYrvIS63spjWTcnC1ojz
bYCZcMhDa60aZ1rmUfTSegaON455A05DMLwkY/ZiSvJE2NVzCHnaTJvhlJJlt7Mj81Ml9GQgfy8x
VflaV/564iByNIsqAKITc4lyVeIveJJ6+l2Gzs//U35jeo9NMmPDSfsLfedRCV+uSg1rKTGYOy8b
DsT0ndJ4+vJEgMhl8l68HK9620R78lU3A2RSbj5MUAOUszJy3zpv/Kym8MqMb5ORGlmrbhvRqyGs
7O6QjgIwpsGyK4oBFj3MI4FpuTSrm+XkL1rec6OPw6feutl2TprvGyVQXald2HCYKm/urROkHe3A
TAtyMZsXRrl5mmNSFBWauZleV0yLyghWraUeZZ5gHk9gRfQteyerwFAY5eaNmnjOmavuuWOzt0XO
JM1DrLy3fsTiGKSpmqPVONta/d7Ili8wgiVWhcXJSb2zlSl7QUFBVMegWFaM+GRAawrBhtbt6SKS
2QRbm/ot8ovmqDwg4/zJP8pkt1t7zqvTs5/UFfVrS6f/pPnlaw6DwlcQBeTAhyA0rVnrpLP6aUYY
smr/aTl2bIUDBkAPIBuvq79RiTxiMVpLrR6gOBo3rVefRVKhAdPpt60w2oYqZZhUHJoI2UWMyn0i
ozC/dEH9Y1mUMKmB89sv1Unq9gcP6jdVrmTxU4NG4lejpeBrHbwRB4INZLCKmf5BQnjEVueebaTw
+Kcyjes/A4fmJgGqshiok5G5EJw70Qt1yfWI2n0IInaHjNHjHFxKUWwKpr1xnP71oOY08rzyriOL
gdwgQJmiYsHkQnz2yOI+heUryY8r2/P3sv9umF4EDG6x08YBT0vyCcSebVPCkvITxMw1JJfbL+hf
J45eje696yRLnILHJAzXRYWFOStPohu/XBLQUrcCMN+xp7v4ujgPUq1FV160BPcK+qOQL4yfc/dl
+yxq+wlSfiXHhez16zj2B8dVUKa/IGctxSzdYIk9Ge6XFeZH4oM3Fab4nmwBhfB2aZM2sZeRnm9q
tHSkjrbfjax/KYpx+JlksvT4yVZdDKtSRrLYD7XDehQgk+d39WHAzfnc6whMLAmejJkSAgjg4k3l
jHu3zZJb7dQVBuISTVZGfmn4nE7gccH5txXTWkIJHMJjuxneMXDAtLhWHBrOSPg3UQR4gEvjL5/Y
eaWwPRrIKECu8ByNNxPJGUotVqt8pMeBbsY7V7Pk/pPTR+SbHOBM8+6oZVef2+mst7P8hCbC3iYE
n6eolBZg9fpk42baCpLpIunvIP0jNukG25T6ZXJ3tnw3vV1dEruQlyuvKZZB+VWG8Ee1tQFAeyAJ
yg23wCaXepqvAgkfwF8iHFZYgUn46dxnT107VAryE1cmuxK2Pk+VesWUygAybtfw0aruBNLKLEG8
byfWcXN0xsz+5xlC8Lo18AiwOo2KuzmyQEWlOqcknPN+Q9OO5zdFFVKEbyE07MBBj30b5Mrr4KDB
7pkALcDzKTM8s8g44zMFY0a/b9qnsfqK8VZFgU+7+acBnyRQgHHQb4iXqO/zRYK+zjHjC6NNXlm6
fk5Tlz2fz+NrhskiaViTa1wTLe+u1p4zZH8OjsOYPzPGJgASBTUbQ1+wm189uy3SCduj2UArLne1
z+cBffozMvet9samnkgwLTiYV4yjS7bXzN/JXmV1vzDcTQ7x1IqgAmMKDHclSHMYOPHb6DjboUGI
9mR88vXoNQHI3qpEcEkLhxb+MDAZt7hEWfHRaZXxZV7+1/VrRXJAxGaaLWNJZG9JfUhYBqB3dm27
rFjFFuok6hUab9wtXDr9PHheFKh8Rf4K01nnXSCyzGs+omjPY9y1GyYnJJ/Z/X7o12h+nho2aNGT
Rq1UVL/zZysPVXG09RmmVVYfRbIz22cJJaTDvhEz4VrUA+uRauEWpz57jvRhgQZL/20Y6II+MMwL
IRei+x4mNB9nqa6pubaMjR0KEso2NBlP+j+XJt5hKKy727JZ9+h4knnLg0Q5PbvFDZ+bD1CQljaC
+1oQeCH50W8peoY23s97esyryGcL+7Vub2P9W6WYSYbfitQDj8bCZ95DtFjDV5hWuzY505k12BIC
H+EBKH3Ql0XxZDF/od9BdpIfklHddDiMZaztHZoCHDJcg5gTDh6/0XSvs0PhIyWlZQAeVPP3gE/g
4hd23jDTT9at8WAcvEpskNqq8ndat2vany67TPI2mQfsH8hDeStCqrcbsCfiFHJmblq91EfO4AD2
6AQzMXsYBFCA+mCByPQI448L3OILc4OMXqmI5zn4tFXWKg6XQ4ngezu1myGkkulRZz+pSjxhUqFL
Re++mYVZbD0yh7uBp6+ImSsjXzSWhmSWf4MBYUIv77+C5O64h1w38Cta22JGZlgFLphu5bG5lOc+
+dCybDPNUH69eyKoA62MIf+3tc6xvHTfuXaq4EDV/qmZHz/mKc5SL/9McY3Lmxg+8EjmOFZRIgBj
23CoE/KRRl9pva3NF+aCNgfJYPEsgQhIn/m3pePifykROtLAYe1ITyKGENsc84D89aVgrVTRKTu9
t/YlapSVjsJU+7L74J4bm87mB2DxGy0A11QduO5YPD3F43lkKUUbtpIRIroeXHp1x2+7rAUODIsl
UkzWlEuG48YePiCRrAEGLDzcb6FNAePQSz439rWMV6G/SYAwTMbVHHY9U49pTmqTLwEq2XZquD+3
jjYvPT64eKP0K/LW9QBfsHqV1muJwEt75OlMk8DjsMi96qkOHdrgb2hocb9OAH867cHhjpmJZsTK
oncwtxA+yK8xtJUBH8wAEkHvOMZgVuDze9u2PMfGW8w8wYAtk2Zn1mIoTPbaBMtUXDou5KEj6cpa
9u0PuFCrPQzRiQV2WqJSWnUKAXzMcmbxH2XnsSS5jqTrV2nr9dCGAAGCuHZnFhUpIrWoLLmhlaTW
mk9/P1bfRWVkWqSdtraz6OpTCEI4HO6/6NmhxUMM7prrUdqf7XwdLz877xuSqQ3Y3IpKSzZf59Xj
NEmQtft0Y8LOl82C2F58Ow/tQ1Rf19O6w9HtPEsR00eLMbzpk09R/NPCaZjTLxHHirA1Ijbh1teD
PEdsYIw/gOdRd6m+x+XG8uWIANnqTMAvjJif1vvkid8umcx6Yr3PPGEVqtnyyp3vUJYEc1DMZ0sO
R+Z+AhE4EY44YlhbLtknGVEuxPltvjclOS0zkl00PKtwFck7FGw+tduFQeWX2ui7jP1dhWfkeBca
q6F4XwPRWW6b6YOgHK+/OxC04gHf0vco4L/z2k28IEewobYPUXdfLmeajD1EuA79YO9zh30TDfJW
gvQERK4vYbkU7XULAtBBABAx0qHf51CTi9US1i9jcdXrH63z1TgXI3YYKf52WtF5ORVfO5gxLujG
7kIkPwUyMkPx4HQfjePx4kW4RnN5wHah91pyKhTGmXF/0eEP6zj2U7ZgtoFYZrrujY9sNEVaUuc4
OhHqY1qhQ3DZBt3p5H3MHQm47KL0P/fdfY1Xifu5BGIT8jxvMV8DkzZipbNsehDXMyBI2PKlxMHl
USfZiYe6pR9eOhxetIJ4qJ14XDD5cBtKMFEUuwgtxZm07XlXImTPjkseN2gF21NGHsSE/aYlNaDj
SBkQeno9AWmG64DQcXHZ8CaX8Rfs1ar80iDImaaPqf1QC1Bc7gc5biUrqrexxXLlwUXigTY6+gV7
+kgE3q/azRHT8kDx37TJ01x8Nvbj0NIW2ns05QICmZ64d6evmkp6gfQ+1A5eOzVJ5Y2f1wCQhhNM
4c76oN0BRiQyoGq5XA/LSDemPu8zuqFnro0uOm85W6jc8irlqf+5Yh+28x7J9vO1K86n8lYpyMPe
bVDqfecgAu7tewVwB7H5dK/M501vP0W9DvxYaz6LLDkFvrjrQMPCxl0xUwwqepbDDxHcaigwwNMp
OIGah+LL/QdDqkX0ABm0IXjvRN96CWMLIqZNUOCYYQC3CBTCvN7AUP700aDjNMVmL6vmsRLx1xDH
nKCRbJ6NaAa2CRyBADIeBJgg0QsOqwp+vHzXDfaGLif2FvOl0zjv+5FCuYXNkW98jcRPLtC9OI9x
nhMJyGJEUlDk/QJil6dfgT6oWyJvW4Wa2K1PNL0NFxv4mKsnn/LT1t9IaVhfzb5b31RtJVGnDMGz
2OwJfAhCvIhBFa7cJcbu+w1eVMbxezDL9E3BengJDFhrzhd0GuCdd1euRpRu3nQPHBrGuyb0znVo
zvMgxNAsTH+B73qsKzZQ0OfRxaCbp6UB6mapCt8PugsvZIwu8BJZDO3ruThxkqH+lPYNhK0FdXbA
rQu5lh2S77P9UwFBfaRZ7PVkzcXs1Zv+4QrBWnMCPMWJrvGP6PQaowY/6IuodO6NibJ9WAzN5WAA
rS1dCZBUuzdV438KhJiRLGLLTUVNiS3yBVEc/XIUB7rbgJ/7Lpv8T1gl02Q0kzrzZx1+BOZAY8Hr
kVCd6cmigEj9xlyuBar+4CTJ59b51joQdoraM9ts3k+VGq5cJ2p2RmE/ZSZo9L4UtxR5eU+tNzlc
B+u1ZBvTcpWQ6OWFhCwT3HmWQmJMarWTLXxqGov7Gipxn7rfPA8W5cD9AXCAF2q9c1vpnxQNjZqK
7kehOLIyGSYK+aiLDIj++ZinIDOQVctlGSDTuegfgQNOHbFMrtkernjXeOez1N6+jdr9nGzWROml
1gYhIjtDrVB8T1OMt7OXfUoonsD1DS5WHjsLAP1FNPTwYIYtm+ohV21Hh7wKEJ5sh83LIKNJVaPS
6Po+Phb4EkCQCiCtLIjGh3H6GzQursC4uA76UeLE6aQoMSc9EmYlLmsLgHI9UDypviQqeBzB/sVQ
EE66cTzva/OrXLMfUUN/hN9GR2dG/aRzvs0x9D5Fk6Ds3W99v9HDnZ8yjX7FnvOh0sihWFJ7z7nJ
8f0awAp0skXwrrpJVXLRx6y4U9wWQYy0RowbJTFu9S56EvtcBR8B7wB9tOUN/S1Jhx1GT19cwDg8
Gw3P8iDap8gDJyl8apzZlN9B6uwuPdOde677sZjASgL/AXyWnKQtwo49BIrVh1vil7c8jlGE89OH
osXBPOufko73UmfRWEFx0Ol4wMiveej0SKMI2Oh9aDwcg4VBrUCej8Eyub/QpJkhaOiu1NN310uU
/y3KgKX+FOPQDPTWkP73XJyxchfjxwlCA0qenpNntCLKaixJuiq/KjN5FrWq4ibpnWZFZonrmdZs
7NU5Da7OIqVEMQOjFfwSDekjXL8orh15F1eBRhS4L0KkC3deWVqFv2SHsgb3qWlrsLD4zbeUs7jS
qpzi11psIOxWsmzvELxrsTyGLtsqWporvenvS8JD57cL8hITB7N2EgMp5Yzh+Dnk391KA1ZEg3ls
RlOg1VWkOT0rsL/hQNLgFEsdfIlDHyADRTATN3e8dUd0RKugy4gNBhGqrckzsFTqJFNOz4MfcVEe
DT09CWoi6yooB1FVktwr1UiD8mrKirHMTxpT6InUIyLRv+k8rL+RajOjV+86P8KlYoqtutTZlBbc
QhM9ipMu8Aq06GDQxXgWA64teZJmwBnzr52lxLzsSjeuKI9lwJfC76GmH1GcQqZT1PITvIa5mYoh
yQdzEuVz2GFGpEPguYh9RJgFVHG46gag4Dh5e2QnK94DJqzx19iZgK5gwcYD3ommQm8Rgq2Xufq9
NlLIr5WHygd4OTeNswU0ZTui0q3y1RpxDcBsTr4EyIdhnejMVQwRsLRxFDkIGEeKlqAbxnP+qx0a
H83+zk2j+cbNxkzeqWUIt0d32gQknjl/E+DlbNWbSUk0+239NUsB8oFO8SOg1eVigPRXqzPR9sbj
gYrpOyVFoOm5TUW6QdoTk77PPJh0cCcCZCKGU/htduEVnyzFgp6KCBQigpFsUsRySXLiW2PrEMno
0boZLdCZ4EH1L0ja37Of5vigOm21IC4XR2IBpKr7xcMuI8iIftMpivOB/2Q8CQuJ3kCQKIxhvSWw
3q4f+4JkobS5claQBkU93xlDfgnsQAgNuR78a56f5fGysnrw4E04P6myzre6r56D8HM/pgmEOxTc
luRnYoIUKmrHzTr88EFUQjQjdvQXy+gsG5e1s62godZF5IanJobOEU+Y3dOcNPAlqRHKccw64Bp0
SxO570vo5NOlkU6Fi9YSp4Zu8uD4CQKMBWosmUQ93rMevjBuJ4VzNti6mj9q6BxQaVOVZj44JK82
htRmBnnqgAC32LCBBUqI8nJtwzmO9k2ZhyPyQ1E/gp7uaNKAT/RrEZ/yE9tgL5u1od3S+86G5Skg
oUYjkiabHH8EwAphnqFseZRC/KlIG/u+HVHWa8Hi0xcy0i4fi6CLOueq7Ia0nE87Z4qC7sb1dF74
J0MctR10ndzbZEHDJVf1tzEYojVB8Klr1BeZjR1QV+G6hUuFGInBTJ1w4iIKIYAL+jE4lUmbyPed
DMN8OG3CrnK9hxxlcTCcDvSA4beguj8U70ufjmP5S3VOBN42ZYesiOq7SUlNoY+TIP+mQpWJmyiL
VUOdt9Il+LCpgQWNBo6oFFT/xTGF3Rx9O3/4GGZTJpfzrJ2knYGLNDHoY9KGkZpZDelPEZmd2r8L
bavkpVs0JU6KkqV8mr2x4kkL94yPNkBv6SVGXcRmKJI0aj6DEmKn7RoAguNNCPoF/FmfnSH1Yp4i
V2ORNCv6oA+xG2NksaympCM3SlSSiaEgl+xitxQzHqj/gR4rrsohAPUOzC4Yf0mVa7w+DW6z86el
m2ucem2/SB5Jw9q04jft9Gi94dvYCukaZckDKo+Vuva02KoGqI9wgaduumbncZ4I71rPLdd6QxiH
Z5j6vIeanjfWKfXFIL1xVLBVAtvWOtcjXdn1AonjHjVD/uXl/don+SNLnKRXiW31+N0IOa8XbpXk
KHTFAsISSud++LBQWDDgIXpR7r11KCzCIn1ph3MV5S6qabnDA9esRYLiYt3HPvXWOQ2aR8hkDiqH
QVW6CcWwtW3GPcBI26NNm0IcgipPo+Nj15cdvFIH3KM9pWCq4hPVt2vgcpFAj/tq15rqKVvYo8Yg
PdDeVCSWNf1tdFFMMKCSKGnfgwsuqCQuoYN7VCSzoPk8dSohm2aNHGohbbRO8CXzMATFEpXRlNA3
AqewL2b8zaGQVyt7hzrmhq8zfUVCg52bzlNGCNcqHy8z1GlCgafrSIUMceeoC+nR564/3xhLLfuS
Q1H79C7GFhYvKTa4PrKrRS8/nGbEBT6yzscW5B4gvTQdVnPlqDJTdB+yMk+RTrJzBKZ5nheE7tFk
QL/tNErChg5pjQYQW3o5VXTwULOMkPgL8pVXY2WXOolBjQSRRWykwZaimo0KO5zVlYNoa9EmQwJI
pBpz5IhyP87OZxHQ/y40wezMw4nLnAfQOZzv85BFVOEmWufnfYlL4LUTV1DxvWLBeoSbCARnUNYI
WRpELMJrxyr65q4bDPEPC0t8oP0Sj+F540RyuQKUNXYfsBLJIHe1WYmyHlTGGZyUJ0OCh8P1fL9k
hUJ6SWAESvGqykqiXC0zzK7j/qfHhr6RXVOJn3HZtWRarZYFxRtPD+6AaFNQFWeNciGDOSkoE9py
PMNuVovswH03doG4qidnIl6wZ5uL0msaddVEa1hT5YhEv/wKw5YmZeKtCyWZksvxRAYOJ6oN+w6U
YdarFpuQnlzWUWuZfojbouw/cFSrdDd1Do5tQSKG6ZaIvaSXAClCYvWs5/W67znjYjZ1dNL1Btor
NJXhqWwVyj5ZkM0SQ54AQbI58BMMCOkA4Ys7xBV7z0HcVdeX0zxh/lrQj4qvaY4OPYTBCvVyUIuA
c/xMJ9Olp8kU381amfjGLRvaNBMly/G0Henqn6nQdX8K5a/b3TYG6l6EYQa2vh7B8qCn5kc89mqB
QdFUUtHs3aI139ZEZrA+SjONDxRhc3teKGNAshrTE5vaLADVVjl2yi9QcBvUqeawqF2ma8LiNHuV
ZhtWCCc2spXo3i9ZRuJme/kj9tvx52irnp8Te3gCiGW0aLqUk7jlY9I7JVXcYAdFkD9x+om+yWLA
2mHB1jop+Iwpo5ieoT1EvXB1KM+pHg3iBeA+dkGxxb1Xgtp6Z6YVimzuGsCACyXS5Z31Kw18o/ca
KGZVPQVbgdRPb5UpZr2rEYXGyrP3++9ZpxStPgSiNm+OoMgpBonUngfNACbNoTcuHmUiZ3AKfmbV
45qsdFmFADp1lyHCcifrMP0CXwRxFa9PI5Tpm2IB0SGxkdFgx782frs8mDCAdCW6LLo0oaHaHRFQ
gKyBzafO6zUVrkqRwXW9qZDjDuHWfq86meW7WVYl/1zG5SfQeBKMDuh9dpZCzPviylB/s2KGuE9j
Gb/drJkSqCURgQpZAjl8R5QsQEijiAGULhSSPi+0VR9RR2x+JHmNyY6uyxhOXZtUwMxILRHYV+mA
rg6ITwx7lR/jtAlYNtl7QqHL6Vgj0ZpESeF9iy4n1nU9rDpUkVCc23J2doGjPZVTnQwQZHTayVlO
FqIMf3E3FUjleFlf7MvOVhQaiePL6TwI7El6yOwlRB+Dn3DUupILyQlgMDJ4GZ2WQqBjkEirEZqH
TOGewu9EY3WJE/oy3ZRiSO+jCAHT0bjlSB2v7Z9mB8jUaVEYdKlh+WjnjGjuB9cp+e20S3VU2os4
0v1PBPvHEttvuGbQDhfN04h95XBTK/CoTgxqAaGq8rIuAoNINOK66MZNmR8/krwotGzy0UMfuJJY
LkdKI9QC4slgVZnF6BDCTCS30S410rNlzN3mA/pKZX/W8wzLPrMhy+4OjlGZnFjluKB/47lo94Ez
Oe03v5rwUA2Wboq/tsMAcVYgJJ78zCME/86qQYDbQe9skSV+Gch1ZfcW4TT2/ApuVwWkKyNMFpH5
TbBHc3XJP1pAWBn3Vu2P1z2tq+liDt0q/cH1mbNJ1gWZGqBvY0zDlIzACa/HxAdJwIPHVCNpYYt0
GlUdcH8jVbJNmlss6/2sMODFp3BdZqRwu7Q6G30t64egNcbDZsDO4NttMwBOz0DPzbsK8SN6M20R
u+TYBklpNnrc7UMEe5KftehKEoQmcTAPiGvcvqxKwM9nRQD0vy9XnqXp6OSP01g7AMuWSgBck8Gs
73CYMPM58mfFYzb60jwqrwchi+Z19I2EcG1PR1obap+Pyo8+RMiFYmzTu25NcyduSuLCPIdpiLKY
qqbkfARdhzTk0PpINth8utHVOCSnqo6r4hZoK5XRBJbkRZvPouaYG6rmetCI6o5NkWVXzdSa/jwB
lTLt3bnMYlC/UQEvLdoC1zpUJZpmq9ncEvI5q+wub70pPK255OJPBmCghcenChq0mWPr4QNglI68
PYLgQR9mbpceSKkyKB8jKINervLocP5XmCQwLmuCPvStEyIo7d0fjXmvuk1CctiNEFwiZBhVDSEr
g1/Vbjm+Bp0R54AV+p5yftuYdywPHKsZSWgqN2v2seEcD4C48hjQHJAHq+bdv//13//7f3/M/yf6
Vd1X+RJV5b/KobiHq9N3//Nv8+9/1f/5Xy9+/s+/fRNoGQTSeL5UnivAovDnP749JmXE/1n8V4Gq
S+UYih4zni/pVevmYYGHFDJDO7TbSvT08EOZ1hL98386sBdI5AM9TVWH8ymfD6y8XBt/pMYVDtpR
NN+H4Rt6H6uGgVZbiDPW35iergn9N0b2X/tkZazZvlvwz+cjazWDHNYxNhwCKDLmb37W7XKhRc99
qcSvsmhhcB7/Wv1iTL6TjzR8qm99uy3DX9NchvOcQxSCLOdO3l2/FuLTwHvyXWz8+en4UC8/7++h
jOs+H2qcI+M6pHl01sf2FyUE5Bk6EthyDF0qo030xnivf5oxrg/DJXD97c//+jRLcZ13Ll0G0SBL
hinAkzPjpjClRp8d/7JXRmIIYojWgQcvyz4fqVaAD+MagNVgfNxrpyaGsicgqaZ08n3/9vhor8wj
WZfnWhbM8z15cDJWSQ+jpMeG7Ge7nHtqlngCI43phMNwh7qIPT0+3mtf9/d4B9sy4ea2aLBir5gV
2VUZwU9fzFhfRJSeTo4PJbbf/vzUe9wDnqK4zb5W8mDNgqpTY+ZhfSaHDGRr2P+uvBzUfQ1tmRvh
Rwst4Xfoom9aRsLdpx2CSXmghjdO4svg8/xnbEvw19bxFbrKZbHwM0SovrpZFO7bcaCtL4Pli0xn
+ZBZINpvnMVXFjZwAy8wmsaOQizx+ajj0mheEZx85XTBl7ybYdz2yng8Q1H3w67C8Wz4xtYV26k7
mPFASCrMHjvYM+rgUzPEkpKo2wQoEFs5zyk0P8igQUUthQ0x5l19bpLR2dd9p3F+lSUizen6z6c7
kFIZIhEqJ7SVnn94KuIlAu5bgUzPqBf0Isd+rXNn2iFVVrU4aFMdIqMvuiq9Pr7j1Cufj7S/J91A
W+kFBxsOxaUhr2M+P0d+GTUwLeLkpMjC3ntjcV/ZUlxprlTKl2yuw+inGq5+JbnPKq+Ul6s3f5Zt
9YhTNPRGSrKGnXZ+/NNe204aYUvfpU1orHuwsvjFSkH2CewU0CtdSp9itqjmdUTkt6JOlkCnOj7i
FucO95LmHtE+txcJ5MEGtm2XQgIG/pAMcXflFTE40TiqgY9WEK8GbBdsDLFjRJXiARUDeX98+Ff3
su+SuFqrPA18+vk+cgYZFH1PpIIOKH4FJqiA4JHL1KN2TzVUifMumrOTGfz+VouT5UUG3vOfh8vA
Nwr3IJaaCHbwI9porlOK9d4udJfEeUpmgxhES6Gk/j7h7bP8Ov7Rr+0rkBK+r4VgkcVBdI6z0q9T
j5PStWL4kU6teOI5652jigwmT1U/LX2aT8fHDF6ss/YVMkKaM+tuJYDn89xaYuEASIy2ZUd7hdpK
eLIUVNLS2BQoryzDWcHNe9cO4HqPD72dx+db7PnQB1sscZI2DhqHF18jk7OcIAkjhBJVapx6f3wo
8XJq9Z/sQUpyUeX/uaz+ugVW3RZTGa014mhLdJkMzXoxmxLRnLlFmlRre6rzrjvHBK9F+0Yh0eSG
2aPQLi4oq40w7vChF4Wantk61mSOCzRIH7GVt2L4Nt8Hk/Lshx6sh1f5ksa8i74CErc2kA/xxAtN
dP6V2YQYZ7wgs/X72jThqa4AMFOabYABHJ+uV2dLq0D6gp688Q9+BKJBPjcWGN7Sqwxkm3l2v0y0
lj64wQzbggInIkVFG8fuu+MDv7Iltujm0kkRLlFnC/F/LZP0pqHl3b3VcXPwz3OfPogwSAGZhOkb
M/3yG4ls3FJclB5NfH3wjWSvFo7P9qbrBJ4M9aruixnxc2wX5qvGdIKOdwym5PgHvpIVbcMqafGF
CKQQB1/oT07lxgMQy9qvDRQqoGLeO6cI3XuFrcCjbkX/vapFmiKkANMYIHOZoQcAdxGRTZvafzrh
ZAoc/kBZSwLKej+f8BBKIUzpAQHZpMAGS7QhqIxYQhEJ15/HP/21CccmACxFwLGRh4+xFtR2mzQu
/CebTSdu2OSnfePOJw4vWtKwp2jwmzf28ctLzBd/D3kQYajLl2mvoVx14gkmRXPFD4B+yX/gb5SA
7wNAnTIGj2qVrN9a6u1vf36Un49+sNRNPQxruPGvMBn/qJs5ve5q2T22V0O9THi6nHhcWTuTyfYU
7IAA8eSivx0vBYoUb76gXpl9ydub29II7pjgYCoGoMgJj3SmIulBgTazS7CDG7BE/bkLE6Q7Seee
9vTxNX95u/hIHxAwrSaflvZgewWDjZ1k0/Ts19C9CjY4WdjeBg7oTrblcDd32M4UnsnfmPuXcSTw
XO0RRSC4UZvcftffccQstK3KkepVOyKtNmTQ5tKh1IChONRv7DLx2mjs5yCgSeLxbjwYjdZFPXFv
09MlHfSQRDhZZ0AtNfzeHToyIPBomV710jH31jHTtaLjSY9NA05yAuRaqJs9DBtZpw9wZD++Agfr
ri2PWCVIXzxrec4GB5ljUy2FqHxKOi0YOLxjnJtqvYUxj/VMO6nzPsUP4fiIB2v+Z0SttQcAQVgS
mYM158+roTCUIXq/NZjIQDpEIcI59YL8F5TA8DGqGofW5Nq+sdle+1Sz3RrGKMHT8yCiQxm1joJv
BMtzAtZd9MP8Hc1uAXGjcurvRVjH7/spg/5w/IMP158vksIPAksGpan3HM6xT6U9ow1GGBtW2ZwM
0UYPjsdhmU5SiHcXxPvuso9c6EpTHeFvVefrDUVcBDe3WwjotoTM06DTdUkoLh7CsKbwf/xHvpwc
SeLDTYfIsVGEgecnApuLXCAYhyJFDeRa9hVF+kmkcCqqZYdyl8vmoyFyfNAtwv0VAbeJ4VQEwuUa
Yz3+ZGV/HcPM0zHA+o0ugPiXPluyBJc54XWo6Rwf6CDQvxjo4AT242haXr9ooXDbnxYpnrbZSKM6
WzKkmxvMFhwH7P7ooVjrFsP6Rhnn5ZaXEuyHYdcZlxneJv+v7yx8LyNlYnK9Rvtna5UWPfk0oo6F
7WvAVi4CgdEAWrlzm6fjX/7KunpobqF/uWW2DP98aJC8uqo3pR9pCrML4lmdpQjUY67qDWVQfegH
HjHYSrqVuTk+8mEqs026J1hUFQhSxRcXepzTisv+cCHR29xlVR9+pccQP9LaT/1s3NCw4acuxXap
LSzgGLLaTZ03emNn/3kWHewyfkfATcN7MbDmoGSXzkXf8YgBSubgdgW4oL3RKh7uscOEOVQ4n3mG
RKe2gx9Trkj7DGTTJ0uQyrOyCaYvx2flla3w948JDtZjwrch8euaWBDiQjy2GHVMI3BV0N4U3Ki1
nzVuoh9nPdYf/vHImj3g6u2wufDVn+8EQAtdmABJBN4WLj4k3Nzdr8uUw4yVgjt+Y6b0FE0do9O7
40Nvl8jhCrAA21OZwot1D/Z/h7SwmOp4M3VM57N6QWWs0z1t9TlD35ayzBuVnj8H6tiAB+e9BKuV
pCWNJDlid+M3aueP6TUOgGA0Y7Qf8xHpMZtCSnDjfTdWP8Ng+MzDCiNlH93OQHyvu/ZHVciPoJhA
PI5wk5Nk6cFduwjSVLSKUMpGpV8F1DhWAXLY8ZE0W0bEhp03vuYgffhzjijukH+TJXlEqOcLZ03e
yIoKEla19YrQ+uRBJ/1cxiRVMKkCty3e2KOvnhjSQN+lPPnnxno+oojRtFiBUu3mFSk9HWPpMcVz
clE2BYIh7SDOLQjwq6jHodJFa+ou9UTzNI6+uhlT7f/zW4JKIdcn+SHZkzr4/hx1UbfsKO6DcXH7
e/T/gbyPYnHd8+Pb9LAK8P9nmteeRBacx/tBpDDKTQxHZN3FxgCbMwuoDUrvDvJwnoqyeScK+gw7
B6hNgu176+e4h2YLWn+gKSCXhXKBbaDQXL/KK4kLcOwM2Wfec/Vy7ZjGQWCv8aPH47/6lUvUo6yL
NvSWYsg/lbK/LpcmZqnAG5HW2FwD4YzdAaNM1U3+G9vilX2oqC+6kvKTS2w/CCD44Mzz6DZQ3FYU
12Q3lJ86mwXXsQXKf/ybXhtKCOGRjwpyBHmQlY6UxsGtgaCybR38EAC4UMjoqw91v6Rv7K5XArKW
vADAMFDPpJz5fK9n69S3Uw3O1ICq/w2Kud6VNoshKqFwQ0cOFpFw270GFvbGu+CVj2RkHiJIgAj6
OwfzCYjYF2kHsge48HABzHE4De0UPhRDEb1xF29H5CAecvtbzg55vlSHxQxKJMvcYwf9TrmN+NzH
tfmI7C3au7y4DDq4eeBg5lCEmIYdX8jtxDwbOHAF7QZjlbtVoA9r7hVqwrQygcWEKUz6pSwG2NAr
EE89BT6eBhKSqbt0d6G3hjf1pvx1fPyDOf5P7cJnbSnjiK3h8Hx1C1Fi7ehGX+jy47rMRRc8CuJm
cYlc5fhGnD4Mm7Sx6Cu4gB+oG3lW2YPBNKBGazPkCwzs7BK9RA2ZJezaD00ikPYdbpIm/TTWDaqp
ZjzF3LXcgYFs3ohiLz6ZXwEijIIjIYHn3cG2CrEAl1XY8CuGJdg5stGnaqlRn7JyfWN2D0IPHwza
gy1lhMtN96I9WSdu5lP3RVV6Hfs7W/cFjgrD9MYHHWQPf6aVrwHIHmxlb3PwQWvhF7MhwKK05xfN
fWP1Is6n1evVzeJgE/BDAHx/q0F/cGL+M2ggEIXxAx6Nh3U4ap7aRCE0jiCJ81NyGhdZ43g4D3SM
MoZGpXGWaMj9w91KFQQM/FZ0tAH9se1H/RXKqXf2aauQo+SiBVQG1eGpBvj+rgy8+Y1g/srSMRRt
Ki4OaWhQPx8qBdM2JwE6LKWBkH2qbL3WmBxEi30j9LzYjj43KedBU7elWXLYwlbW4Karw2Qna9gQ
p3gflhDa0wYKcFgiWnJxfAoPNwvvSY+Lg/ohN4cfHAZV9JPSJEGs4V1fRZA6vZanDW9aCb0kZSM9
FhybeHd8zBcHn8cddURKCj5wEv65TfZf6wb9YUbfHdlcdKlQhlMd+s0OEi/QcTukIhocKzrTOu+K
wunK/eKsbvl5TlGp0Krqz8axQ1XlH/4kLFJI8YEcBJS4gNgcrO+al3ldDTrZpWSMEnfWkJYAnK8J
dWYU5cr1cV3gL5l0eYh9LEZiCq++P/9+42dsIe+v+E9Rz99OrpTUXABnHF7kVHfsIPA5gdc+5vAy
wMIl7+pCp9/q2MQwW4oUJ09ILjJ7x+2Vf0PwOX7q8g4tgeM/5fBAs0ZcfLwDNdeR4D56vkZlvcFw
HLTSJMWYj4kBnNaXFNBFMaRPXuIPBcJ3TfDhn48q/ry9eXwCTtnux792BtU9J2sHnDEntYpkp5ww
+RIXC54DRTSi2mO7CsLrSnjp3rh5X9uUJIOccWOpOorDD+5XD1zlQl9AIr90N7Sq+bjkpUFGofQA
3Y/uVaLi5cxtdfppNVgmr+7NZl3rhdgxHZ+FF4eSuWcbUvvkdG0JyPNZ6BM3ga+RAmMR1vlUUAx7
Snh4gD9P2/6rGlEnOjs+4mHU+bPaEigLY7qed5jVNQUwAhpUJQLoMjrzkqk+bXB0PvHz/K1G0atD
cTVpgFy0gs3BSaNj0PhiREXQs6O3mwrhXUy82E7bfnwLwXEYtP98FVcTlRWuB4Brz+dxgBfRUisF
wQBx4Y4rBDmQtJVv7NmDjNjfRtEu5XhiszLqsKtdK45nmSEegLiQ/wtSBDzv1XjXoFYzVJMqb7hw
Zhd5Slo0bxzS1+bSB+xEByygp+4dHJfQmyaop6p4l6MpgeaAX/zCCtru4xrfmOM75LW53EI1dx/P
ajgyz+eyJnSOQ7EZulnYtMOY+re1hcx7fJTD2u+fyTTU1l32sFXct8+HkaCLOhGFBAAuhA+um9d7
eFLZuRFFcJ7VdAAg3xCh27m/gJQKLn320UArm9zfhWCxETFE1tIglXfmTf0/xHv959cFLDEFug1g
5j3/daZlXIzsUE9z3Qw4LqSqFZoY4tAnAJCrt8A/ry0vz1R6tzx5KMcd7N/chTyLdRzSrVAK3XcJ
qux4ZsywtMoFK4TjU/9yMN6PPDm4goiAgT4YrI/K0te14lymGJ3VJZQ7XcVoiE2AQf75UPSjOftg
iyjzH0yjX4cr9SVv3U1K23MnLoovSelMANcqxFCPj7UdgWc3qsULafsvbxV6CYcxIKsdOxQd91gN
Lx/5ewe/L9JwpN+Ttb0Fe28vycTgk6/KO6dpu7wx/svoQGGERzmJv1C0zrZp/+tGG9qkn2aXNXQA
PnOB0ZrF1WeV8qsI0QOU6Oj9TgLRPDRSc8Ef//i3Bj+ItSNuFPBsuUgAWMUf8zqa92sKt2d0kNyC
+pg+1f6MPw4eh4/HR34ZLrjAtqjIC2RrVmy/7K/P9uHsiERTUZzM4F9Rj4se6x6w3PFR/jwrDlZX
kysZo3067qSTz4eZqjTFtzhAZyme+ncrXtJ7GfbfA53EsJNFgHr9/BU+Jt6G03ndIcGUZmm7z705
2SEdTG6Fp9fx3/Tql1N5I0wC8xKHSC/I6JOfapRqiBFjvCOh9nErSm0ev3GKXmZovCeRTuByQypT
HN7ZgZuWwVjTJZk9XOZPc6R3kSmJavrz8G3RyBcIaFnwGEv9VoLy2jfyDKKCRs5Ag/bg3pGovdN9
oz6SD276PkaY4dTBbuf7P51JdpDZ6hBAOzTn9/nilt76/4g7r+U4sizL/kpbvXuNa2HW3Q+hIQkK
kEm+uFG61tp/Zz5lfqzXBbO7EDfCwgdM5oxlWVoxg8CJq4/YZ2/6Wwx2rwG962damWwkYdMEFvrL
dk5PCXbAiYGSIWFsuVIYmet0t3YGezVJaTtdsaTBvV+F0VvDhYfTbW0CAA3ioWBa8PPOGWYNudlN
V3ie0pVbR73mqU/Hcy70WyhTHwKf7jBT1+nmLGP/k5eWFupwqHFfHvHpXU9SEjAxzwpIFTzN45lN
SX4plUAD+rVVXwWJ1d7i28A00djT68umTn1Zlk4XdXyRWzHldGtsVWk+lLqGsmeI7m6oDNGrng7Y
W/hV0lsYX6evlw1Ke9Mht+tZgBVwZEEKg0Q6HhuE3o2i2rB0d2pSW9tqKsuvDb0u48LdKg2M3Jz4
h7UQsSyXkHT1+E3ojGUdxRt0udFgNIx0upvgtr7VuxbZ36hHye+FI2Nr4gdQZACEgccnnbpSD2tU
hGn6C+JWvaXFzzn0nqu97DSIceFxWFDnOmAwTm5uBCWs0urSCo1PQnL65TwHvZMQPpbua1s5iEb2
uR8G6ziwzPITxJqLT7a0Owm+ORCa2C44WQ7p7OMV7Hp/opMkQL2e9IB9400Jwtlx4CJDDFd1YC8k
z6VT+GSOQJdWD+aXC1uaVqUbHD8IzGiTwPfySodLgdFC4jJUk3qT9br3A0WugIJEF3+5vKAnW4iB
PrNsSzG2bRZwaiCnsAnHlqpyrFHu3bR07lcIcqdTdMharvCFXSQ9G0/DpagrgNYUiGjnOZ7d0B5m
pRrMeGMmg76ng7d527lozDh+m0POX9Lua/XOsLCrzqwpbFEU1TmSYORkN6wzS0oUPXu3bqwIffFp
6K7hvi33TzQZl6f1jC3cLfE0kZCkZUAaoRc27CnUKTZknjPkRgXFqZW2106VTwt7R/yqZ/6HmExy
5RwZ0lgCiCf21jM3Jw9GFODaNkPptUF3tTKzezhnoVx58YiYNOD/nEhaP+QcNX39EJsbE6K+kWPc
dwrNV/RhmFu4UdrdZVOnSHGbJC4gVW4A8Ais2PGQAJ/ojUsRYgXJhoEG5KwgRkwDLEzzxrbo4eGB
ehmRFxSzDzgn5vtsVJOFh/F0WkUiGbwTOTmVOFD6Dk4X0PBfQx1f0/QXbLvUjt90ad6nC3ZODyDJ
LYu4hx1JrU7urihbu0cqjKOfQpBYbSs1dtHTKTIe347IPaWxQ+kLCD0vz/E5sy75PZK8Nm+wnOMd
tCBI6M0NkXA19OrOVOMi/FhY7hzcp8Ba4n3dF46+AKo5N6ecd4fcPCUmhAWO13UOLNiQ0GzYZL0F
HSoNxcOVBs9usrBX5RCeM2EA3KLGwfaxRF/HsSE/c+cpKmA+G7I6hv+MqPIODSFIGc2kuB0sQ6Fp
EJUuaBTGO2io1Tfm1JSvOhsy0iSGRQ1mGxNOjMy7g7ghf3N57s/tb9H3hidCKp/tJe2tmJadxilt
kUye0Ul1jeFNkvePZjyHtMra7gMedEA1CJ6V164NnwQ9IVBYLHhgZ1aDMgn5dpOwXjSFHE9SDQ88
Ssao8Y117WuvIUdRUIGOy65aqCfIIRKgaAA0JgHonx6LZGmAQVvXwhFugy5DtM+n3c/Gpdascas6
zY0zQiwNIAOJLR2SN2+Drh0FKndUrpSwv9HcZmEBpNv55/fhcHPHWBACybDCoFD9POBlWneU9nYF
/dXXRuJFW919efOUOF30snjgNUXnjTiHz27nYgqHAtIfupaGvkPeBNGBMIvhxukn+24Mra/6rC3V
x6Xhid1/ZFM6Zk4ZpU5nxgWN3k34OiuGmGlu7UMdmsqHy1v5zB56bkq+qZWMVJ3R9NGmojn1PbyH
3Y7G7mIh8Xd2QCRRSA5xG3uyP52WpVKhM8AkooS68nzFZ5/6SGRC5bK+PKBTT4yOe0B/NPoK99aQ
4iHFsoKJ2Ad/CMKIlVt4CK1NLTnH2R+S1xlyYlddlQC6HtrQWkw9SrWXp41JPC06dwi7VPlIQq+l
2BMrh8ZB4SmIoQfDhKI4vPZ01OQogsP5/yOEKEVb2UMSm2tezy7bwyVIQvDyREgrK76KcH15fQEV
UYORJwKUXQhOCUaBrIPlPEm8rtiHjoGU5WVD0uIKQ6wrjy1uhSg4Srt1ospiJT3CEKo25VunVC0g
7AVULzALLby1p6ZERYusEI8tmT/5/ekRCUAEAjixnsF+WPRxeeOhL/RB5T9/ujyqp/7lZ24ZwzKB
w4DewHkAMS0/sC70OkFNnpoUyNAwGEXZlYpP5i8nDOzDARpFYMy5WSWbqoQwErpXOgdGz7hKabLd
hU4Z73x4BWDjM9+78Cw8QD8Aj9OAUjWpn/i6Q4olyAtnO0FChlbUmG7szh5I8jmv3CajVNQ9UkB5
q5Rwktm4ibCF+DvFCX5MeQVPlUMFM08UGKIAds6F+56K/EfAlJCUJbkG2xrKqHMU9Nel2JAQssKU
MSZf4q58GxfDF+r+3WZozCudTQKPb3aXjsZjP4brwbERNG4fIiP73qTeLskTRAQqfa1bCHFHsfq6
C+uHpLE+wGyBN268/HrHbVQptlBEIm8jn6KJcNmHzo/Wcj9HNb0ao2rbpO6YQqkfhG8XFpoLXFpn
nV1FoVx06Z5ExBlREzQXEBKUauTvuzbU7ij4xPsqdfKb2UqXquVn9jBdquiH6OSawORLx6U0XJip
XI+iaN+O+2Eq2w26w+PrsIO8+PLQTq8AiH1wTS3+RZJBzpHPgwqRlgXsX62b/sossm4/N3a8MIFP
ObSTGeSS0QXwWHQuHT+RUHPCsWFwUqCdbW/CWDXujdSsd2kyjfASJ+MegRXk3ObpDyeE3tervXZP
49S0Ui1IjWeoNTejMRvriQrM9WBOP6IwcOFOK+2XvUPiTItEJ0UuegO4FSU/BpgtUFn23RqSJeuP
oCK1qah1t47yIVxwUc7NvSjwAPMAGXESQHaeH8U2BC3QP9P/sO7zLMrWJqxf3cL1KwUCP8dERoeb
irjq5J7yAAYWoOlhLLJdWkpAGm+9uQtvGpPgoO/McMkZ1M8cGEB7ogtYF5wW0nK3gd1ooJtoT3Xq
SUFcnsToHSmKUkNPCqKeVa1UZb/JbaepKbfNUKT3NiSXqHxEUYdCH9m8rZnb6pcX73YKBSRhBTKE
irf43s88NVoH4VRqeRz4VlOzCdMY9Qp9arvm6hcMUd6nzE9fC/v+2FAS9L6VFdAGOrmHpvtkebmy
c2eTC/yyIbEdpYNFRViQpBjAGChzHRvSU7SV5mpA9yLO+x0Jr/xtDBfgpsp07xWM0rAiKqq+0GWu
id96waoMqaPKUHEnqqxvP0fJGj4w2qVUf2y3pt1Q5DL07H4cCmfjhHF4SLqxFMLq1bu5z9t9WVgK
ujoR4G0KdPHrODDSN4mXdQgFQDGxgp/BeEiLMluqkZ25VrlRcbsIU0jCyY6sm41uR0UQzyu0/Ktw
oNVzFbqwIFZRjKzW5YV5qsefzBGHQPjpNFTJpSkcIXvsJ/SowgnmPdonpz+a1vxDYJJWpR5768Ae
EJTJ8AGVMnsjni0k+UZamiMUvWBIQy4OSqaNb7jjtcjh77rO67dQ4ozbzi3cXWEhwRdYKVm8zm93
FWmnjVM5n+D+hdIURkd0w0FZdfHwh9ZTqMrU4NocNUvwGtn0CKO1naplsLZS7YqLQFtbaniTKN0h
aIzvpeffRIF719Xej8pN1E0HWdJNqWfuTeqXfxBTCn2Mah2GyB0F6mStR1XP7vK2RXjETK69CU1p
Xa2DtTpb2rpqFiueciMLt5oFmErXyDKK6pAMYgoay0QhAzGKhjLguofZEGAZ8lsHg2jwCmHN6DCg
BYbUnNFCVxUyBdRDw3Dd0UG8cAxPb1jxXXBt6YgBpiG3Xs/tkNJz7eFJJ7PqbVSvo5TjVHWIsHYa
wQLmltbsLhg93c8YpejB3hKQTxkmME7akBSC6ZbgNL6FfxEWOxQPdlYyGrvLu1mGLT1NNtxEws+l
KgD+5PieET3AjZIywLHqp2lVNN0XFDGNDU8jusckMiD5A0gEB+XKpuD8DlV3+Kl6K14H2vzC7im+
DHE9xxiH4ukulxLapj25cx+ksB3AmRRvINjqNmPYh1c+qBHj3k/qWXtfDZ71eHkWxCCPjzR2Xfox
eTqEbelWN6Y+09SIjrSsHxBFyaNho3m9u5BBk8LTp9HZZNAAgnqQYMlZWKuc4yjXIFjIuASvam+M
D4A10X1M8/ozHOjwPdZxj7DjAOf85QGeWWaea5KVRMYgJ04qrpaeTmrh+xDgjP63PB6/+pAybOmf
feMpylvBrTm52Z0xQsCchtrjXCBlYS9hgID4nZlo+C044SCAuKglJ2wYY4j9aqagsVAZQLp8PykN
UsZr8iv82XVInn7Iyz8yo9oi7eeX0Wrsw40StKvKQThp3Xm4bfMEe/crmGxWSi1gS5veRcFngLeR
NjvlXY2i0Dy3G5yuKvgUEEG5sbruggpZrDfd/OAW6q4ee8SGki2cqURhKYRy5ZWBnizSO+u0Rza2
gmlF26EJokYHaFnXmX3faiMqbNGaEsSt2witoFtF3Rne5x49pTyk4mOPEIlnmylAjyNcI7PqCl5g
ZI3rrNqWNvK2Ywg2301vhy6urrNw/KjgOwfKJ9e7SqNaNGzxBnwKYMKFz/oQzTC3dtYHq3gc2p0T
HgitiRQ0FEi06jaBjVt75XaoXvnmZoZ6wo71dYFQEKlHc3rnu3cq7Kpob/AeTtZ7DSmgIHs0e4QP
2kOTQSz6LlV3McW4Un/TdfQlOtdD0lO5MlbV/MpWX8GKunK0+6T4Af0+LLqPtYIKS41iGoSRpo4b
4G9CFBdc/+vcxCvD/lG7+9m4T+h1q/UdnTjoV0Rr3o65/GqRK07az0kHN8+WzgvUKaF7sBB6Vqt1
kX9oveqahmHUb5NXcPqsNNQH5+SuL4ElZLscdltY9UxnC50S7KzXibEZvI+N5QJaqBD1QkW24cnt
UHvSD7rhX3fK3kx3SaetXW5RZ22jC+Tfh35zP6b7Ad2UpL4bqo0a87xAblkEj3SfpP4rbX41qG+H
6gbJEtX7UqCJmOyRX0XBqbsOkwKy9Ru9fB20hw4lea14M5oI1fUPfr8PvJbOUopwyoPZ6bsiREsT
tvd5N3vvddqv1eRtNHwe7a3if0SzRkNZbvgezI9Fe6vDQgjjH2Fhe20nb2hRtdLXerLrcwd1yRGi
gGLXVJ9GnsQ6/lJD5FW19nqOoq0FzScMFrlzBanlDBuK40FPPm8ilFTi/r40r5w0Aa4CyAwfKQfp
FqOjVrafrO4+ASmAEFJEP+g4fZy970WPn/kWlASksPkV1ASa/8pNP1noopd5dO0iY2BZymOeF4iW
wV4INz7P0jUKtYcS5d3WpvUkXbG9d6V93XuvQ8RCTJCZCqBk0mOQf84rJe0OaCJvW9Pa1p26SclL
tfZDoqJzl7l3sPzwES5ITvNszyrZW89/pRebAvcSLSVd+aL74wMCElutPpDuSKC9thFEvHxnnnsU
EHo0QOHQDkgj+/HLqNS+TrMsVGSFHk23gZIgmU2xdaEC+HTry28PoG1A4/TAnSLoRysOGnL4JDxG
69YMQWebxto0m7vCNGiRdtpka0Pk/s31reA2bBoH0czw3QzwYdUnVb+QNjh1PXAGRE2SL2MIfM7x
oBsItnu1IE0V+QMnyPLhJ8vgTc38ZinCOXWtKJ9QRtZI8tBrKeOPVNp3HD9hfs0usrkqzOHtHBv2
wziWiKqQtn3xepI9FAVBYkTWVbbnRn4zzkWL2hw1E+G9j94tksneC1tZeObpfzLpiyB/Sw1UjkZE
r4RVz3PJpa/dziHs9Kg5lPNmjNDAKlD/vS1SXoGXblb6iSjLwYBmkc2SsxsWWdihhy6aykuYHzS/
hvK6DoKF6Pc0PBSFf6IsivBkseSe5ngubQhSA+rvVvaICMGdkjYfOrj1NjWy25bifCRidTalaS50
NJ+6Tg7ZBpKCLv6hacsYC0jfva5pywryp7R9DNNQv+straHUh5Jch8bMjgJ3uLNyfLjLE3veMjAA
gAckJOXVRKXeiO0Ay4YFgXudjeF95cfaDXTnxiEObeUemmjn4Ddet2D5zPkgAsIRJhICWKJL90+p
z4ltR3m1ovFG/dQaQXcALuQgrjkDakOESgjoXh7sGTdRkAeQxqOAQO+A3D+IfJcSF04LKVBCAdmI
gEZ7WhVeN3XTbEYIebeDlUafjKyHpUK3XVA8Zrs2RqfZFEObby9/ndPt5tKIJspv1I5MKjvHl9FE
4qgabZWgubaDfaXtM+U9XfsUcOjxKO+D1ptWlWsqC+n/EyeVOA8KdIJPOvrADUpme5j8xsBF2KcF
Gw9eaRhRndjMzWw8+V15i6Rq1Ay1BllS3xrmwhV8Gv8K+1yIPDrUs/jX8bC9WJTLTNALldYM6BoZ
gNbrHMqKmbp2RpyGnGVvrn2A7q+teUaj2+7JvAyQFi18leMt6LKvuMMMMmrwOGiQD0rpvk6NGrV1
vBoGPGNGFo9ImSTLVLuoF1o5Duc4h+FClHRsEwiuGL1gyeGaoT9Fxr9GhtqRpw3CjUsRr78yIHUc
P6kEr6Bt+0kx9J3i6TBWXd5qcln/p1kbLCX1AHoR5Jg7gCvatQcE1GPVb3bNVNRXtdMnXwvbiG8S
G7FGuruQ9JymDl8F7dohR6Dw8pc43nhP0w0YmTdKE1+E+sDxwpM8GiA3yIQANUkzxJRsBLaQAVBY
6j3E6M0qiV6Y4XgySt7E5VGkYKiT5Tg26gbDGHKNCf0P2sQCIzJwpHN17jYVOZW72E+HYuFcH3tW
pyalA+bZYW0hfoVPq1FqSlpVe+eha3G4PJvHrsypFWnzFmapVkVAY25VgiHZwzBSqde2PgXJtQUg
o/1p7n8d0Wo3TzTbX4tyqqMgbKU//uer8nv+tq2/f2/vPpf/Ln70f/7q8Q/+5130tS6a4kcr/62j
H+L3/2l/87n9fPSHbU6ia3rdfa+nN9+bLm3/mwBc/M3/2w//7fvTb3k3ld//4x+fv2VRvonIK0df
23/8+ZFgDBfUqvqzuRcW/vz4/nPGT959rj/n4f/538WZn/r+uWn/4x+Kqf0T5BBJHTJMtASSQP/H
vw3ff37k/lOwOwvPDNQ7OQps5VDPhvyY9k+4yhADI7tjciELJpOmoA4nPlL/Ke4H7ke+HpAkSFj/
ewoefvrXP1fnPCe69NQIcizhEvJroA0iPyKdAvQjEy9J0Pvlb7YiU2uu0SCo90aX0VfSoIbQjFl8
UGvevNSCFf/ZfP35dZ5Tsh/vVVLJmBfMeJQ+KW6fgIGNedSK0qCNViMffGg6771SOOneMV6IxhCG
uNQpf8FN9MTNe3zaqRtktHy2sBfSF38A3jJvOhvqrwTFlIVi0fEpfxoTXhPXCsYgNDTERf+sJgPN
fxLWM8y4bu0Pm8gmu4J65cJrIT+WYkCUYoR/RrKKTSRBHTQUDYLZikhs7ZWv3T7YZmv/UF21r5WN
v/AanlkkwEAuTY4sFHhf6dr6K52HclT4c1isFdEYCckTBgmt9tRgdBmWeh1/y6/cz/FOHffmRmSu
NtUu2OVLvTBnl8ujDk4hl5dA7mBGGCcIIAmC19dCN3Jy02IN72W14GGem0NKo7jwVAaFj3W8KUYk
g4o4YlNMU/C6TROQFOPbZPK3l8+T+DXPguqn6eMFILw0aRygxn9s5rdxz51OIvAUUQqnbkdE64nh
P9vz3a91jJ7Z9JghKwG7E3MIKubYTDNNoQMOmnLnRtv579NNtlaviqvh3XQwHi7P5OmCifYSDNls
ebxBaSZhKK/6wIaJckYKZV10Y7LrqjFZ+2OXLjzYp4tmiM3OeOAUAEcluT9qahZW4QOXclEXvKvr
6DqOh/xrhIbLHYI/5qfEs+pgYUOerhhGuUPEBYyWgQzJIMky167Y9rM/0WSXF++QQx03lyfxjBGX
/hyQ1yR4QLBIIxtUrvcgBxCgWB5KfF+dYQmJfLpMXIHPLIhv8HzjuW5i+KLVk3pVcNTqCXPHUuZm
yZh0s9d6E3sKWjKroNeQAnaLV2NFmbFPg4VITIoFOMaMilIrjgHbAZ7a41E5JdIt0djQBYha8Ed4
87WDwPK81Ys+/OKriEO/fJ0IOek8FAxBvJTH9ojp3dTv6L0r3ep1lI1fi2B64XmCp4ZqG6g53ns8
bpl217etEIlhujIGM71x50L9VLiDd5P5U73wXMnBvKDEwZOBDx9GBP6/7NP8nYwEMqhbdGLjXlGC
IntJjCF3O+kX+7KhAx/WHqLIG/1v6cv++e0E7Azc3xNO9XjdESjKM9/TYTGxKMKl5TUx9zYI9f3l
7SUHmU92HNrLYOkAp4JTdGxHQ9ConDqaiTv6BD72am9udKVH8lulAdOvc201QmFypfgFTK3T+Bgn
yNFd/g7SkZK/gnykfj83xE+LtPIKN92iYUk6VE3jI9LUjdnKN3p0mb2DFsX7PNYX7tgnNPazN/9P
O8QIYofxhkiuhZYOLsLiarbyvJoubQ1eDapwpRcCv1XUu8CanW3ceNZDOKoQb9lV1MbbxAOKHCpT
/I2I3FCuHac13zcANW7qSUe1B4K6JQUU6fbke5q8AuS+aXEQboL4/NlVDb1dG1MEpX4z+dB/lO1N
3fjoXTfzAuJNvgB+WgIZRrlXsJGeiDYMvlnNsOGu2s2wNdcpStWrZD2ulX27R2EqXrhwpFfupzlc
H9FQTAHBlF65X6R4ODN98NqQxQcqT5efLoX1QxfQDS/UPvoyeo+SJyyiZvLeQ9f9ZY+BGA4dYAgh
06qBI2lLw+mKpO2hN+VSGCZrl9e+f+UVCH1fPo9nJo0HDv/DokOWUyK9pQ6K6vBzUo/ovbxBOdi3
EW1FXf2yFTEpx2fDFMEEYEQqLbBXSGfQTPNWiXyArn1J9l43KBJm8QB6xaSFwi/vkLq7V6NxYWyn
d82xVf14p2eQKw++oJ5Wg+wdGnhUesPuXa2P7+nrWMLfn9kXYFhEPzKwA5gSpCGiVKHAqgcvY2Cr
ottzrZOjhq5/e3kmz40Jn5siEnhXmjWkMdEwG7FbgPD6TvsmVhsLkifls+YC/up0ZBguWzs3KB1W
JwPCcKpKcrjkDLmBMCAsJWWafc/Dudj0U80tqphL6h+S8y12OxsDcIjO2yQaNaS1srIcYxFqEj66
RE36PonsDwjJrhpfu3Eq98vlgZ0zR7s8IG/6wnG1JHOlrw9RUGIuKtCGRDsvD9Z+fQisvUjvX7Z1
umT0IroWOGhkvVBmlQ5y7EcBOBHBRq3Bbu8re2dQdlqWfE/Mx8uWTpeLu12kPDhloInkCIa4rEOF
HCaAjIybTg/3Oi+yaj2oQDsuWzozJoEspo6JX6yRAjlert/Cu3ZmdCKrQy0Gv5U7UTphf4Ut6Jwp
eCGJ3UnF02wnPn/2RrKcmjpphDOxG9drC6DiTd+k0ca3vCVRitMLGCw+vduC1JWd6EjviWKmSDBA
Vr6iLmYeBMZ9S7xmfry8XucGBCsRNwMhLteUFLEHVlKaekpsOzpfhHfXR+VNmOVLPpDYysf3vIVj
IWonOBaU76V5a8LcM2s4QFd2uqGhYR/uov7wlSdln+0Ey0m8+OjLHQDiYJEUY8OjocK+ePL8ny3V
v8j4fF9JOc95FKwXGPkyxTEGRMFN61tTj2O0YjCBs9IG9Cq35EJNb/Uyur4zp0dElahZEfDDlCid
njwyvV4fwHB2lvnanRz0vKeeNalIhFYIP1xe+3PWoH4S80NDAK7p8WZW2tHPTJeWFsRn18MQ7JXi
O2zwKM8vXKqnrzyRBQ8gaXTYMhB9OzZkNkBqTeFLOFG8bqrv8Lwj+Rqs2/hHH2abbon69MzRObIn
Bv5s6UskQhMADdnKDIHjmiBUg5AH8fLsnb4UglbhqRQripHyWv1GSr9zwwP+A7kLDYXE0NK7MZQV
1E8WhymO3Nte17bkBn5cHtxZE2B/mEaLrOhTou/ZDCZKqyR24ZFwmKFxyEKrWdtm/+GykXP7D7YG
XloQIkTg0jgy5LjLqsVl6R3glPTthgApHS06tO4S/++ZHUj7Bcka3lrKxvI1h+qyXfm6kD8QQtFo
ZQUrM+6vDce/DYEdbQrgnW3CNXh5hGemkeSdJvpSaIIhhj/eiI6LVnch+vWSoKJwHBU/QrtcWKpz
Q3tuQzpc81CQ5Bp5JyJ4KLZQXKvrfpy+0o36JRg0fz3F7W5sX5hqE7crLbPcHpwBdqGc6VUnBY2x
EqakScl2ejg+Nml+33v168sTeOZ5woyostEbQXZKegR7H85o8NFMYPeomLda06za+Nsv2IBQn+55
0dkiH+S/whF5JtHCYEDtC/p6Ll055+D8fTyoTzAd6Ukm9UZKGyeeXSG31PxLTqDQlWp8dKK6iteJ
U/XKClnSCvRjY6fDIU7j+EPRdQLNO4Ygb4vZ/2T6iDaDnp39bFPYZWKtKiFItY1be6ANoayNEMTk
jFCgkgWKup6aOTWA1Mbeu9Go7Wrdmk2tEe/Rzdqv1MzrgtUQ97mxgxu4QUWhCdEjbua8eXB6qq2b
yyt+JutnCSldQXAiUmuyb5Cl6pQRlaHMOW39fbbN9vmHcjtsICJ5pe+AmG7y9VIW4sx7wS0gqpuw
OGlEM8d3wd9DPPt0ToW/+oQX4t6TbocW7Z5aUzinyVy/bUfFXoUJok5Vnftb9Mm/WlXnv708u6dn
lk4F3FFkI7gdTngymrotSSThI8+B9yYBaN4Dg2+nYgGgesYMJ5+0KIdJ5F0k78X1hzgadHKjCJa9
wsdDPqm8CjXt8fJo5JoWMwhsEXEiglADKID82ma27v/UJ1Y0uOeGer6vuiFYUa1el5mz8d3pXnXi
XeBXJU1m9oegWypYn97wxKKwVzFGLiiAZ8c7J8P5KHwBrM7cAk12qzrYffIZpaQDTJrdusrUj2kC
GOvywE/n98iqzJupWtk8VjG+6Dj6A+Im0Y0zK/UqQqln4TievpJYomcR9njwF0gwHI+vmpUhgT0y
WdGQWr6qVGN43SWTtyTHe84M+4Q3C6wHC6kfm2k9pTKUZCLfi7r7cDfBv3B5xk4M0ESjiWZdLhfC
eUsexy8rcJw1RDUIbj1ofgCvHI+EG9HO6NeBHtctgi+02fVPKmZvLg9HZlghK8F4OMAiMrRIG0i5
EA9xOnQfe2haN9N62uabDnj9yt8463ntr8prG5zr1WWbJ5vuySQpEW4skF8yG29nGQMU1DG5ci3e
FePBqaKNAkDjV6xwEQuSQjwZaSckrF7dqAQ+Xf2+ir+OwWsTh/CyjbNrJPLbsP3i3cov/RQqTez4
AHeaEHU/y1lBuLRwQk9eFCaLhDZlBXxn0mTSvTBWgWEUVQgLatm9aVB7KRIT0VXErLxym3Tz5uUj
AmMC6yn4cWom0va2G29sFS+DHHMI7qJRoWGItoqFMZ0+zWJQz6xIg9LLKlJKm45pcx8crEN/yI34
dtjN25/ImYBuyq269pNwof50bucRzBGHkLXiSEl2raJWB7wO8t2l+gaNsp1TJO9nI3i4PIlnzZgc
KTK1yB7KLOGzNkRqTOPqyoTDcex+xEEFVjnaXbZybvNRlhbauCgYnSSDgTwDQLcQIqjz9K1q9vea
Qs/SZRtiQo78RxaKkApYDrlL0n3S7VC5EFSkA9Tq8NGCMfes0Yaxx2xp5UmrZqQhqLNsCuR++WHA
F166bE8nEtg7rXpk40iWnBBN6UZfNKUxEARPLb5iiDRTqr6Nm2+XR3nGDIhX+FaoE4LlkiX7qlFt
eLmedCTi+lpFXzdbWXldzNTJ/XJh858zBpEZoh9c6oxOfP4s6q7iWelcBVhB5LXTWq1rqH+V/m3g
x/Hh5cOiGibI1YmH4SQ/tvRXCb9PnSjKbrSesEvwuYXBY3tVBKbfdkvQBXVmg5KvKDB6ZnBN9wBM
I/EuU1DSIv3ol/m4c81xOmhqYC8M+vS+ZEqp9cNWLUD0MpIMLFEdmC4c7IXRECgr+6JLVlZcXpXu
eOUFL75Qjq1J12Wd2l6fApheudOnKTwo6Y/MX0jenh7BYxPi82f7hVzb3yOhyqNJyxKRLJgo6jKU
J44NJ3qZxqoCg3E7a9ANTSRTQPAC10xRtBxpvXvRbn0yBw0KeXCBTDnRjjHcbgCabyFbBWCz8uLX
VhXuC+NPpPQRUPo52FW6NX+aQYCLMhNoV4qfx6NKYYUpKlNIgA3WLbX5KxiwXnbChQmh7CMEB0hD
nRBgNVAyxzmSLLCPDMa60MqHQFNQJUTh5/KUye/okyWeahh2qOESIkk+4v8XsdmTCecRFClM0GeC
dUgmMVDKUql7ryWwGRS8/9K8h0N14RhKhx5vnwwpzwS7RzB6y00zAzTXLaK2eC11P9M5U7zvPLLQ
VtO/1ULakUMrXtit4uF79jD+tCimnndRpGmlbfTbmfmlV+TEvn68jbskyttJ53DSvnSVm/kuy4Zv
ukUN5PIWO109gd/61ziNYzujXhhmYkDC0PsZWfbe/zio5gJUZGks4js8u+FMq4j6ycNGFLUPHY3r
k25vdT/+4/JQzmwSjiXpdAqWvFAyWLv3Szc1RzZiN8boNrh3c6iumzHeoaG2MZpqoWvwzMzxzJO1
IFJ8wqAfj8rL/STtkVHBk1APtavehlm1MCJxA0ubkLfWJt4FkULBTdqEhUX3TDZjYogR2JtN56Dl
8RVl4AkGmnzJaz83oOfWpC3369KcZw2RsoRVijTqyUvQ+LaplA4LNffVrpuNBz3OXtYeII4PWe1/
mZDGotBcl0Y+M6cNXbQ2ZuWdbXcL3QFn9huvDLcfSmHCG5KOjh6WYctDQ1eHqh+8XqM6+QaJ9/uJ
jOnkKAsH9cwhOrImH6JZNDaF4AzG2lrpQbtqA8FA/O3yGTqzNEdWJOe1j53Jh1uMBEGDezVSkL2i
5PJCtkWxOgKiCpaBdhF8V8mrcqsCrqdeQHyLemNApoHKqhAo2lwezLkpQ92UypcuRE5lBT63GC1Y
VeEDQbTuM4JRj1MCs27u1AtJTLkg8DSe54YkFy5AvrC3HKFwSv7F2ExlOmb7IPNb81XVIswHfaw+
Fw+UpA374EG01V5bimoEgsbTWippnrk0iH5BUXAPkoaTKYR71QZpDMUKmf5so0YPaeesbHiUBmga
fmF+yWWKGFUQVknB428X5RG4fcZj8j9px0C/29VTgPNoGACI6mbjjO4Hs1k40Wd2Pw0PAhNC+wgA
IsmKMRZhZOggbIJq+MOw08+IxLwQdCX2CjbYCJwAsCcyJO83Cu/+NMU7yBEg50wJ+PiF+ivCu2c2
HUJCpJNAOYv2UskUTRtxWlbMHOUmIdGY3KZw2UEm4RzsMVhSDjqzTs+tPZ3HZw6FEepUqGyKE61V
7fq2f1fH8Fld3txnbZB+weGEB5u6wfHkJYYV2r0gz43jMrR2ae3HwU4zmnnJ0JlbCgwA3TzkC0ih
yAX0v6IcfHaVBHkEPV9kGuVqIWQ+kCx0jKkOk3o9ItEoIuddqfp/TIOzdBGJW0/yXhjYv6xJ3ktf
/j6N+rOLB0iFFL7A5TnS0xzhJaZJRrxQuoEFmUEdXGWFbm1fvkU0WqVogkBBlvb04y3SB00P5SpO
hjI7n7Wmh5pJXXAyz/gYXK7craKvkitdupF+n9bzucVDhoe0umAhPKWinIffpaR9bpM+tyytXY1M
fUZ0R84d0LWbBLfJcKMF46b21c3l9RPrI29QIh8CV9riz7xffe/gUfFSkrAwtlmcJLuEhrRDMiV0
5EJ9ulcUKD96w863atbNC6/N2SnGASaRTF4SbOfx9vm94mvnbh2qJrjJYLpIo0kO8phFnj0rzHKn
W7vQxWlJ6m+6EywckbNjJLwEAgk6DH//eIy/UePt3Mnh5sb3JlWDnK9k2XKU0KtqYImhtQ7tT5OD
ZoiRbUz3S973CwHuuVEiO6nrZCVpQZHpVMFy1ZFdkkWP/abb9rUb7YfegbtqaGAUqQJrV6mR9Wa0
+vLx8hY+d1jgrBHJUCqJZKOO5xfMdtrUT4L38aMdfVfCD7PydkqWcndnBwi9HwzG5F9OkmqZbSSB
blOkMirL3s3U9tpV4VrpLvPaMl0XKoRilMyzXaMusTaeu8rxZLgF8eBpw5ZeEdqcfC9TyOdRPSjW
pDKGbQzJ8tXleTy3W/D7CBh5Mk6JwQuSS1o1MUBcl/FWb4GUjKAuXidGAReN4qnr1h3VhcNx7gwK
JRnhnQH9ldl/Ur0MAyUUAoi58zj62qGw0o+TNS28IWfNgJ2FUVhkK5/46J95S6JOO6QBZuKs2MEg
SXWxhRF7//IZFNkySzBGkxORduLfK/gnpPgo0FLwM2mzle6yX5RzPN2IQoiP3BLxBxhouRb869KJ
csme3X5sSdry/y90I59UnY/fSvEmE7SLKjWIHSkT3bDwRTkL7KWTOWs3HM2daUNquoVi3hzYwary
SfFmK4Q1z+Svcc5Sf2XjdSUr3879ahWEtTYDE4MLddUE/nTbjIryzS5TeG5zuILDVVVakbqx26T6
OtC5C7ArqyD0a7sA/THEETr7VvHs95f37ekNKgYmaL9IMNOnIk7Ps9PR9xOXdME7oVf+xku7m3DI
3qUJjI2j/e0XTGGJ65rLmubjY1NzmoIg7blkwjA0VlECKCPg2YU8tLia6nHBvXiqap4s2TNz4lJ/
NrLcK4sozonJ9D46zHZFhaKPbxNDfxcaYb9y0v6/2PuyHbtxbMsvEiBR86uGM8Q82OGwXwjb6aAG
kqIkUqL09XfJVd3lOD6IQLru1EBXAoVEGeV9SG7tea/V5FPauFnlVodx6v6iiXkmQl1zGaH9m3jf
1Dh87wR5Qj1BFtXUOKjgLjpPDdYY/A6g20SkC2aKE4yHraDpWZyI5Msy3YrK+dsuFs+EOuvG14gm
wKmt/M+jwTzdc/z5NUIgVg/R0d3AQF5fY2OFHsFeg+E7Z3JzQfzhOgwqc8ebHkMawnlGZMDKdFyw
KwiSjMJ4Y1QAD4jsZJ/Mn99WoXNGCGBUW4YNb4gf9frH/DHr6M9Sxy/KAzuH3RhM7AKkDLMpsKqv
Bf1/HPK/iUN+8pCA3UORDutVmJtHZIMBj9f3+4cktSfG7acUspE3gGULG+inxIYrBWpbEEN356hN
DnqMBoAAdXYFsKztgsyv2Xsb4CfBxj8kAk5v68yDUee0b1bPzpLOIxyAaQViXyY5auGTOrIlVsXb
38LZw6HziA1kdNB/i7pXwtNQTjhcxIZl7weWFDWN2a1DjbkN4/E9fvXT+Yd/nu3/Cjwtn4D3bq64
jxHOsAeEsk/1S+fz5rpRzgsYCPj3QevuhbpRDa5wzz00I7ZjOuO+t+J9Eqv+42egBLrNfW+84du9
/GLXI5ArSikWuGKPBl/cltHDMBlVoJu8fCag8L5v0wbIp2/f9jmF3fDysQexQWakJ1KdFvNpWFpG
Z0C2hSv4c7rW394WcVZ3fhFx4h//HeLf05L9Py4RpGsbNy7s+umYgGPAy603kuEA89Y/EG0Amoit
WJUBeTQQurx0PzLbFpb4fZXFHVjm25XE5R8cGIhg+FI2bLLTyHyyyrPG2WYz+07tUiOXHSL4p0C9
1w47r7oAlkKtHl8mEoHXOsN6G7B0i8tcw7N0FcUQgTZ3dC8s2CSoMlkHPHMX6WQWju6NAeTx2yc9
jWl/3jcqZABbQ+0NjbmTMOt/hOgPfaGN+hke7rd05d8h/Dr3vW5brdvWHPB5Tl858DnA4SYHX44J
wY261Aajy2JcQ0Czq3TMerQkpt3kYtovf+fWNy/9qxffvAwyTKwrwBLDTp5kEi2qWzUbMbYHVHO9
50My3JOkT0uA3XS7iY/opYBx8qA0uERFTeRlIt7lOTxnplE3ANoOxlvR9jjxdFhDCSX1OWZBnTH5
zEcb0Uxj5qLKHduuvEgcP6W7tw9+7srRw9mghOGHfsNtq1oZqcb3UUMcPPO9mQfvAyZI/D1lUH8n
6P5KTRB9+tsy0TMCmOwGtIc89MRA9n3Np0WiRdUP482oqr0UwEaStr8dOsaykKp3rMdpZLp9Uzgg
YOkw7oCo+DR1EZHLO2fLkyYSNvWuboj9ZmFKKDjNXO/7wIyp8mqS8mM6WaeMTax/hNrGC/jbPZpk
HWsBMf/2LfzU5hOVQ3yKwW/EyriPUyf5v5XdrvWwpiqb/6fY7c45NQR5G54aRv1Ruz/51P4rSSLP
fPUovuKLx2gvipOnRq/qAzsnluJrcO/byd/Z8AjwtQLwNO8o3BnXhoIM5hg3QDx8C6djPxXX2v/Z
65kX189bTH1/kaAqf2jmrIlAYDjShn7CvgsDZDp4eMDGp4LCs+yd33FSIsXHiJ+BEAtT72jW/MZM
v1Etpe6yFfPWjlwNXXvHKKF3KBoD/FY19EvKVXibqL47vP3F/R6YAZ0UA4loH4J7DnHEa9c+cDUD
mdxulXzgDCXeFfZ03hlwOCMCjJVoAqFYCUC7U+fd+BKU6BzmtKqxbzGP8nODE70TIvxus7HDB44l
PCZybiT6r8/ReNXC2Az2t6Zv6yXTHihYytG1ENu1QHTFDkbQk2wRY9e8U1w4cz5kR5iZwKwVoNhP
DSk4RUeHWYIrXCN6pVxiCx/u4+8/FKSg+YqVnI3j7cQZR21suKrgjLnjijnrQ68C9UFL9Xs7Umdu
EqCUGxkPAtvgt5XsAPQmgIba6me+JBerb5/J0D1ESU/KNDElQgW6f1sHt7d5bfS37e8NNhK91g2M
4PXbOT0weHicQkEAsgjvnu6Eqx9dMnx8W87Zk4E5YltaxtjyqVUBqQSLnBqr2N3Yln49f+5V89XB
v6sYrwcEx7+v+BuuGMaVsT/4exwBVNkljiqcKxlZ2ZvmUfiYOnj7TGfv7hcZ5PXdyTHGfnkKGQGQ
34F4kFXRUtSzfUfM7wZ5W/f511FOzEQY2EHVYQWGW69FMNaCWW/MORRV77wl8H5IMSDT+YOjhRuQ
MvQdmx7bc/6SqQKTpIlrCpkgiwtApNPUORlXm+k4/ZtbF5v53QBft5n2DQrwtO7w7zG7nn2yX4Sd
PBnpx7kaAxCVT473rUJclTVSu9nixu+YjHOCYpSn4dIRxP42G9JQnQZohqPiMA4XLJmuZCcfoZGP
b7/TOd34VcxmH395p/8Splq03OFIEMKm+K/X8v4dYudzpv1XUSdPZYH6ge1HJF+tSPdY+rxPrPjw
9u2df6QNfxXNIaDVnBi/RJtg0dEmQkfXw9J0eVill+vK/14f76eKxwhx/innNLJW/8n8vhuC9xa9
AQX4NKbC9tIfUnyfM+hb9gJ3iC03JDOvNcEHiD6YkHB3IbujQ5BRJwb5aZUx/+uovd3bD3VWzVGA
AFoh4jOs1L0WZlP7T12Q1Y2k9Zcg7m5Xh5RbGehtSWe17hdJp4Zv6txhdRArMSZugZhULCl7eVvE
KTTST3UAXDhSa3DXIPI7+Yj+t5EjYzACi864dsARvr73rve0qBdYsWFAezAkWUzssR7+3o7IP+4D
EwKYaMG87+9BarrMQbjZylaG9zHnNtdmOTTWf+xDOG3ZLe8IPPfdo2GImB8w4JB44lFbwDs1yQLd
jea+DGl/MWPx1Auru7cf+rwYTIBhXxczqaeVSmZTD7wg0KU+mTK6PBNiQYr2N8GJ/3F7WDD6P1JO
7GQ1inERC9AUU21oloTsIRz0ULx9lHMfICDukUpg1HkDKH6tCP82o/S5zxCFiI2QG7U+gH+/lvfn
VNnnBKHW8RPbEAiHp98ipZgoRgoBntOELEc90xpVPf7evNq568O+MQbycCY4mxP75bogNMf0Jipp
y/TYKnXPYwe0B0vHM5boP4moUEnYgIFA0vNbMSEwwoI+EWcyHDgw3pzT+g4QpeXbKnH25n6Rsv35
L6HHOv8Rk/y5bwhLahvVBwZSsXzwWgrjc+SuHbBqfRuDDHXCrRnnWBt6fPs0Z+SAYucnczNgZFHw
fS2HKC38cNheaEj3rCHXsx3uwtrf/4kYzPOgrYeC6mm6Jam1nBl8rCCyBYzwKrxPRmssUMeR/fC2
qDPvg5gGmOXYdMeI0ukkrd/HSkwEwFSw7DO4FcnLQOs/uDV4MjgyEMzhnxNP1jFUcdcFrzMmCd2t
WsNJmCPAnt+DVz1TMUXb7GdZCoUpDN9v7/eLtv23Mcyf05sUQ6CYLdoasqdfNvUwUBPHgPBPmuDo
t+6nIOmPRrrf337MMwYE3ct/iTmxv5NlsYtROmTo8TT8cIZO31ZjXd3KCbO1y9qzd5Tn7LE2dxxu
AFW/rYamCfUGUG3DK/ak2dmaf3AsaYu5icPdH5wM+7hY8gGSwG/lxqAmPo/B/pFZzLsA5DUPkZ3p
Su4U/fG2pLNn+kXSiRHmqy86uaJMBT9gC2BgF9OY7LQLjMK3BZ19LKAIADUUV4fre62rIjAdFQZH
agN1sXLA2Cq/Aog9mQqhl3c+wfeEnZhhpAFdE4VgUa2MezlYeW2D9WKbW86Daq3fOdn5K/zXybY/
/+UrRGWsXtMUatHVZpfU1U0y2336LtfbOdMFmK5t7hEzjihcvhbjA/i8aUfEZGu1PFtfNNu01Xs+
+YyQzRVj+h/TMujknoQYYVhvlS+NSN+OfhYO4+WQkIe3NWH7oSfVNZhHFDXgWraNhhNNqJwYcPEr
7gt7ZQeWPDMM3Ln1VUgtQA/Kt2WdOw8KKR4q2EgAfyPIqwaTTOynByNREU+ibOV7wG3vidj+/Jfn
T01DgkbDCg2Ls4xFxRvP5mTRZnxHqc/eG1wXrAJSvt/8CkL/kaDHCT1rLkwc/AWsjwdAVe4mDyjQ
ig/vqPXZc22ACnBXKCSf1gHG0LjD0m/WDjCliu46/z3GxDMfDsY9kHCAQBJbk6fhhacQ4gLxEjTL
nralIwG4N1Q0LUfTv5N0nD3LL5JO3qidwlRiZBDF/m7SObi2PodD/dfbqnb+NCij+RvhlXea2ICw
tpocMeN5xuEZ9TOac0FetOEkf1vQ+cP8SxB5rXAtwyqa6AyQa2W68nzB2Zxdsgb2b2KgbUkU3udf
gk4+1IkTFlmL93ETcWu67n4M15e3z3LGUL8ScfIwMk7bISU4Sy/UTbzKK0Du7xJdf4078fi2qLOf
D9zPtnyOONM9uTZqEp5yQJ9ivSksXNPtm/WS+c61G9gs7j++LezsG/0i7OTqoqaXkgZb5Ey9Dkwa
402IxYl3FOGsxv0i5OTyUlW1NkQvJBv89KWOnY99MnyXfvoebNi5RwLMKRJ2LHqiDX5yc2uqt4AE
j+SH6d6BSxg4oLnJDmniH5wIw2+oYkb4h5xurM7cYUh+cW0jKA8a4YAKHqNw8Xv9nXOq8JP+OcG0
IlDTT7wcrKgeVrAvIz6V0w6UXhI87poVvSDpbQzevzx1XPJOfeUnTP+p3/tF6inidJPyXlvlwkAA
uLDNV8fWLHOp1WUQjVGJHXJxYzdK6LhqqkNrrLpDV6P/sE5S71UH1lp3qjG0TNeouW+Yzx/aFNSn
FP+JsZtj/TsmPb684wbOKRmi3W3jHJUHlL1eWxsRUh8zeVAycD7yPG7sY9W3ZY887h1B57RsCzsI
emGY8jkNCzaLmfYhtCwFfg/4/G4Z6l1tRJ9M57yn0RuY7Jko5OeKxba4//uqkXWVHnx3CTOPr1Gb
Y+iyanNNGtPdtqKP5WXjajDnRio2Yrdg3d7fVfNg/MJWfqxvnWRowRKzsMXbB/ib7H6jPK6uAa7E
/BsxoEgPCPlIzPLAOunKx1741fpEXKr7R431gofakVNTkppy9jgCx459BZk8r/YGoz1zm3UdcuJt
JXgU7Yd1BsbdVTIBjbYwfsPjC1+m4kuaVlFwWLyRdY9h1dbxruKWOFc195yloGzwbEarWOKQAdaq
Mllv6BuLXsO+lDbyxylLsXe8fk1qW9flwuXS3BmebhRyuu6/yN7wrhQy0iSTszvzPNAJVKHDUdRR
R3IWeTfEqv3sy0bPYBBaK4aZKCdgXzC+k9prvyHmtueUPVttKlIKESf8AMJ3IfeT56iu7FCHGh+x
WNGpNFOC+3yPAbP1c2giO5cWiBXhEwewX4r5qn5WZS1StykbxEJ1Ec3NrG6Weu773DF8BaGlG+O3
mgntrGx0qolfgLVG3qweJaRIYck+kUG23521J5/auY5xAShGfhsjpa8kiKZvu9AH1kW8hM7R54t7
gKKvn+W0apmDetv4eSSDSRZW4H/LBxHzBL3HyYC8otKOAfp5L7qio7wds2qYsAXCoDu6GMGPzHNW
d/1YUPSdAVw8tvp7vdT83uFewvJKLOOFMUqEOZDybHtlklD9aJ0Aa6PoDzrXBIWLUgR0+WrDcf6h
iQXJcx86tsuxUxbfe54ec3QZ1JDZtY+qrOv79ot2xpjl7qjHW9DOdV5plsj7wcyclgPYdHTGYuxO
Zguy8zaPw4o0mcf4InNjl/EQE4N0CXFNKzDPaWeAMddj0h7M6E0XHhKrv5rG4JBr0JEkM14NdHYg
0S5JWZmgvSL9EO7mdRmCPFBrXQEXrwLmHxtdc6F6tTybpg9f6roCgtYyTw/CG9ePbsJYkOMc5uAF
Y7NTyjOIpxV96dy1uev7uU+xdzPx0qiQf5tXNg+7KECVnMsh+d7i8AdRt/HliPrZHSMD+2EWV905
0vofY7HM10GoxL6G3u4SV/R1JhwsgHSU9Pdgo1Pf+ooj94mV0s84LQBFUcJJd7UepiVz3Wq4bHwb
Xk2Wti/ExOldQ8ahAdagrExhHALEQaN4fGNqoFnk1diE9CZcWeAXfdjQFxNPES8RHtidIFDpjIVD
gK9OOxIzPpX8MYPiSBd6Cpowq5NuHYt58fwLYccKvikdbqNUD6VD6XPAzGe/b55UPPb5OPptLnvF
QPGEuVdvnq/YOu69yDwBNRdguaFpc/RexlJoP8mB1f/JtcLA8EWfsCsIP+IFYsdIO8E/xXccEzpo
Mlh5QVvWZq7EDrFcYvZUBbT/7i+C3SWeoOWSqgOQOaI8JNORi9HZmUniA4q76rJdmnWPh5LI7fzh
C61YlSVpf0F54OUj5swLXAjN7dSv2dp0ANeknvfU62E8DGp27hpWudhUrCLDb3rZkWsVdf4OPH5R
DkWqc8yf1td2mo5YSuD34cTib0B+n5/6fhH9A9xWUM4hnbxjold3yn3bi2vhU8EywekQFUCLTx8W
h/gXGjVwk3tUAInXl8DjCFY1fqrWVWeq0z9q3UXFOqqkWKbV7PHzMXynnF2TpmsWJV2Td9gmLYhs
x51UkuQjrvdoozEoEJJdVUl4jMTQZraHdXO8eM8W017AbUiIG3sfbRbq5J1KRK6XKS0xCP8pHIah
jKUfXgNDpNr2muWdAmBOPvv9E+kdkrlxt14OhLIH3a/10VWALZfEv9acXLopTwEN4xPgQfsit/AT
merT+9Xrr/xKBllL426/pHZ9MiaZi65Z+ryi3q4zAwMaSTznc4Pcjwb4oj0bRLkh1d261mGGZCrI
UzHcBgMw1rtow05cBxgd7ie7lkMV2jjuQSGXhIUyMbmcTHgHtuivDhxaxtJlIy8Ra74YBvLoVg05
dvCmywll+ywMV73DaBNutVEglJ6jfaKapNBSsot+8i+wW5Zk0djKfHDTnE5clGtS7RsMqGXglYqL
VLqYAu/WaBeqAZDAk7FZ71ggUqdSFgNaQvlcW36DKlV8mHhb5aKGMvruvUUyhTsCw4rTUtxNuE5H
V9ftLrIuGMCIf9nVmPIl8CW544sVQzpuWgBT4znV2st6bXSZJLLLeYWFP099VTK2V04bfAjGeCza
ZnwCe7Sfjy5WuBcS2BJli/Zo46YvUubqomVK7+t2CS8dKp194k7zxxgt3qxxdFC6Nr5U0wzAJNlw
QNvPd7waVT5QqXLVzwROmRxBPNPtzRAe+mooUtuF5doIjO5V9QUY0k1RM11lemrwzs7kl2vkfRlG
0MRi7LjPKokLRvi/5m3A+bHhq5cFXStyj/VJJlq+X4KWZbSertClWrPRCAzdk+EqoPBRVRv6R2iV
g7QXC2Rt1XwikwsMtiXNV7Z+qGyrioDry044jzGc96Li58YXJNdzdAB9eJilcXWnQvrRBGufr7N6
oF3wXAUw76kISc6CfrpnXa8KXP9016TNvOOG+IU7eAW1wuZzKj/N7eyXXT3Tom5RcU9lo5AiSyd3
mWbY2yGyBOqYQuuRqbyuEcQJEw6Z6LBRz5f2hwE4UNEC9jwHBpJfVDr+ThHDePXyGeDQz0r1nwcz
3JIhuakrc6vSeCe9EENAoOCNpOM81cy7FTH46eZELqU/JhfWNU/eQB+qwfV38erdetNSgUFntC/d
LJK9H9YKEJXCbfDXJIuqs7nlIPeZxuYYDKTeGRKtuQPGoKMFbh7ir7Bh13HQ6jyZXahF4qyl0X6I
OLVxS+0guOr0WD9IDEUVAtPqlw0DOSvly/Tgqo4+yRSOdgiC6aEJGn83pZO8ViBz34OhprmyE6ni
skOL2ebcEWFSyrnpl3tXjfgogVVT2yKNZH8IVfzRC+tAA0+UpE3mDJHuCrpKz81aJWCie3e8HkN/
z3zXBT5aS0sgnOib1vbOk3ajBfVSdyxwkd+ZG44Zj4e4XOa1Ok52SjNTzStsc78g7IgpQuJJl52K
EfiFhsD8Q2mjpa5y8AlUGdWJylZQVB7SlF1a2j2D47LN69Szn8SQmnLmS39MtyVf40bDZSsEKdq2
AkZox3e1EXeBP9y0oQ2KUK/DLjb+cgesgqCkjjfvGqUPbFXLjnn6WFN2wBrvAsotiT6Vquv9ImM3
k77QB2fGMkqYiq9etK43xjDYNYXhtA57au6apEegqaUXrmjZ9djiWnCr3nGkFdZzQJH3EfQTiLYb
ECIQUt1WrbmRKpgLQJviu5sGHwSB1X2wWrlPWcBz2vf4C6OryaVNLrE0kSNM9vPJAVBco6xfSDzX
D25GsU9W+7imvgFMaTwUTRsMR4+jBq+0W8aLiYD9WdNs6FQDP9feIHzdBXrGElGYLhmd1SG0IF2l
+ti605qlbfJl1NN3hU57PgDOZN8A0LlIKvZD19V13TdHxdVx4MPOd2R7FejmdkXAjHUzHiDUhAVx
uyTN4nRKMjQcWAlMTFjPeUK4hAQI0Vs++O0D6K4uYKMLpA/fm1F94tNcUD6udwa95VwhY8zRKfkc
CxXs2i784dm6LZc4+C4rqNBqegRhFgY6NP0RA247x0BTJ9JfNXT+wGiVlsQCYRXFbm/eVpk/hZrQ
nBGMbWZK8icVeo9eIu7noE1vXdDWXcVTi+RhPAiC/Gox7vfZbcuk49MujXr2FFEYaOF4TRGytM+0
5gdt+WXsCefCnWAYKqezgGrmw1XSIMW0it/DxV5qNi+5bPUVTxyQ6rZLJhegE6cDx2bySC94vRZA
VfwCjc6nmF+TBQj4yJPdhj55y4zEzR5IgHh9qbyvSF6AaTG3BjSZVb0DN25VxCoZ86axHBxUDQYz
Z9Rx0P1JM3xOTc6nCpovmVPU3hTl9ew3mRtVcdZybfIw1vFHGzOvz0xEg4u2xswvWLxa4NX3132L
nem46uqilS18AYmvROztQe9XF4PynWxw8Uvatn0a52QArtwIFGlwsSC1UGkRYbE7X+G3vUY8obN9
ScJRZYu33NpqeqnJCj/eRV7WNnzKo9lUV1QttxSRa05m737liV9iJLPoFXZxhsB+HRg3RTNqrIh7
5gdNVXwLrlvggdPp6yL1l1YQlpOwc3KmXY51NXLPJ/+e8WFfUSy0u3P6CEh0oGqHyQ9AnzQ5dk14
XiOdz42ZG7ypRthSj8/W6b+BfeKvqEJ8DxJkeewHauEaSb9zUu5kZiQqA0VuOcUKuVAqLtrI6IvE
iRVWLr21dElvLrXyUPvmwUsHFEaQ65GPCmTrOF2PLTb5Ikmz95rwWrXJnCMBW5HbVwezVBeMdrfK
stuRIRAa/SFr4vlLUtGHAQi85drXf0nE6tkyyeOwTp/JChSDtU8FTBzYyL2B3TvABQDrzM04xVeY
1XuxbIkybpyvc58cYQcv6joMdoBWvrZVm5Y2pHFuwL89VGrP+uEbS+iDnBQiwdUfHuI12C9J+t2v
apC3DxaQR13wCYnPnc/ba5tO7BIMgp/r2jJQD3vPQGwW+Vj3XR516+fOCSfcSnKgzSLuAWVgd0YY
bPIl4wVmrq5m5BL3TTT415Y2QK+WYR6K+dJfEltAjwvBzGWTMp6hi7Zbbb1HvYZvSEu4F+n/5ZKu
bF3u7CuG7fw8ipbgklv3ryYeP7NVOiV81oeVVXedvzy7+MuN6w5FUDkaObp1c9fU+4bwY2ybS73K
S+yPjjlxIveOifQoHVQeWlLXGeo6iMnmlOfhFKLEN8xNOfXUh09sLppZH4POIwUXgJoZ4+ihoh28
P0l+0HZ+rLp4D9N4Sz3HFk5gXwBLrjNMbfmHMdRfB5wnmoXFnudQ+u30A274Ruq0LlOO2HBm6Y3v
JQUPnIeIeabgnbwHNKnOeR/s/BH8OhP9EiNAQI0EGtg4IIwJ56M30ZfI6ZsD5uGBzFp1h5UNboY+
Q5L3DvBmxap/VH3NsGnSo6Ywl8BfeKpq8VAPZNtQfkKccx330TfTqCCH3enKwYnizLjSuZIz8M0D
wGNrKuJ9o4AnlOActJ9MNiWVLOtej9fzuKYIt5rr1vUvQoZyTTt/T3XyDKR5f0dHSi8j/JaMOE2O
sfkGGP8O4BmS5KYXSHjRR9JFHE9jxoRds3bRdaZI+6GpgvuJeveEgsdXBZRk3IP6osJTDl3jo0pD
HwDylwsZ1seqSfQ+GWF9AoG0j2mku/HBMQrNVsaPnkg+pk536QzBIdbOVTuQY0hp0YoEoW8V7lFk
A1GTSOAauoKAJuyQrNHnZWLP6TLuedvgk6yOC6D0M6CkTyhRrWAUQXI56PQxiZqqsJKyYhgQb7jz
oe4IyZvUuWQIBfLOR4EJUGJ7PYRXNgoL9GaWwq2a713nRdhHbI5yEEOG3r171EruWzPPOVxMc51w
50cQmSpzzPiBkbjP7EgwnRpdosKcTb2PUniHitfol3y+widQAhmqHKJvtFL3RKsi1fY79/tLJ9E5
Crg3IxEPE5YDUz3tFVmf65SVsx+XVq4rpruXR2mcwuewaigAfgkJrfJ4ri/mwBSpCNw9Eur7pU/2
zMb7vmvKIaW5Iqx0WpKt/lrOaJbUKsn6KC6SBabVry/48iPd6mrIjhAbefZDl9hnj84a3HLhow7N
fnSTnNfAUFw/mXG5Bln0jZoabAamULtelCS2L1hm2Yp+U5WzZv0om+XTkpDHUGFaJRzDSyAbOvu5
kw8LtCg3tXPo3H6nA8byKQpvozq+dypxPYKPF7Ax1aHTwZdExt9CHT4DBxp1kADK0oe6TIPogLI0
6nBj35eLdsVB1+I4CFYjWRh2REUviyfwSY8XYoaFCtyDXGPsW04fEy4PzRxcokdxXaOkUw3ipk4l
JiWi/VgDl3xk0UVf9TTzPOdQUTA4g3vxzjOBLLEUOmdpPd+mC73Unjw2NLzy+w7TlnRZsjoavoR0
zkU6XUiWgC/F3vicjtmq+p2UzsHRxs9k1T1IOTwpf7rbghqoR38BPgVVIk0GfYAQe6VXFCR6lNnC
j6FmpSI3xJkPAgGz7XgJZ82y2umPkY/evl2OoLK6xJNfV0N87+umqFOntCu9VQYuIKmS+0qZvUNU
zhKGclqa8gxJANp1MnxyMCCWYzYBb4SYbxqmG0w/7zRp9w2yfhjcluWcNEEBw3/bMucopCfyZu6+
x9h0gfHOCGnydLR78J9ncYtsZ0X3r53+Uq37JVrYlR+IJ8edHsLVglXILvh/qfrYLOOjH5rduEGl
BOLZafuCLU65+BYxOgi6M99DRo09sIPQUz4oVk7RVC5RUFAUcdA4pXd+rxHsqPrQiuhmovPXNZ0/
JOmCjFhcKiIuQuteDBpsp0vy4iKLywDIH2TjQDOzTDc6iuNcihiEXm4JzC+YTfbFIcGLnfTjZDDj
0jfBp2Rqw3yt0x/U6Z1snqi8qMnCi65CFDPX0L+1vVLcbTMypBc+gEZL4QfH3pKditvdsoafFtXm
HcX7K+9GRP1nFtJjreuLCkZG9CgbhvENRlPLRP6kHLNfXeVfEEtzip2b2llfPDEWyPSvPEQUQ0uK
ufZvGUH+MGMfPFjnC63ly9KhXiR4fZ2iZFH7LFPsW4eQUbvVuPPpcKRifljIY8T5J/RtEFYnRVTp
A9xHNqnlbvRMmDtV9VX1buZ38yUDk2o4Bmzn++YDaCHuI4ebLGHDRe/Jsm0BzzRv9UnKVJLPg4rz
AbXmXNEJvZHZjAWQ4o8of31raFsOQ4SCUJo82IjlyhnnXUzXO4BhPwEqA7hOqzow6/zlNdIiDZMP
qUuvEpeTQvfsY9giAxQL3+kK6BX/wdF5LDmKbGH4iYjAm60AealU3mwyqmqqgcST+Ke/n+5ueiam
u0uCzHN+u4LA26N78Zf1e3GdW5ADkgBQbEuegbBZ2C7mCXxRMwzAiMo+esZ4yFmcnaHamVWPtlOw
ppCQr3tAEzjAr3dXZD21EaPh07pIpCbLZoT8oN3ikq7md5MYP0lNbmfQb5O5j4yk3mVuQT1lh05g
0O1dLqyj8o3YnwNYFrUlQu2hcN0OUMc7e5AZcZGoqJfjb9qUNA45V9kwvw5Te5hNEUnISTWrt9os
D2s6dLygZNK7Q1syEc/7eWh/utoG0m6tfTe4+kbqSTyb6qoPsFdtdrb6p1H1oICrecAXdgqk86iV
2de0uHEbqC0K9AcHrqjsol40p7L3Y+v+g7r2Fi/lSZX2vm79yPC0Zycrjloz740xuczzlNLi3BF3
YT+Znh6lNskwi68dGIepFJ+CPrRVyYta6vlWWXLbr2+9NfJrcfKTxoqnsviX5f6Li/Q6quzyLhaS
y9b0RR2yFlQhdNxBQshkacbD2php1FbMb+5Kb4bhkD4rQQ9NsZBWyI5SyDzOKpqvSPC3Nq3I//zG
v67B/Guv3qPdc8YUufE4iYACu+Zv8CQMWn6E+uYd5PWyfJ729l2Hblza8dYOl5H3eGmS1ykzP+Wg
hi1DZropUDThmDfR7KudaMw4ZVcMWAcWPnttfdYMxRtTR5pmIqoexD99SoHrW0qDWmIygXF855UX
Py7T9ybRd4Xp7zObp8lnm8qmHYhk2HpBXKyFsRGYnbOMRbaUPzTV7IfGjJTlR4nmTtAT5CMXvV5F
yQTfZVVTelUrwsh2Bp8dKsPdOzkLm2HDooyGmB/G1FTASD1zWOXVlzbJ+i1imeXULkQb+K5S27au
5COKp2RjpOPvmLhNpAZKPo0WgLDQ9eob8iolmrw3oqIzZaQ7crjoZlfEmg76JGrro0uTKjTKJNbt
8l+h1UcGvT2Hc+xNP3MzfRF1uRur9a+TRuiBZiTlrveSQxdEduUiFhcgr3gies5vw2sYNfA/S/O4
1PRxtsHRAMkDM7+kPfG8dTKEajb3Y+MdGvqZ8pwBqCoUk3Sndk5BKIrRw1eOm3lkSzbqnTPWseMt
PLD6rYKFErzvomwuQ81WbnnwSVNM1cxN///6OV56AuSUTXpZXkW51pwqtAqeMSmc6MUBXnAjCRRP
hvZ7EtputMo/RavRim+9NCk2L7IXnTjaTanSczkPH5ZcL96dcmY3EcOH6aHJ69oNrtBj4yZwC23o
s3Bpv+NE9cRkh1piXPiwzllp7hvbD1mkOJ2LvSa9ozca76np/rpBfalkG4N97LTKAyMmPVxcgXLy
36z2+tANKLHoZhXnZrCVo7nHy8mXZkTwr1u227DoymNrZucZIsa088ciAdvotuhT4C0K8Y/omoNX
whH2w8XWOT0T/naaeGsTM8zAfDyFKBc7gTPv8gIQCQQoQEcgNfdWFa/19FKzWMhKhh5goSpuOegQ
3NCLlc0fuTuGQ/WnMu8lad39UHsPxty/GqLb9mr9S/pxa43ILcYsXkVqb2RTfs0iexbjCLL0J0YO
uTJ78qZ6N7fF3uoJ6ABikJWRM9nxJKvkM2gulZ7tBq4XNQ+/bt1fHFBQhakUdqQMq476nco1d96k
XwLsCqvPVhF4R8iSw5APu9F/5eeO6nx5Gi1opRTMZ/gevCXu70+zGRw7b7gioTrVif2mme2zgYl/
hUXsJ+skHeOcs6dMY7tz8mNgpcyMYN7AmX2+nAhFP5dJHUlrso5GnzzoSRbPvh/pDShzmbzYnY7w
QR6bgItTGx9SeznloBNDT31u0XmIbcG8tfUkVv+nSNzNXT0SaNleC2han/UXlRonYfzT1+Jgru5p
YMBuQAPzBT1C683AJw1noTd+8Tb8BeheqhQa2CwfiuUwuDeozefULC+iVRfpVGFTLbfF6k6rPAYg
KP6abpY70yjMXQZZsATAcVNjHepE23Weulmd9UrK7sa+I6b+5P1UffbbFMIB8XcrYIHqUN4/oqH8
KfzmhRMqmothW6OrWrgzCQ0NCzBxlenfgTecB1GcDJk+01uPLArOxJ2KD7cu3k06HcNBZpdCZJwP
2nOQObx707GG+20GrjIkuNs7wZI6s9pgh6ExMzll8xo5q3vN3JolpN4ZcCZ5Xp9qIQ5Ok0e+GkDt
IJRSPs0qO/P13HiEzsW8/CvcgsmRcmPV6m8VqRGe0f2bzQ4cauniya2/ArMBB5yeRz6ZnLbWPmnp
UvDWF+FwgaVms2xc8d7ecT1HvRiJgO8b4rxV+8wUXWgP5m5iPN40gB38r+GUpM+D0h6tdr7BA8fS
Nh694Is289iCOi+G5c2YsfWMXhpXwGCrD/YL4JtSbqnzyQas/+ME390YWHNU+tas9cEwx21qPYkh
/yaYIfSax0m3IuIej/mcx14uuPnXSBNd3CxGVC41bfBV5Ipp6zbpybLQx/rHQRrsMa248h6e4FL2
nlW95tI6Lh4F5Bm3SzBsUaCEYm0eNHfdWBDDnfPaiumh87QmBED06RHSaV3ctYb2X8XRAD5Cs0f2
N9v2bZbTWW/fx5Grlf2jHrKbrgpscxAFcr1q+rpfx/I6Ls1nsFgHqIJNiyxFqCKk3A05P4BkQcRH
whQsQYRHBf6cF78j0aTg4zgmIBMGS/0y7x15uBoSRfOTl9nvljHuOrM/5p32qJvrgb7NN7efN1a+
sjE/2FoVzx3gaOs9et28T6tpU2SHQdwcTsuEMwUlSbf+W4syHNd126G+bSp3l+Jl14tTPb9xYxy5
Lf6JKYnNRtv4+mvmB/tsLM/dMsZ1p7Ygw6/roHZlMTPpp33cOeub5ky7tDL20uoP7pBvyTIgmo/r
AmLbZwwxxpdJcy4YN6J89B9tcBCSvDZl9+22SwS2GBJIdFlq5+AosUnEGM92/l3AoNhKCy2CoO0+
2BSrHZm9uc0rjUCiPHYaY5sScaYXMjL+v7nNtPbpwWuv6X+ppu2KkknZbXg3seyeCNrbpgkYejvd
RpWde9q26OJgqdbYwC075uCLugzn7jx2wJraubaD974OLkNafwC1/DfXydmmyxSc+iC1u1xR8gBA
yserc8xzCMdOj9Pgpk32h5XJU1FMu/uSozfZzjO7cCm7EJvQFtIjqg0NuPgP0XDoB7ztyvo3DuLU
gX1q2qtPAlNkNtPNLpejjU6CYLOnynSyjSHldfLGc+82j52047TPz7JGQl1b/905kWw2b5NtvM9G
ta+MdGfW1m5VA6w9Mal5G7uzOhSogPKyiqVnRquTHI2sPCrxLeb8yiUH35eh26mYHp1H7FTbe3A8
P/a7ZWdPoJef2iQ79EMgarPgPKrsuAAHaOdy6yUqFNPrUnI5OdbIeYYUY5I/M0R2vTQnkwpdxWSg
xIhJGslBTJ10SLEWYipSZPl+l2agxO/LhxIt4WUyab3Z+UhJu84mAYFeDA+OTpdo2lO/xbvrvpgp
RdQwxggXnDgAKtBpUG9RazRdZKYuuGl9ScEIne7qiXOZ/rQqQehVshlAgHuoMDmSLFF/mzN70ETj
+2rIo7VOHGYBgIIFByanh1JZHzU1KlWBqqEAAsv05VxLP/TcU6mZ7KK3wWTd0P8rFu+qCjsmdOMf
0b9XElO2GQXJTb5yxffnyf6xJcr9fI7lmm8WITZW+m9ollgzevjQf+xxG7/tfjOZbhfhnd05DzXV
R6VqAcHSS8FA7gcXndU/pZE20gtnQ/3QeWDCrZAwbkxOuz5XR8GK5XvdLpcHoacRooZN1vJOOeZp
UR99R5BRV2SbwhxeoPZsLob5OhbWj9txI69DfWUU/qzyMh4TLgSfQWDj20yxbjt8F053szXyXxpc
Sj7vtSF+3AoVm5O2TEVuHQ4EgQROsQHUCi09LcNkkPFkDI9zn7+W0omG7o5Y51tbQ/JiZMlxUel7
yx+NT/lhKZtzwgc6IeDTB3kXtRRRwjnWeX7UqadE/DTZZ+PooX0n8Rwf3t9G7cSxMlDizV9/2Tll
ev9Ql/c5M75S0PcNmRt/TqsH/C4j/Ixr7tOEYapvvit9eScS7dY67Wdm+F/O8Ab2oMfmInZC6tvS
Sd8B3r5S/2Gu8n/9srxW5U4t6zbvXgIr+7STeWuyDDXZM9F4n/pUnQMD1V9tfPdZ8J8SzaYxTuST
hF0h/uhN2ldu9uN4nbnT+4RzKkGUEiQB4M2Yc6mVf6LOz4lgEKu05SpUmj358yK+uvsjmZf9a5ZZ
/t5I7k2mZP8AEZtZ7FPD/dg3Whll0PhRVTEjdqupx41U/slpfPuAvTOPbIlYo8+ZCvUstcJ2DrpQ
VCgyqjllB7T7hh2a/X7RzSLSrbzd5F6/skq0yWmh9n0TVH0bzobVopmmdDNJ/e9pdr/XhYRWmLcv
z+TLK407qm3WT2Vb51vhLd+TY0jEYJCB2owTs5o9e5MtyevQuvxKG5gYzPayzu6wa21QUCX7EunT
fEoHbTg42P5CUIZ6q3nc3CiH7/208jYZUN/kEiG1rOAocC/wJBAl5wl+mxIyy5udh3Hxn/wx80BS
S4shrI0RhxpYxYwMgWJl7vx0PbsNBitDtmM01ONuVO53zm3HrNnfai+h5RxtMexNAjxY/aBpjoac
8T2z6RBomn0J50SrmXEz8+BxdMCvHXefE5YVkmeabnoXZt0fnv1q2Dc6fwRhek1mbl2/i2j8O0xu
8u2DlXhAIlKJm6bBni5d++QO1jnohjt3pb0UWXZaWy+CAmd69PofyQswm2OYFibIzrTx7OrKb73J
Uz7TRFjZBsVkd0D/+4NxQA+7NZ3jtWS9nYzRDlO/hPCbu9AROkFf/oGv5z/LrN0dqvND5RaPk2x2
o7c8ApVVcYdMPbIc3NoIPQBY82brmMXZY7q9M5sv04LpIZ/fM9Jl9hINIg09BUo5fziUGOYgYxsn
JEzjhw5M91aWNdCX6MhxHBGs9jKPVo6jzM8PNMqefB1hiUrVf9QW4epjjaY/sHgx+vwvW+eLLNQ2
cfqnwdSfdb/+z16X+wUENEZ91UBiePPrWtq88av0UOl11HT2l/Bdxg1HO9qBhKjKWnvTjeWfkbkG
UsHJ26iamaCuIHarnCdX+N/CLiXr63ow0wUNQdHPhzlrHxo3vci6+W/FtQ/IOfzwuf4aZaOHa+Ht
+Jc3pHJfd3yrvg8kVAsDQXVh2qoMPIR83cUzSCGH7pg6X2wwCozhlE6EHcrpy+jXd1Wic1zX79xe
TdCkYdvieYsCIa51nV/MjGOO/SXbjGVWbIdhzRFWJlsl2h4dQsB2ZbBxm1ItEXkObWjzam1kX3/3
wnxeebkrXmy+xTVDAM/LmJIhexgs8OCpSzLoQPRvlS2Gzezqf2AHc7yoCj2lqN+CRt1b5OGPhKxJ
e+2LuCe3aZOv3dVYAh8cf/zLKpQ27eQh0u6zB8Nri2gs0VjIwtmrcv5j/5/2nTK1jSXHx9x395Dd
LEb5QUOgGKbNFKk7zGkXGvg80pCy1Y5wX9+F7ccN/7CRE+qVaWbwtPEKIPS5pF6pbyg5RCtChRzU
R8pTbhpnp0mtaK3GiUPBRGHM3uxJDlwr17YQPNt01LmdC4ctOel3Ymle6rn4ZjIDFmmMXUE/yEbO
jJZjcrVadjcqRDYTKumwge9trHbcukK8rov70FfubzUEXFJ1VBTVbeyar7ZH/lhrMJElcsRMst2Y
5nODqiwKeNSiSTkUdKRC29hzfWpLcbWD4dzN5kl2xt6yBw90+ZNGaX1bLO4zrdSvo3/Pq9dh4Zfh
Nx/Sh2XoD5X0LlLKs1O28D5y2tupcesykBDTLHZkHz/0hv2lyuR9ncY3/MzvqT6r0NOtE2TpVu81
YObgP3MZrUM6qTlaTJDeTBrDfvVHQKN1Z6X6H6zWRjrrLqicQ+cWvDKTs1nqpI2Ik0aqqJKbVxGt
h7soFPZwUM2C0t3sPtm/rEhzPAXK1X43OfyTLjknIcbwwJRPUt4Hw7tJFP83uvGOh0M63UOV+yjR
ISFJd9Wj3OPGIXYVnkVekSkzz2EwCM0+U6zqdnC/BT5SlNQba+k+zcRPI7G4T8kMNud5fcIBPnrb
pGvLcKmtNu7S6cBzasMc9c+t6R/7mbr4e5tLnI88gLVYYClXVGd99ZksyW0qhqOou98RjmvOMztS
CHnBqIIxFm0ltmmD9lmno4SUkxMeqgfDb/6tOvj84mFGHjWGKMPM00NTTxfFfx8V1IeyDqJxl72r
eDdbgWgnwzXUiypBJi3BkSTQulb1p6UImihz1MPk9kcrmQ8rbzx6nJ0Iprs3YDyVllvGs1G3ERq5
K0sF7KzmP8na/M+wVBq5Q8DtLTXGUAENBxiKWMnljq5Hztkl7zmcKicPwV6zeHC8pzS9h4GsyV4G
PJMK1kcg+kE2FS/ZPMapCj6V5rx7RgGnIC4eN6yX6Y9BmR0pH2Sd0goY3RpVLlD7kxLZaVIIEYia
5QxjSC/6+hHMEDCnBQeaYeInO/tqkWCs7NpakvxggsrC2eTEAuFGi2kemMIhY+che+59onEKr/ow
KnNGr+PGAz96edfpLsMITEOb330xlO6ibdJllFscqBYwpur3KkgxU5p1d070keW7QZwzeq7EWiW8
22AN3r4TzZlIjkfTtI2tUbmvgfT1A1aiJVp7V20Gs2ahywzex6rVo760JQJw1voORcRNR3sRorTN
t9IA/i1WxHZ1u2DyRw3SzkXL8a/tJ+UmHJ/i1YTybKT71cwA/b6VvmFxoPu1KC9Vkb8hnnrSu+KQ
ohUbDJYhC11AuiC/8x97T3tZffM2evZbgMDQgeNXk4SWnkwGDdO79Ov6MvbeaSltsG1516d75G9Y
uYxMjeO76Qz41lT/6pvpMCBZtFrvo52WTy8wdfBGtWzLPGODkKaxzyhsQmiSMJ+VC2yHYY2xP5lT
2AXNebTMFzfx2k3X1Z/QCNcRxBcHyCTicdSf85S5r3Gd17VWzzhLDnalDpoHPajW/X2blHX2oqXa
dayS1zR1LyLQWNj7E36ss9k9BCjMQrNDu9/UJ0OzULYVGsdwmYXKzra6Ajbu5otbVfTZlvM3RqlA
dq+NKPdws0c8Q09VzfsVNKfR1c7S7F51j2lpAN3Qc4ZW060FYJW4rc7y0aNPCju7gkDrvBlWoY/4
htjL7ZCnMjkhUWwj3P+vfcG0notTCsunnPrso6xkpU0Y/a300aF/Sbec9yo1ftFg7HsrPY11e4UA
BvKsx3D0+58aaDXSTO1hDgqUrPIdRUZYVDR/5XGRzq+pIT/qtgfpNfczSf6AC/JIGui5VvqPI5W7
FXryMtTuGXVAzJcNMcNsKNGYdCP4ClitCJyt6amoXtGCzYV30tRnP6L9S8biRFFVSpWKFerZ5G56
UzeY6so3wtXfLc09Fohc8AW924sZ0UPzMDEygKX6vC0Q8mU5+BypmQRWsCHOlOXuyp5lDCdjalVs
fPJd3GUGdn0c8+BFE82uC9JYGc5TpRcoeJ0vuaK7Q5x+kGzdnubsA21+sdHVTU4ZGQ26XTQxyljX
mD4vfAUeOl37NC3JHjvLg7YmoA7VhyidvW07jDu/dQuJRW41YvE1ex97+xvsw9uUc//Drfxc6hzf
ASpW13lSnh/XnndrC+8/hQIbYlH7YyaMBwFaZfhPnQk0VKZQigqGOO77BEXnjGwowRSU13KzZF96
URQv7FKvLWsIVyEcuC3D1NNuReFfZT6iddSfsfQ9AaBG7d1BZUjU3pIdftPiRvvoIb/J7IRZMASy
BU5C+OU8aiWPVaCZu7FomVAtQsBXBpVVTV996+5sbWWS0tYPz+DmaYL08R5Dm8yMMIazpPgC2AQW
iJhFdu/JjKxKLxnJx38Wt2TozhDrbVvu00ZcZlU810F96gJ9hZfq2U4pHwLEH2TU5wNwTUkArGd6
e4e+L99aGLgDHVJbL4/abI8bOIHjlGcQaY2pxclYnWZPg9VZ+o+k7t69zrJ2VA3vtIK7wcXNigHt
0DKeNvUQta4VZj53E+rDFIPdkMejvb5NQvdg0ud0X+aLyctgmidWthdHryF28XJiGMrCYEU1Xo9f
mLBvExnh2sj/XmXWsJc4InejFC+Z6x1Fw7wbpJdmKDFrD+Oew+xVFUD63nJU0MmtZcZ3AN1ME8Au
NIWTNp1spFCsn1Hd2FAL/GBBGvnZAiEbgDY5LTR+XS1XKf1Yc7pT1bGyOvnG7rQYD4kJFJIdNCJt
EQlhvskDf9xpFkFo+tLdlmaBz2WYDOZlj6J65wZcFEFZPw3arCHulacqXZAO8jk2qR7w2E/Fxmin
ASFr+spQFRq9FY/G8mkwk6ES5LW3AlwmY6stB2RyeN/gyks3xdXhTCj1SpjYRpZPxmJNvLbmY0bf
h5a6v4uRHcYOLsgTSQgbOzEr8LOlk1vsfL/DgTfw+rMyN7OxM7kwQhe6NRp4KakSj5o8Pzazd4U1
i/HIRfhhyaw3Pua2igkwyGNbcv3pDYP12i5qEyCYiEQ61zD8UxOmuSjioAlYB12NGUGKowPVOSAc
jXrD32YCQs92CeZNn0tai7i2FLOi5QMbm7P9485cIHYPtmmMPFErj41pd/hcs/qJYGM0waTKAw9b
/hT3Fq/KgHFm7jdu17rhktvXRlb+ThP+E4ZIrqICxYM+oPyRzfpf0uJ+ykT30mm5HyJKBZtLUraQ
MXsUjnNF/72TacbthgQJUEft7JzLduhZF7LGCKt+ZB8vl9faDP4aZDHhUBqXOi33VuLw16ljkp1p
e+TY8LqTWTuPLkhhWOes6549wPanL9iTfu3Re+4b+9ksvdeAmXZjMipYdrd3R/vBu9ODbDRPkyw+
A814WTzrJ8idBa+NOK24mNjA289hwhTgNvPNm+0JiWsL3DZON4U5GGw6XfCPzSXjFid70OEOaLwU
GFPID3fmr3VXFWHti+a6/jUD/izdeLec8iPpgchXUadxIlCv+/ZWn9xhY5vih7l83ZieULua8vQN
VWj8t+4T/QAZROmnYYvQV/4ekszeBcIFm1iNKQJZYxJtp/dMs16ndjkWogTpNZ88u+bL1hmPO9ad
RXEMza77oGyw0BZRTiBW8Heg4GH+61D+VqtEgmPoXAL6O4lOLW5PLkyz12i7N5KtKABWzeaJxZch
OPBOEy4JiX5UpOPFz6yzPQV7Y2ZZML2bsDXAd5ffI09jxqCTRG6G9zPK2BEZMo29ViWHYGofErJH
gMMERsp1+AUnkWcsRfUpUMF/mZ43mDpz9PLzFenVLs0BBXKQ1VDkKT5gVIClJj5GG3EcLoQ17LPu
vRnUV5stF3KW6UDqZLX1zAZQTM/+M5NabXOLKQqWc9L1E0Xgfay7tR/aJGebJXJkBOMsRNXKjdIy
5/byiRJlPucpi0sy+UjAyqKm6iAJ7HTcZGOnhSohbbsV83ZFzIwZBI5ZQ27P+Y4ZR2hwmP3AhrW0
v3pm9Xf4heULmzr1t+BDVnVOfPWTmIiFAr/md/NoJ89Sro0RVXjr6mcWsb1uIFLQ2jFuyvIrGdye
iZlhIJcz5Jum72zhZoRG5imQYcbr0LJ0aUaVXNIyeLEWzFSydthicWVi/tP0LShDFmq+hZgn91So
dVBueptCsyXIrSBVFg9vjb6EjoP+QGU271Peeb/TUuQRsB2nvgeyupgzVkxnclBn+aW/repSxkae
/Vhk84SaIOfdrWW7q2raqOZl/mnZ+7YAiC++bp9d12adF7lFHhzfR0uw57fhqzGc9RWxrm39AzKz
YYAw5FXadC7dfI4y5Pcc/NkU9oXfoq9F0gXes280LshMiODXlKkPVaiSV54tBByBtoSDV8WrxR2i
tUhSvK5BHpnD8coR4k7THmiF/7MX1zrlA8ud085cXy2yOdvOhn1dZsgPOnAQGM5mSw9AHnLBlY9c
ZVNk5M1jK40llJ1DXaLMyDAAp3xTuf3k4MG6eqZdfdDQ44dawACtT01yrYqF4qzGGLZeO1TvPJod
vhT7BSoZFGTmXpkKR4t6u3tEadNshVXPke6OJX9BZqBG8YTMiZw4jpxEHlHnodxedTlu6OhBAFLQ
f6DW7EJupffiCif5M+Drnkhq5bme1Rxsu9Uy96Ia0siaOrDZCidCW+OrcjJziGaSSrdVj3hqqMlJ
8NOh2TeFNT7SDcvqwnMUg3r/cd2q2PFXzCkq/eFRmQ41KPwt6Z1lK0Rf78VSo6Q1Smu7dva33aOd
7FIQPtw4v8V9T6xsVALDBJVuuiXPjIuuqxnS/rFc8yVE/YCumvIZaiLnKflXeIX236DGGU293fkn
15FdxKjbfdYAefuytsfIT6iVhKYcrDeA354pI0N0YvSiPeEGN27pUKhr7+X+t71YHp/02qKV0DT5
QlhI+T6ndnnO8E0zZ5QamhstUXFaotbeKCu9nzrc3jsC1eZ9zfN/4ZFgt+KoYejxKMO0YD7Kmi9l
UYZGCWbnwVE1y2VNbV4ExI3MZh16rsVNj05lisuwIi0vrLvqpE3uyu4+3xu0RsWFk087hBnIa9LR
N2PLcp2/ekZQkNVogEfdmUhTHJsoqYYsqpLOPXkKLGDN8+VzMjoYbpcxxQ5w7y/zQpxEJyfk5VXC
atAaxmeH6hIoKsBPaunqUHYdeoXMxRvrM3HquunflASKF6lv7q0CicFcGffPLl2e+JV20tXaIOak
EKdEtreZSgRgtsVbPbH976eycXd5x8dZFG71Oxi98+OP5bTNKajc9WsyvlRgOA+uz+3MRyaeub+r
C/wHB3jXYXBVihUIFiQeiPW+tncuW8409ramdrfIBenZr/Tg1KYJcZxKZaQEJMV2zAL/kGSBHpM6
yZ6F8DAK2rE/53LAw7+O/VFMZX7p23b+J3ognVLDxY7qpXjwenwQQlXq5JaUOTVu5m/WzJgf+NK0
o6XZGiqPxrtaCdqdAHNCbGW5wdxS4ngG7T0ti+yx9q3GM/kJzlG22fraS4MRF3wkSlu5PiBNhk9n
gD2YtT5v1tHnGKis6WSOPVD7yPEiVt3YGYlZo7tjpx0s8Y7QDukkwS3NqZaTttUrIji6GurXGW09
zDsM7nrR6NyXjv9m8U09D3PqwH0bfGq2gD7D6B5iMB8uy9yLXY6baovDKaUbvBFHgxMc46lUW10s
RixNwZKCD/ySNMFws/Fhx8qbjL1hFRSAZm12IKuqwDU2Z1vm+2U35En1VgkfNgBR6LbqUutgt0o+
TFLwbN+lnAVGEUJ7LN54S7AtqLmOh9X0dqQ/CApA4OnUNP/X3nm9Ke+bs0oSb4MP0f0fe2fWHLmR
Zem/ItPzIBuLOxwY6yqzikCs3Jckk/kCYzIp7Jtjx6+fD5KqKpXVrZyyeZy2elBJZBAMAuF+/d5z
vhMknuVf+Dmf1yIUcWC1dKzJE02vRsabsBOnlMOo04lL3UhxQH7cHA1JIzHv5j7IRhdxQiLNa84j
CzphSf5rqgp8DHmyFyhVsMOn1Q3S8jsvEfqht9LpxDyc6QNK+zCA+4VsFoNxQJWk8+1gNaj5c+Y3
OxxzbG49euh+Py0Kf6DKCsb9Y++jjTFzTPE7ZrXNrSyiEvdjn+ZXpYcYk6c0D6w4TF+bsGzu0yTy
DvgxRzMNGCaOBXAFlpr6LafXsBnDWZ+q2vFPs2jkDtrRMGc0uKoCM1RY5DS1EzO81UZSXyXD5PQ8
R0NxGMCvh9s+NMwISbaJhiRx4/lpcnN5b7CJpDtj1LLn1zQ5v/c0KHDom4NNp4/MdSxWwtWfWi/M
/KAMFUbjNBpMUq+y1r6OyhAHfUNVR0vfUsPOantvpj87UNJ7bhy6HLWypEPipCkQItbd+6XyS++o
qtTwN17dNw8wXbIXnMXWeAqdsoj3PKQ+0lJb5eoSEUJmPA2owsS1Y0DAuCOjsMBIuBB4f5PI3Cly
JALcpzNUGU35KZa0R1KmR6lRaVDR7MqaadRbTypZhMjF1+xocToNkA9GOa2WpFF9rGRfyF08F2l0
TpycHojyVp5kWzuju4/wErDa4Lz6mFlx9BrWhe53csz8e8hYiM7mWqIS67rVjIgMdvG3hUOMJOcm
zpHuJuUJbzaOrh+gslJNFqU3p9ukz9DncayZMOGbzTJvdBeVmlnv3I3G+1BEo4sooBXxteozWtHZ
mKXVQ7Qsdrhv3TTzrrzIymivRp79glu6DKqu9HaLmfG3NREc1Luh0E1NS2hI+lMk2mTZ4g4BJjXa
2Al3qK/Bc3hTxQ2lnMmdvU4TXgs9srcvWFjqeruEdfQ1KhT/1/HYGgKvZ009ZE2zvoiwTHqk9lTq
y1L2fRWM+VobGWnbeA/QO8ZHh9Pq4zSVPMyp2xGhW9Xz4myGWNRM94uY8XnKP1gK5IRkqo2AH+1H
xCli6xStBRQMJWC6E8CWOMhO/SrIigTtJMPDtXaqitGMTkboV/lZUS+gJppczAyDhwH3JuYpWakg
jsgPUTdKyGaOPb6ZalqS3f8KEwR8bm3i2XLDwMsxI2RfGvUgKMVinOntyDPbeYHAv2eADQj1eiCX
S7GJczBJIC5S+gsKWTotJ8yPflmchiVDdCu3CTMwSeRkETKtwyP7K0vvP96m/x29V7cVkKyqbP/6
n/z7G38PnURx992//vUqedNVW/3S/ef6sn982x9f9Neb+r186PT7e3f1Wn//nX94IT//9+sHr93r
H/5lx8bXzXf9u57v39s+7369CL/p+p3/t1/86f3Xn/I41+9/+fn1K3tukLSdTt66n3//0unrX362
cJN9wxVcL/D7V69fC174t+J1qcrX9l9f8/7adn/52ZDuBxCqpqls9NHCQ3Pw80/j+69fUs4Hoq0E
HEpHub50Vnh0Sa5U/Jef7Q98u2n7jDaE6wJeh+nWVv36JcP/QFaySWvBMT2hyLH4+e9v/w836p83
7qcSMkKVlF3LD/ZX1vVvN3R9f67jraBSU0geOkUC8/dAP06SfjN7sgnowNPkgI6zCPslc6RdHPvJ
xMoeTInWBKIPIQ5fHuWZsuILuKFx3Amvi61Dxfk3DPpUZfObMXM8eHVVqvJdiD/UvlChh1xu4y7N
6vsFl6LKY8jStmwty8tzhCVm3x2dWPik185TkcnAZmOwP5WeaRj3cUIc0q4WtZUds5aW70VauUmz
kfNg3Uftkur3oY1S77mElYTGdhlkcWOFKXM+3LHZkqRXtGUHxDVp54Jc0kKQqrLJ6B7MB6NmyHqt
IaTZ78OCH27rgWZyTmqZsP2meChyjsPW6lWPVNSc47IxnHPZe32E+cDhA1xRo7pAe4TE1j8krqcW
h0M9CJgXJzX7kaFjEYZXKCQc8zL1QtO6KuB1gKNaLBSSrwYy/vDV4x3Nu1G3qVVthROr5Q1NcOzD
FaE2eVKz22KHLOoqRX5UxJPu7ww85DlK66ivHIzpQwmuYss2angek26oCWFzstVAauJLnM5dzAEk
oXu3HxXEZXx/2eTaT0vpCggcHSYP8dnnJiPfYgxZ23dR6UT5lTRaURyqtaWw77IhmW9jQ+jwSPh4
P9ESyIasvRs57rp3dSPm+LMTOfRr4TSpZQvyKJPFXuZJ+4rF1TReQgco370eaW2/qNgZErzznjE9
jXbVqJRWZ5TkV8qWRf4svcHX9Ie9uKausalRtjxyLvD5ijMSmA7PyNCFGRTVXvRKweMj1wrhwUVy
o1zXxBPF1L2wHzhMGcu5FTPiEz6gvcvRsASacbCaVGnsBnUSnaRbd0mAF9wFdhROuF22fF5WuVps
gJMLNzJFJCy35ahC53UoPSOhGzNQQdA45DXiODCNLN89qFEcKCO/dMK9m3WeydEeOYaAGgMRIw3K
eEnLMVBznR9bkGMZE/I8qo/Kr5z0wvDdwuPe9HPPkNessogBktcXh8jrqYA0mnVh00WSkemgJEt9
+YVu57QcxzEnh08MhtNeZJNXWDdmbekY355eXx2nbFwoEfLQ39IMr3Blm8QMzy/V6CQw6tqlEu6t
2ccDDaFocBawl5rq0MWAZ0e2u6OLKr3PqMzw7NrNoNozLPcZpEs0DCgYJ81s/iy72WkREXodIByg
TfGoOME1suVoOXjuo3LsCGW1yBepOVzLajavBtGOalonrX515o7o7nYwxj45a4NB+/Xcjk54JfSg
zVUE0oXXXjiNyVXCZNw6VVltmDdS21F/bkJRV58rIq2KWz3zui9jzb1+Ngs+Wqds9pz5EOcgO58y
UJ4MbEivFUPDRl7nDcKVzrTFxzydpXeCvpRkJLB1ek6+JspLFQ2nKc3wgeTgbgI52213GiXL2dW8
2PPY0qfzKTg3ZRtJ0CYqbvsgHumlQ6pSuTfg6p4H14vess6flyeviGY5MQOdicA9uiwH9JgNuAdr
z8rxkSfUZjJcpHGV+5+VbVQQ8EiYRJrs94Yq72Vqiujc26Cy7sbK7BEsVKNlNpxXhgjNcBFO8X1M
d2l1qrrRYvmbypSUSwgPa7TjkgcBWSxgocztqKtTXzw2+Szne3fyRGoEAymr3kU/0tTCMrfAy4ij
o9mr3LqzoqTMn4fRr43nhvFrdVf7i5t/HM2RbmtLiyG9HNzaihEaoBo92hjBnDOnb8O5sFEbV8do
oJBL1nOGmvZlI9xybwtkUV/G2QmzW8wUTvO1J+qC3hgAov4qy6bEDjwSZ30ooLmRZUtQjqC74JUs
Ze7DNIs4rr0NNbl2qLv0ENEkGct+2VjK9uengrVbVxScUgJ3g7DhJYEddibcN9FZ1GgDMCiKJ6Hw
mDuBcluY2zOTCDBBgHcyu1PObAbQ9Br2kI1P3yD9bKdIHIvf4v9+L2T+sD//o0L6/6OQspW3hl/8
x99rlX+ppO6T6qeDfi2/vv/0tfrpoc+/Lal+f/XvNZXwPyBzIs2N9FWH4sWhpvm9ppLqg0vzDcEP
/xMKO/8/airDVh/WhGY6t1Q7RJm4QIf/XlQ51GIk2Lo8D/AzkHhY/05V9R29WOD7M9fLEAbgevTA
vssX8Ucy1brRmoIUmEVbT2hCmJ1mn43mI3i/H1B5heX8sYRTnsX7NaX0yWwQ0v0eluxr3dXxiGOg
7tRN0iq7oaOcpgKbajX1fPD3sgoHBiXeFClzpPtXDchxdc+qBHZSRzLrae/alXdQfeoMm0yHaNPD
Uq1MAoo4r/gEC7ClUghJohVqJ6IKtEjA6QIBEgOI1tAMpCptTrd2x3TsI0J3K4d2OU+sezAo6kgu
Wy+M2soPHI9siXhLl7Gq423Xwoe4MTIEJ482fS0BVaQ35+NoMaxNceGLz8ZUh+29DWbQg3rpmbeF
04OasVugrMpTQlOzlBl/YTt0vvBnr7dIdaLb1dTIbK3q+o95giBQlQAPCXrDHr9ZVIvyJanru9YZ
o3cd97pEh1hhSPKb2Mi2ptlOGGfLLmS3zrCI7+M0g92NjwQfXFLjx3REi+wSIYs8+/SSBDCg0Lod
2V5jZqiF+aUmSGfYCiOGEI1p7jFHen03+np84/wtn3jn1LF9NRpfJWjpeEv+jHNXNUN1CQRQNvvW
wMeK2kHIp2le/IFhXorabR7rQjDtNkBCub2Jfb5gMcKq1OfR5xru1mXpl1Ca46zgbOggB2Aia8Wp
vFd9kr5SSzGgtNJBjlt2GGI+TBqIeDqRwFTb0gg5PpbFDEey7gffCwbYhjAFs9CzGAgmoCvYR21w
gSz29QbKXodkOI5WT02xlOrZ10Y/BzDO0QfWcp4uJ0CB7I1MMFGF+ZwLlIjbQz+03ZdmMHos58uC
hayzEaOIOEsxAqCm+dywLxNzlnGYYd9CjXoqcsgbD8hxLXSfXqZbmB2990afSaBuNg12ziX0SozH
7D3QaaBIuPsCJaDaOnWXLvtlNJY0GCZk9lsZzcKheGvVWkoNibetFkLcghLwowudgLE/b04xnbV1
LUDMsm1RKRdukQcG2wNoaZ3T61ycBp0gYGlQFz3yMEidAIHAXALcwo5oEgR1AGON4EMohodMCdbw
jpTYDXFsFjl2oPtotsC5C/mZydIx2lWpYTUBD08BXEzyW2xd4fOs5C4c4e1E+gLOC3OiaYMfI3vm
QbL7fY1pPTmmpsnQIumU7NCrcrBkgjdGzdalDw0BalAFvnd3deJ3fYJugEGA9RaDc8TI4tTuS7NA
RmbyVobv7HrIRGnVFfW20toEtT1FPr1LhmOrXtdG8L1AboCL4WQjZN2I0pFKSSIRN6EjfSwbL/X3
YJKG8KhRnqX7ENEiv4vsILCiec+sQNHXfCyTqrO3xTgZ+Y6utNNvOmuIr0CEgG9yQjdu9nPZMqv2
Q8NwAwwoTkbgL7LEnY0SX25tkXLEXFCcYpUUkF55Ipc8OdKnY33idtGwBKvoPGjTXbIbk2FwvrUW
N4mD1nNg+RiSnkwQKW+RR0OPsLmp5Ncf3I50xX0n64pj2foQeFCRJfNu6i1DbTtGHGUwRgpvWaTx
+e0q2kBMguIFNQKjFchtCWt3tQPv2psYrDzBuDpOcgY00Fsxj7SuCZNamSXKzFh3j5PRwr9EI1v0
wUw1C8JWhq53mQ4+KzeS59I/xQjpvy6LHsqrRUWAJ8mbkQ6+F7syWGuFpeFvTNH9gBLhXBdkiCLn
g3kXTGPmxve0wAUCS3hqPRwYm487lVGX0mIUCi5HFvfj2acKEzv0Ora1n4fcbD7mPpCqfUfxn30S
qihbXBpVmQS+oD27rZEf6KNnjIZ+NdXSoPFMCoxxHpV4/Fn3vZdcWimWpK+cdnq5JxVBRtcAAQwP
oW+5QNBC1Q91bjPgEMhuK6PS9o01MucBajMJ+2QUBegsN9X4dTczn0bcZ2bGaamziV0K8nKq0eSD
9FIbx4wWb1Woqexsjw5+ViRCrFtQGqOPYWbAFcnKORd7qgyUrayVuXVutOc9LLabfsR9CrWx0735
dZG9ETMjcf30ZGcp6kBqxz7fxn5vclN13HwZcw5Zu8Qwx5vQpjOnZN7cI1E2bxAyS4aZ7VJeVyAv
vsa+4MRUjDYSTG2aQH+9ntQjHLC6yS4WbaTiwXUG/eTIBKATfyKaFnkx9xo5UAIwwSnAxw1I/Jmw
CGtebichYW+MyTJPeydt0fcjkLfrO7SPytn5sT+FQeM3fZttMquhDqlqjQR70AU6oCJRMa2Wqozb
Y6jyIflaW21JI7NJjIKGaJ31uLUToLLgsjg/duWS5Nt0MPL7cagNJwDeBIojsj0cOxNoqenQJF5x
nw2ure6F07GDxDOHcxvovN4N+ZSKYz4IN/oYlVkvOuZlZu1uIBQxLdxOAONCtH6iGinI29EQu77X
7nOLan+8ktXQJzsBXrm4xkrkf1lI08hPOp+s+k6FBPLuJJVOQ/OzyDKoTFohokq8cjwCh2DqIqeo
MII6Ws2c+OUwaFIDIAzBGZlVPmu5g96VHoYZPytglX6w5KLosEkYft1/HNnr61e8dRZihnnSc3ew
E5pz+142iHExNiJxJ435t5j4/zkO/Mx+9WeHgb+96fdv6/9fv/336t91P7AS+MJSgGhtSfX7j+qf
jio1MCd1zmfU8r+GY/3eUTXUB4sYRuBTZC5T52Ej/mf1b1kfCMFzXP6jUC5R7/Lfqf7dX1Phv+2p
Ig92KKs9KeWvMcPfpz9OjIn8MTKDNh2a/JWx+3yqGflRKPmVa9Cdn6Kz1w/dUeH0v48Ls7hsskkf
5zTWjxFCAUx3VaJu4qhRz2NRYBws6VoEWO/oUVbjhFemysbubBLtsBuIf0i2OnL0vnGwnR6bMkuQ
ilh1ywCjCi9jZuuotCZ1WdmaGgQ/VbtlECKvTBnPl1ORqm1mN9g3p366RAgg3xdv9m/zqDHeprQs
nmpzHs91h3wTYYmzwxupdp0a81MLT+G2GPz2FHdDu+0a1nNHEX0CA8xr0C5ZtJTIVzB3dIaLc4WA
s7s0s8G+HNNe36VeL1+mOstf5VDSD/TIZH4e5xLHdiEGcQcM19r7sd0dQ7dDU1oUA2KTjFasqnR2
6nvDviq002MRMYsXK5P2WzEJrGaGP9yNdA5uHGfITksqQWawxe9nMwfvlypxngniuEmqqbtuEqvY
T6YTPbWSmOat75cgmqoku3CAG1zOumNhIgmA4GaT0CiFGvNk20XxIM1O7Uyo+WdnyofrSNF92iiz
treNK+g3RaizBlHY+wSJHmz8coEFBIu+AVJP2mLk036q9C5cerVtouKzadS3E92lg1Uyd1+E2wVN
CAlyDDHtMBhPDxQTTlDTiikYA/dToGgIouVWqOzQP+wxMOSXutfZPX0XIEtTg6ZUzFBHOkMHpePh
OVvalf+ep+fct5y3JZnGs/YhCgOB8ZllGwNrols3T4uHBN9tnPAm00Rlhn57xf5tbUg7yRDdz/25
ss0iSPPS2sbdWG1n4bv3vS/sY1HP7rYbzAZUUg0cqcOiXqAw2piOYd5mdFxvuWS3B0FIRlFpOEBL
Z7R+WMe6uzhr6+bGssa0oxHfYC/4XMjOb8WO1k2o1UvhR+56MqiYLQ87w2CFpqZsGgJdAsSyTmld
1RYtSCTddulot4ObnvNhuQfrMy/JhZv1U2bd1v4EXz4C1cPDEZ+yTlaPBjkwHG4zsQ/n1PqYw4C9
A2hvPXrZxKcjm4HkuUnHrGEpUJdI078dZMgoVM/Om5w766WJ43bnIQ3cjlbsnej51vuKp5qjQFbq
C+jQ6jIEWQ1Ko4yNJ7CCw3khNHCH2Gq5lqNv35rSyl4EIm1cYBUUTXZbcCGucG6Xpl3MLazG7CAB
9V2DVhjpTdcZhYKVm/omNTKjOdcjkRR9uYh6U3UZamOQ5c5nUPrDLeaAbM12FCeIVrSdcx9Cg8rd
cT9lwDvocrvHVkXzne7z+srmHR5a0eSXFa5/jPRpuXyNm9w+OZ2jTxmtyYdRA8aZe8GHE1n050ab
w0dphKi/lN1mV0joqlNug8rxktB7hNtd3/iRLJghU0ElUANue0/7z/WwasUy19BPo/YdLAIAxaki
c6Y/GzKvm3cbfyhGbiu5m9IGvqQ0M/2lw13yMiYWAnskawy0E1sEzC+B1y5ZkX5FRAY9xewXDgZT
LUuQvpMaVg4FHVoswGixpBzAndmpa5B0Y7TXsYrjW2Rd2Z3vIeXPOX7RH3ZldZUNZX6HRgXVi02A
6przmLlFQOOz2neIpL44pQ5PtZklu9go44vQTIAZiWi4yIFW4F/HKtmW0Nw2UdqJx6n23DNjquba
pomc7n3b0A9IXeSDtSAvZUoiX0NMkucl9p3zHOb159yhm7qFd4jYU6dtteMZ8k8IflaQpQQHbVR8
3iJUnPsEY+N1E5Fp4IB9Puim41jbp5l/GGM5vgHytU7jvOhgSJroUpepgbKaEMFV2XmzZJS9Vd2q
Y+LVIb4MVx/yau42OuEOwuWkDUqbPEUZ0jmFd/aLjHOhh2g8jumn0vnHb1rYsjv1Rp3twe7h5Y7m
icNPhyXe7FbNS2qWxzaz8y0Eh2yPMptdr7Vjfau7DtFK6AKR7AqzvugbqBias/KnJCzck1W18hP+
2vo4IVHZtrATug0f3OgaSrFAgGUxpSw4j/9iOqk6+nRkPnMkzG+mwSIhsR4jb30sy6sOSxtjrTpZ
XSyJAExcOI85+quPeHJt5jBFP53HuM2f8wL1GwIJh86RYfeHxLaHh5Qp0m0zCwxMdmNdydY0jkA3
BDj9pt7HvtyaZBtgHOnsIfXfysp25YmvDS89MBzcEqF5jfwPS9TEEGI3G+ivnZbye1MjvA46Zm+v
DPd6AC5pHYzemLOSCuPC1SYQd6LAeC/uisYobTf8qBZDHJKpG+nkNIMF8wzS+GGpmHnST3CMR6xI
1p3j4ChGMFgw1uWBmt/iIZG7mY3qS+g18y+9SEcGcfCt2MYTjEwo8qqjWxX5G7kOKO97Jsp3BHrQ
+amd/KbgkxU4lcwDG8wye/5kYeVqCaHDsxkU1sIZIrEBnjk5xLbSNrcWrk0MukPeH7IVFyJobB7I
gzHPyhtBtGB3xJuIIZcZK1yANvYvll5IyIK1e0HKltrbTimxGQ1hwIgQIWEcOnuUz8BjU50jy7Hk
de1xk3S6hCcBRPEKl0V7mG12C1SVVhBlIHTXydjeLeb6aDMrO4zZYj25vkquF12AEwhnJogT8kxU
9WMeBjWDe0q2qDE3uWMX1c4FZX4xa7sm22WSX00GCIEIE/xGSVvrm25COLu3DUTJ9UbhKh8NUjhE
xviXGz8FGnzasi3y97zBj4OvL6QbJdFxPFSVsiPGgt1lGjXgX6oldodNjX3rizX20WkBawX5KFIn
q0ft0o+1rRmEAHKxQvO5Ql8VjOz+AYlx3svYNq9YipzPKrdHGGfevM+MOWdgmrWoiklNQvxq76BV
sGYNHlpY+k9XWcIxJyaP/VLZmYk9Le23FHLFM0lz45s7TGo3tIpxc0oAgZW53sNsecNtV6vpCtVJ
emeMmIex8MkAMFoM9ZFCiaj61rjW2RLBuneiW3fBj+iGpoV7L7b9e8AN4kQeQXaUo6sJQnEnYBBu
HNiZ6wau7uMJl3FeXuW0LL4oI/KCpGQOlhejPA4QfjcMGP3buEHCx+btXurIB85o0Z2o6qneNa3r
HMADLBedh3qGOEvBsu+UL9Z6fE5kml7Yue6Dos7kVVp23R7uKHZzSK57MiE6NHAWIeG+Vx+S1Yg/
W011bKyBna2OkmM+ubTD3Mw5SyjQh7puzZe5CyvwaAoYkN8a1hFn1Rz0zpIHPTa1XV+kK669/qVI
0gGX8pwfyGFQ2AIn/+TFjgU6KJ3w5VhIAmO3vFVDZZ7Q8gMNmIt+t0wjmRls5NsopBWOBlMFlSsW
FgDCCLLOcrbAQuU29Dw6miojUCCnls8WYEf89xKmZhbtZOmT75rHy8FgZ7uq5r49RnlOBHRrKD5n
DK+nlgAyyXAVW5TXPPAt/smiYDrW2oO8v3bdDAtBR2g5qzIRAI1oycnxHeA4dvbo4pQMul6UF7y6
QjXM4tIRuIXdTk/H0YXNt8TeLnI9PP9LGVBktxf0NuRZL5UZDBq33Rg35OhCbD5VhoLhiyhyp1vC
YnEHwm4xhsa6M1x/fhChZ/8W6/s/x/CfLdPkGPzfD+X+luO3/U7d9OtLfj+LO/KD9etx+e/zN8f7
YDtKKb7JZBIlzG/mbx7CJUROHACkKTx0Rxzc/z5/s8wPwvddB6O+xeSdFPJ/5wRufRcdKXxm245j
qnUIuEqovjuAFyiPPCwwpEV96n8ZX+MtuJ1TcsqfwQWfk0/4uw/f/Fl+n9t+q6NaMza/OfH/ywXX
r38TMU0ZWnRZzgUHfIdDoutNS02m/exH0cLfXYjkTRenA30MV9HLcK119PjNhYjy6x3UguBtXJLM
lPpMtBXwkuj45++Hpskf3xEX4ia6wmbUjyCKTPM/XkhHBntSBGJAjVLGt4bZD/PObfVyXxCiXZKj
EKfLJYFoFgVcO3VGoPuxPElrSN1DTxNfbL0kWZpTS52a3UC8mqlcl4GcDNnhGs0XsuzMYWbsMttb
+DQfeREuYFcuzmOfxJA23WoO8t7Sx2xp0tW6goQvi6cD3AhnD2SpI/8BDCgeADHdh9jy93WFCcJv
GhfBlrFayyGclEfK9vYElMd5suRAclznT/epitl4ms5G6rm2jJ6KWpEKNcokEIKWSdTR7Xwcpim6
8NrJ/WQhiR7RZ0z1g2lIvOi6FScN/2ljedj/d7bHwOusQ7H8Ik2t4KeYKmJTaHo4WMRfnJltDq9R
X/gIN9PRJwgu95QfpLQnj2ZbxV9RE0xPWlnzF7QkxkHaXlE/Yj6xL8NxGLrNMBiQfDAfeI9h1Mh3
BSH0qunBLpIMWrz5tMRXaW2Zv3iqDregeJyTWSp9FB21Qd+YEIs9Tf4PWmz3Oo1LCINuTyITAvwI
JmU42uCpcns62gu3ynat9sxJC85C4kE0I+rvIi6l+0gJ0GG2ULDbMoP3ubQTsxx7fAmVCfoCAC2M
A2J5LikYw5sGXNV1VCO4RXJWgaUsjGyBjdFb3tXABvZuoFOKtk4y1wCLFtFeuiIfrmSkITYgOH1I
ncx/MPib4ofFSfRSdz2uOcwJRKx5wt/UBcA0oqWa6CxFXZ96xyTgaea8DI+pEmwoDsZ+rPpbJWYL
K4bnQUSx++GKk3tFZ971x722Zx/L81AdJ0+tztJpRucI4E57Beogm/P8DdWYc/aI2Pi0yqWgvoz5
C2yxztrDce+NXTk0iG9rAXkxT7JHG0X+TRhb3oNrzXjSYttB01WO1q0siuWSpct6RhPGQU7IZH7I
xolmNJ0PhwSxGUG1cAdmiAmwjoyW/7YBh/9QQyv5iD1JDhuvVcVFPnvWXQUQACZqKuHpa+AjZ8kg
DY2PS6TJsgoQmrItz0VRInyPq9lFV8RTelEop93IxPWfhq4s4PMZTvKkCGsIBObfFxpC/qGj/XXG
7re8CVE771OoM2IsbdDa7TJYQG81Hthx+KUNq/zFLEmHICFEBvDRTHiNpngtUgjMRBRayW2kqvFO
GROIlDF34IEiRwT8Tg+1P0o5lfflAGs7NSZ5nGxrnjaWj/5t41IzkW+qx/yKlTG8bWUs9M1i1vie
4B+5v2QqlMAGxtUU1uj0LmKMgKiBOeGaYpSKL1NSWJe475AT53H9hGMB9iSHXMvYpomTvHb9Ougf
J30ycjF+0oMzPNO6Ct9SkpD2XuTGn4p5iW8zC13gJmYAjHRC1zVRCTgXNvaQrCfiaepeMCpOyQUs
VdYtdHzjBHV0tvm90M5P28I1uoEIJq9czl45TO3ZjsGR45oTxnPmRhGs7XDi1rY5FrdgvY4ZlN7i
IXgVHkj9WnXXqU165U4hiv5oa2viMJJJ8o1id/zqkTZJ0Z+K+9Qcswe/r+DzZdhdQQoaVnVpGsXy
bFaLd521FlEIUc9pAD8hVNytcBt1qwSpxFvXpOG7mcxYPLQI8siixK9yTAk9HAOjoUmy0PVm6he+
igr7VeYbj1QZbtDJubiOirKjXcHSOM2jCapAtuIxX0rf+0FU93cb/Lo7OQhNJHodDPiuWr/+7TZY
DXIOB3i40VxBlxvmz3rqfyv7/iBq/3ZP/y+vIdcSyUe2a4rvdsAGDkXMaB7NchyScWpv1PKDqmH9
Cd9UDb+9i2+uQC327btocig7reAKRvkypPYlsuENg7GtSc8XrcgPott/9H6YwHx7tdmWpAauV+uc
S9U8W+7zn9cM62/7J+9Gfld0wUfxCFPi57tTSIBZFD1XMR6cZXjWQ3eYkAWhvNU/uOgP3tT3Uiv2
c3dxCE/YKMQtG8Ptb2C2/eBB+Neai4ftn7dJrqXSNw9bHKO6zmFhb+iw7UV9KRvCD8DD/fmf70dX
WVVe31yF5CW8czNXMYlasljOyI4PUHj+v13luw+Oh4G5CROuwthGOycnvsryqz+/hPWjB+G7Ypg5
92KadBk28aV9NnfNHV060l/x3G+NLUP6AELzF07z3pcoyH/wV/zR87Bm2H/zVwwrsxqKgWsLWOgZ
Nim4qz8Q3P3oRq2f6m8ugSzUSWtASQh6Bs6lDzWYnMxMf3AVa/1N/+zj9N3iUGfCBCHFOyEh6gAu
rTth6AQ7usHbFxAZ4u71Nj1HwY+WiV+PEH924e/WibR2NAop3l977oL/w96ZbLeNZFv0X94ctdA3
U5BgJ1K9LNkTLFuy0fc9/uZ9y/uxt6HMrKQgJrkya1o1qInTDgIIBCLuPWef8BYYVHHtv3TXxcLb
qY/hYJsP6bVr2ipS6NvzU+fCrZ2f28qYhDYMZTE1tFZ/o9oFlkFiN0XF0mouzJTTYxls9ywJweb8
gNP2DQoCg7EkMiLLrkVwAWlLufkHV4TDB5+ONTmAZu+C4sqZkVU4yiv/ru3po4QTZu/CpZycKkeD
zCd9QdSLrmBi1dqwvu6Hcl2HGb5YtdpKlXTh03vyvul8e2WT8732rkY9mv5eLbQSnXSgomN7FYRr
xIgLyVAvTP+Ta8jRKLN1CnyNXHngSMm6n8QoIxwBrNIepU41SB3RCg5lNKzPPyt50uV+mvlHg84e
FszJTBUaBhXXQDjy7bi3VjFBPXa46p4Ep1jm371HQNLSghTLRYDGfyv8Jvn4y02HdOn2zp6lz/Jc
FyW/AcD+bffLes3ulQ3Qt1vzIbzmtR8ey3WzOX/h0qULny1pBd3YuGynu40ZYOs3tYiGtjZjwO3k
RkpjkR86ugxOruNupGYgLGpZDLam2LcXfsqpy4daO2k0VEV/N74dL66F2ISALFj1wiZ16EBTXUzX
cRlcmF6n3pjjYWZ32ZB8EXYV9RoRKJPC+b3FZVS4T1OI5IV7O927+aQ6Hmp2b1OplYCwcEX1ksNe
fItbhGihhXSVLCxneIHwlt2GjrVEwCzfnx/70s2cfUKUznQ1+IUsp3CXkIApq7xsNZsepHN+oFNf
3eNrnH0yVJMObAOV3UZx+m0Q5FucfRcW0gtDGLPdJbhKo2uj6XNoGc9B1239Pnx6v4r/1nn/Z/JP
cEP/utD70X1xTTPr57H+6ve//0fVV5kquYZoyZPQaTJg/FuBRf1Xm+wI7+XdyfDxh/yKv6JpKt0R
XdQlPNOTrfaP4q+OakueTnIYPik2Wpb8t4q/8scXDvuHRAYY31oqwHwUzdlMEYYCNkmb/AJvGa/y
2wqOhg3bZlXVjmxTIruwYlFa/jSgYhpsI0yNJjtL1uwNH5JYzXQRZF8lWnDoUSfDTxHG3KzXLQzt
K6Vrx5sowOEO/BRALbzGehOXmYBxga49Umz8ixtlTLVvmmoUh7RqQ28TtfXoeJIvEPoQIsx18RA8
CyltpGxIhxXvgvGEKSqCRAgV9I20qOq5wqiXLchjpHzaxlkPORKBQGPrFMSQ/5YmTPU2nWzvk04D
9bUgGZOyKMKi1hBUJ4Nwoy4bkiet8OXtkq9ZgvJyC9REf8mJoCMfANbBcnBLyRlh4QN+y438WcnA
IgiDEn7FMkyUoCzrd11ZduYXSfRcmQeReyRfDap/VxU64gF4fykALeTxthy4xrbC9Ec6mVqhAWv5
ITc07MUrxarSZSngCx4bolDovaukboGjjGmdmpQVgA3FtPFga/gHjF/SYKOsAb7hUhnaoEn/knk+
GE1Yc/GzEIvJtSCnbFdkE2SjbdQG8mGx9cWn0gKtXFidIiBHmmKERkFp1zrpm8sCFNAhE83Su9JT
Yhpp0Kcv/hAJd1KS6K9jgU9xKyhicN1lBr+xEmsSMVxoC9ctBNDAHrsB7AXb2usAS3JVpPUU6zPu
I03DM+KXefpIYat+LKqsByEVtiHgJsAocBolYGyGGFE3L6P2EI6Keo1rFww7iZXwqHGGZk6B2/FR
IfXntTHlAH+e2i/bTCu/yEkJRJG64QPjQv2W3USplmIZocIQW4TXqKgDgMiKmlF9k9TaOOhSx6eh
pg6mrYfaJIKwDIaicwYajV9q07Igk2khyhah9nLEcqVKKCAHY5DFpds+h2EV/Rx7ZCF2mSaRCjrF
rw5+2Ki/8Ai2uZORybw3guJVUdPiWfXVcK2y6TokYxdUDoLH6EoTjS9RSfGKPD8MKomRtujde0iq
EvVDMCmEfAdCe/B4p9zromysPYD38DFpBmIxMCe2B7LkCcfoqhxYcglIz8yFis2bFmg/c5rRSyVX
SEtA678qazBOkYXbKEDh8Iu/A3MTVwDuYH9IXbV0epK70ruADIaU805cryWMCa9dCqFhofgj0JQE
1fL3viuqWxCl+bcIHAicDm+wok1pxtp1HQrJraX28iNTIPdo/xb+C+KD8jbU5O5Z78CF2I1Qp49R
rqkPIz4tIrk6cS/KWk4hzquHnZWbKLr6Eb7qQsWzvU3CXP2aUAAjOYd2Cu4tlbm5QHE1ENIj9OUa
nGyeLsbezIA84nhy+U9ybCYka2aH0KgRVLZ6ciWKRPdSsOsPGpJ1ClFq3jmkaMffc7eZcNPRqGzK
rLaevcAMoeRwwF5QeCQ5lS2Uv2xyv7q1ZN6jPE69NTIibQ0FRN4jDlKvVEGtr+WYTv9U862+QWOx
bktVcl9iAT1pq+TFpvIEpg/lWQebEeTqSNSpgeJB93YR5lqwF0OR70chkza5F49vgodcu+vS8qXX
y+zJU6ZoZBJ9gPRBIv2FVpScYBlRCXmUXX9NkGNd0sPy3escdiayFaUU1mrtEqRimuYaw1H/1uB2
wtUv6I8pehkIV1LmLvm41CuKs/JtphvFxiC0Y4lLPd/7wTDeKenYHAzLADtaFPlDxmOGhBY2KJYs
7L5aLbwWHW2cJBXoEQGXjmEvB7eFKQtLVyniB5P1+bUcheI+s6oa+W07ImWgtY0rmPQTMhrf1DBp
1gh+3ZsqgX0HMs9UHrw68u9bhYKuBuQTBXw37Lhm+a22fMXRVQrUi9rFcYO5l5iVjiTWdTJWnHO9
skTAg3yElZfUzF1suMWK1lr2LPmIVDzfHW9UtLUPiZVMqb51XiFDVs0osDPJMm5RAwY/kDEDZ2MA
Zcunt1iZQmLR1Klkd1PpsnKVkhlOrqs5bnJK/5tEB+u2YLUC++miZtyYBXleoaACxWnyFDtN0nHC
0pK6dErXKjlVIvj/EneVmHAYx4Nul6gja3sIzWFYD6Vg7QcIDS9maBYHvDt1R+/Iakj8VJopwrpH
l9qgJNop5eCD62uNGDIrYr4+hmmxAD2YGs70UZyy5JThV6AF7ssIb+Sg1RoSR2NElmKLgCnvK6tr
twQ2iYs07JPnMRYRY5YKC9kCdQ9sRDcwA2sJHMMFkduayTdodakIdtPTD1rrNpvJU10s61ortTWB
EgHAJClgA45lnPg7H8EXxLJM5AtmKEHx62gDd/vbCeO4fP3p3CFTtWaiSzKddUN6P+wendNTX8P+
0OvffD5cMTmW5ogjUFi4Ft5r68v5sab9/YczDl0yvFQYyrHPqoY5O07FQhhlTaV/U138Wr5yNyjr
QjRWmSRjwQb5XZGyaZj9hUMc28mPoyqGrOj8T6EUgTtpOtUeXWFLcrLZR+YvAmSIxEOh0n8L8fr9
91BQDxP7ZaLOsDf+60MBcJv8//73+Bzw+1/504dN9UySLAXNhyKqk/H4Dx+2+q/pDM+MkCYRyNFJ
QP0X7gxVtQzdFN8FImzf/zgISIhHdIsDAFsbtoiSpf+dg8B0uv1zUmr8dZUekWRa8KEkTirT9Dma
HnU4EBenE9uHlxMIoeVn+TVVrWoh+Uq2w32Q3dCxU246OS0eju7TqXdvVkR9H5zRRaalxM2R5z2D
rmyMohUlYrgAWn/Xm8r8lhRRvgcdluxICo3x6MFI9TGrSdkXyVTG6wZ39osaSumO1DYCZgJsGnQm
vUwWNvWoVBaWiNGjMz8M2LEwGno1y1Ufpy+Cqwnf6sKV2zvXGnz1oJJFoiFQV4beQlQ9WlBsxD5b
eRLNXDDJLrEVVoAm1sZE40N9F42qeyB4bpRXUqNnz5RLU2URpoP3ULZy8UZRXabpLFtvqpkTE8N3
QkogUem1iqogZE98hU0wcFeyaBITqaJmd1dmAQZ2RQ+UqWNnepV0N5mrE1wZDZ5ePdEUxZqnVUKA
v9gSTF2YktKjqr3Dwx2tAYAAj2maeCW0Xn1tyhWB8mka073lc0MlzNVEAK+U8xz2Gt2yQYXrvZTE
dO0FSCjdjpZl1dwGQ6l1B68pZXS2oE2qXatqVUCzOCHEMahk1JfsWjL6FJ4FEZvzTi+T7Uoe1EId
OBotpCpsCpKwevleK/uecD5DDhqH2CHztitlYZdESvUTDQmMnSJzpRek2iQZgRCmICIAhRPWORKY
bZAJSUEZ07KEhV5JEucDmsBVHtWYN0bino1QoiVO1bVfewU0ZdHNmpcyCzXE3y7MIoih/hcIOv69
G8rF9URqAvkX59YDsH0UJWQLRAQfdFFV4BtJW/LFk1z66WWG1C7rcfonJY+YYwldEjtZMRHjfSr4
INtUVSCbOSllLcGckgOEltQkYWtiWsRwsr62hyobgu8tWleS7nprwG8EPVhcmPA+K2dkI+Pt2kLX
H5PR7DrbzAyzWA8aHOGvpW6k5tLHgt0CTZKztybUgitTh/U3Rp67c309A1vsDl28wLKNK5X1vnjL
rTpmC1gFTljl1Xgw2TGxaUCk0ezVpPXA3Ll+o+L6zUDe9ch2pbU2yvLPsYYnJZRQpXvXHNZjIB5A
LhlXKq592KZBtDORujyhhVGvx3iQnoQMPmUpl2S2SOTJsgdhWjcYXYS+suNOMjFH15VhkPFWotYx
tMEzV0ablg4GyxHPZRU5XgqewA6Exv/Bn7Nj00XhMSBDL0Q9Yg4LBGmol/Le2lWD199y6jF/JJlO
ogKwfAihvsZdxFtFGDJBl6taTYRHUN8lBuli+G7GSb9KrGy4HrXCr7ajQnqxUdXevQ+odiOS5Lz0
c1ozQpN0OeBrJZ82oRbJC1nmXVttkz0OcVKvC6FQrnO1GkmPsIwH8LGAA9s03AuxnzzAKkN1k5tV
ukh4t/d49qUDSSqTz3uQ9pgNGqjxWbnJpZZdowE+AYUm1EFTKvuFLFX6Dl56KEPyc9VXKVLqyq5q
VVw2oqBuXLwJkBKibAsl0tiZEIcdU6iK7ZBl9VMPA3ANSN98ExNT3EWtOUnAJJBeSLFk+LxhWt5U
Ztg+FKGQPSeRG8WrsRKxYYhaqD7nEhJyCJLuStKMEREYdOQqIpFDCokaiRROrSLJAesRrM/1OIbG
oQ385NrPawHaJOuADk1AQu9rmjE+mKbegua2ruAjqJuwzgeserrHTjAVkBpo3p3Bp2hRV5G4RQNP
dqZv/kjlsl3EKIIPVlNaB8TE+UGF+Pc1tATjhwdke6d4Vf+oi3ReE98SbllmOqTgUrQq/C67AmQU
rlERSmveLWYz/OcVNAXeQM/UXmUdAlDFcrn0Zdg1WlENuzaxwh3bLGxB4GCNH6LvB5zXsJjkgcLF
jKp4NQ5pcku8n8/rG2VLCz95Z7OMdw6HkWHvR6q/YwH1X6NEnaKQW2vRpkm3Hj3d2GJ1RUFpjdl6
8H1x5TW8xF1tpVAIApenWQF4w3m0Com930KKrYFdoszAQ+Z5xU9Ef+KhyDIOGxkesN4vAWZRQaie
MPiLsNVLVMeYtBZu0aeo7wgxJ/CGdYEgjacMW/abxwJNljHIl/0IXEjG8mANWz0l/oDfCOmtTKXb
SsqJfh0LdYXBF/xBLCC4GowAZxuT8is7V3Sucl46TTX0Nwj7KL/ppbf3JdLHxqBt7qPIG1Ib0kG+
UwfwXXYBq3XfuYr7JsAsgLFc1MIm8ci1J8g7RlPdFYQGmU267Zmez5ZUEr6VqIUj5ap2ILuzu1Kx
gy+zrhEWamh4T6mQqa9848KnWqyt2woK23NL/gCA/cq7a+oIanYM1r6qpiM5aToLIeuQoSHTXCpj
Lm+CUi3XJMGQxNaHygKld7vE+u0iuir4jzm+0coMIRW3KLsyyxD3fWyEOLH19ks2thbq7UoXKB5l
6DSDKAdYRVFEfUj5svFt7E1e4UBvr8g1wzKnAqYvR2j3XmtlgJ2kcFHinXK4tOJNFfp+a8CLXRvc
4KdulOIdASQB1jKKnpFXg/5tmsB4RjaICKni5uD4LhZSHffX2tCGv7DlMUgfg6JLRTldFKGarT3i
Lw+W2sF+JMRzp3eyt9DTEq3k2LuPigJNlGmrb6l3Gs6YJ9JDxUnqV9gGwoJCiXsb9hOczhOyVSRq
3UMUi8ZDQrAadaRatdXUS3jcvbCid5gvosLnKMRG5sH0AhJVpCBaQ+mzns1c6r4bDRk8hQ6GBRsX
suGYpDPM5dVyjNLkqobH9krRXX5AGAoLpfONJ+Bm8UEVwu5rxjbX9rqmW3qSBlqgSMjFduvy1igs
5dYtY/2rYQ3NijoveVrAKzZKQO7uYHnVV3I7k+91XyhXOEJM/KpN61RBXD2RX286eOvrtSb4uWMF
aYCjSWx3jQnZK62q9IrMw/DWz2X3HuRivM3QlLzIZBfcB/DqnC5vtYde1GTH87hh1piXJK3E5S7B
c3NVjUmB6U5OnNzlqyROYXBtnrqgijNxrZOUc19VUrmqez+7Riua74K8ajFFELLCpJZvCtWTN4Xh
ZgBWiIwN4jDc5kFh3uSi365z3h/AI2RCq1kNiqgXrcomEeU5d0eXKkT8BRwYooYyp7XacH1N5f2s
qsp88JEEXoE2aRYwu1uqFo10qJin31MIBg6wIFJ0Rap+CXT8ygi/4Cn9psYRZ0FFltewrLWNPxQa
YJ0OTgtZ7F9jSSzuUUORsRHI2go+JcM1hXDbZEK/EcOgc1wKvNck4sh8Vqm8WFMJgnJK/ibWtfKl
J5h8yb7fpDyQC1t4/uz3YJApvp2amn6ddoJ1Z1mKfuhLY+JCllDfxtZLCM0a1KtBGCvNTlMC3znc
wuejC+CvSlPrvpaGhkiAanpLKy2XbiiZjFdZmSdf8FqOzgibYIcx90diGOpNTd1+h+KqIq7LJQgS
kS9Rqj48fkDFebIp8eLtY70vnzk+R1N+R7KHy186AmgIQk7cQonv687KbhpNJiUq8FqNnPE2EwAT
a2CUSnxuO27WsOJTEOV2LfV+zB6OiloIELxfpLRiNmXcdOvU7EpMdwqVU0RYW48jGRgZAoGuJIDG
lHUV9d6vxOGRpF6BRGb2kbYR5ynXGfcm5F3Z/0oRWduxphaL6V3kO6Pk5avntz51R6rICxz/wa2Y
dvUewmP6NMLMxMIzWvGKlktzayhFxVEGfhJeZkaB0x3oQDH50vDdr4VA3+AexQJqWK75FaMiTwZP
uLXXlay9k6hEvbqIhb8MAGd6UO+8epxUKBtTusiS73ruWTdl0Jo3pcUMskuvkJ9aMdfeJA57MDcx
UVFJTPkhgxv8TPwWKH8ew0LSCpdvnaKGiHiqpO1sjKSsCoJrXIdxpx24+cUrXtJuJY19ticetE6c
2DD8aJ2LmvBMUR5feVAr5HMg9XZcPlNbrUpxp/Li5PdlXIf+mjWtevW7vr6T4PR8jQY2ltSsh+hA
Z058HIe4+A4pqfqeKQbb5lpPaQeMlkEwg9wiz98mYoc6PA2ooy3V2KyG3yopfy1tmKpAswP5+4lc
og8Ia3buXTB8jRONoqC2IZxB4qsYNdFaLshLspuEvYMNvZZKHiLFDOLG1JvIvT65AVKOtM+tq/QG
IQK5IJEfC9Jajeu6WVcpyR5L7hLb9vNn+Hchy/znahh5dX6trKnqTIKSqblYEJRJYnIhRGsLLjYn
oay7VVyt+jbUlbKQglH8hXy+bpykUNsEKilwKZzvZf2iehxiFxBo09X533WirKHRepUVTNOWqilT
+/OorDHpin1fJ1A2KbXwu6cECkGJeTzcN4LS7C3Zl74Xsk/erRuTHHV+7I9N+PeqhqYoOvfEMPi/
uT6LWgHnaxx2Nm7H+jaqRenRsvLfNSD/7cP/Dw1zmsd/XXGzv/vB9+OC229/4Y++u/EvhXIu/XHc
vXj2DB797/U2FSgKOuWp+kppDesOw/zReqclPzXpjyjURxU3818KVGr+Sf4YJyJ/7w9C4+9lrt/w
lKdp0h+npo4tyVB5Ryn4AVPhJ85kIIAcUqlLqESMeRocsDgaX6y+9g+QcAf6PgKHm6hSb021tC6s
LbNS8DSyzv3QKAeLVB3nS4vASY+jY0A3efzWu191JH0B2U5Hz+JEVW+uzfo0yuz6DDWymkKfVJ84
bq/dnbGKl+HScpR1zDdriyJzbS0vqdJOjmqo1BFNkWcvvgtFj154PtOeAEGP2Ky7djkuuzWkVyh2
drHsfyk7f4N1fKO9nb9UeVpF/lz83h8lqvo/B51pGlSa+QJGJwZdUyFYpSuWZ/guYA+Db/qSZM0F
RQGn2Qu7+k7chAf6OVinlud/xccPxqcfMW9hDI0p5P7UDuy8GEJ4x56osI3qB6r5CyOdvskaZkYV
8pahTN7E41VVVAV2gYPCUAv3ztz122DXPteb3DFvXFu2ywNN/UvKkVOTFl35v8fknT0e09MqLcKB
y6SFS/KNsHBjS6WAHj0gyu35O3l6KCR1cFFh2k/qm+OhDD1Hkp0whyLxm6DdVP2ziNrv/BhzxfL7
6zEJjUxKISYdodk9VDw31uOGx1UvTQ6qdrWInOSJ+BYoeIGtran5rLqr/DVxL7z9s0/1bxMFGCwL
IK0I0PjTwnT0ikgRJSTh/cVcdM64nN5Kc2k4sHrXseOtLok0T8xLzCd0KURIspJizV4OjtVEIBVc
aEn1ewThNqXI+uJjQB7JhXs6iZVm7+HRUKo8myMJaMUE/zu8R5taALPSW2trxcnX/vr8SHPxK8Vy
eg8i5wZFFSmRze+hV/q+R5wilIA9FXzhVf6eOGiNDtFBfzO+7ZVdsx/2pFM+yc/xuuOVvDB9Zh8P
lFqqzuGIjQ2gLplUhI/PsMhFV1aCZqpctSviABXtRwgTARrVrjPLRatfUtpOc/7o1v4+oKXTGsLe
o8mzd6IyMqstcI3acvZQsCOOm3abQWbMDEKwMe4SKmCneszRBkRPx2a+slYB5sEI7XOQq9ukejb6
72GeUxxKL6gd35/rmR+nzERsulsh18j4cc0C1ydkp0Wxq55+4CBLHH/V2vJN+yss7fhL75Bdf5fd
yhv/QDjs+Ulx8pnAN2Ni0NaV9dlEL9PKL2UFvVZYbV3JpAzAkagZiH4UFiLFXTnqLsyCuXX7t6dy
NOTsVZYzampBwpDqgbgIUmWTa2tFgUOlnSUtqelu5SWEUuPCAjl7pT8NO5sMACONrkNFb8d4l9rg
q2VQu5N/jJ5x4QJPDEQr0mSBVFSZzcrswVqVSVS61RggUArMsiPaitLpxqv4Uk9+ejazGYTVHtm/
pKlUOKcW7PGamA6FZDQZv18dS+++FQNaO2G41CC4c/KOwwexMq/PTxf1xJAa2zB84/jlPlkDAnjS
WdABm6ji7C4IEd/oX86P8HlCarIos7vkG20QvjxbJDTXArKmJLpNYRGETqhtmtb9mukkPOjtUyCb
mzaKNufH/HwjGZPRQApqlC3mfeSWKkbuIatBbCg/hYW+M/zggL18F5jFtWhGb+eH+3wTPw43TaCj
b5nWwEnuu1i3yZ9djFYCW/VvOjgmUSnKWC7G1GWAh7O5btSoTOGlYbbPTQIZ4W6RSLBE/xRf+Hqd
uBQgDHTgLeKpEPXPPl5er5mpF+IgAFAMCCvaKkr5GzH/L4sKl4aY/vzobkV6W4qAWDSbKUNhRR9X
jR+/nn8in19ZFkAsPLxFFNtx8n8cgwxbUkJk8MmmD9MxgHFC/XGvGmynrJEi0d8cjX0UJ3vUU5Ji
WPhcP47mgZTvEJKRMF101+jt/IWgZXTDu8IRas7650f7dP80MhAm3TWiDIk3avZCNRbh3BTLRMr1
pIkWXxLzkl3uvSDxYSGaDSF/vKCgU8jvpVxoDzt9nW/VhbJJFggngXKkq/Q2XUFau85244ay5Z1p
U/+9G1bIHGz5Kn0i1W1Jsbpc/01iB9MfUYWJAmbaNFJHmX3ajLxtmq6kjpeNaECj+F5K3tAufD9/
e6cMp4+rsAbehw0pSyJofgQhHy+eXk4lNUnc2Qgvm72pewag7cyFPzTq2r3sZrSaSAhxlEpETNdn
EoTIJr2mTGkuRjO4dA74/Hnl91ApoOKnqMjk5663VCUPHjt+x34SvkBm6wsOddvc6RBNrohbXFnb
S3f64pizT/rEnxuLjjFJp+5f+6W2atbeDtkGcu21dxtu/F32d9fs6TI55pg6L61JReDjbY+lrlMh
VkDsQAAcaz9bBKta+2L10O6RGp5/yNM/9nGCfxhs/klvIVCjAmYwmDc7NyZIwIge4VWvpdD4ZQr1
nRbjLvTBCJ4f9/O7+3Hc2btbwpmnVz8VPawIoja904ue8UuXNnt31VFo6AtxaWmlgo+Ch9cTQ2H3
AkmYDSXXQM1eSkqddhhf+uzOD3W8odPlaZgFZIpdiN0/PsOKjpEUKCFHjfdDHUmwS1qp234xHeqE
rX5h8zI7In8abrYgDED5qkrnbhKi6pihuyTKl9hC/8JkuXhZ87cBH0ikkHtr16vOUagg9VfBgUgN
u9gmq/Tp0ln19CT58y7O3gTYthqVaYYLx+dIua+kH/9kEv7735dn+9k0oZFH8E6HUh2IuV9/k0UW
1PNjnF5B/pwK80KQisSCDE8GaVe0ru9Vx3Mkd6E5YmZ7i3LR1dRmlO1/OOhs7tPjC6tJRGCXS/Ou
XxKE7NRX+VWxJCZ3WS6GjXT7H444+/S7yK36UOcyNT4Kdr8kDwKaiz3Zl6RF9ShfCcu/WYP6fdaD
qqZgg0pxXvdqszg00pyLFIhnGIK7SQejpQ/nL+zTDnp6k6lLm9PenZ3G7CgitglAQfJD6RrqGNbd
2CEEZa0p+VclNnw7zpFrnB/x5Kw/GnG2duSlHhmEZbW2JOjSNgTxsreCzHg8P8rJJeNolNmSkRTQ
VLSS61KA0HviZD6yRenC7vPkILR52KO9o0hmq3xRoNZTp8pkIG3ZSC284aoJLvXmLg0ym3kehGmo
Ym5r06QmZ6RJWmxYk7vH7DvnH9y0o+uZHt3xjl2t4BuTyWtnCmueW9o0yuwRPfz5YU5+uY6Gma74
aBi3TELdrBgm16jwFJ7t1z5xL6+mSvW8+5HlD0J+aTN9ep3ClkDbRpZpg8ymXSF6U/SMic13X668
a32XrvyV/tYudFZ3LD0bY3n+Kk/O86MBZzMwhP0sFpSu7UEZUMNFe6vJv5wf4uTUOBpi9r3Sx7JF
fskQVW9ca6G5i0x9EeiXwHbzCvxvK5GuYw2FtyNj3vz4wAYf5e7kcyE5xJ6wIemKI4PlkES+rraK
g6RnaS0vVT3/4on9OepsNgI/jtOICp9dOeVWfBo32SJYe3sO+9vybhoRwdr5+3nxQmczU5S7Nqmz
6UL30ovM0o4RfDVu9OW4o889jgtxj15mbV547y5e6mxyNiNJZGX0fqnKSllKm6mOiD3FCe8nXyxF
3bvzV3pi5pgqfl8qALwR5Kp+fKKKPxiDUmDKNBt/revCJo/VDTzsX+eHOXVh+JBVKvKqqaDXns0c
echAdE8NsnTfEzO+UjbmcsLBLiCSsj8gjCZdX3rxTnzSPow5mzfhGIw9bOxhSnLyUsBtgVssQhGa
6zZQY+tpTLrCcipw1+al+TO9cLPjhiVSUqFIAOPZnH9Nmz4bfCnlcpsFCu8VdlaSWANb5Y3J1ua2
Ww10XNb6KlrFh+5iq2V6aOdGn82iES5ZDxV4sJGexvEmGImjtQtLGySy4nNQfhTSAtnpeksR8FJK
0WNddXV+1ReGV9tSkAT64vzzPzHNKMvpFDs51uK1mO1whUAAGIxN0pZJFy2lV+SoCyW8dIo9OQpl
M9rueFDhj32czG40gnJxUYMYzWAuBALcHHXIBcew5HF1/oJOzS1qjbgi8LKL5nxPxoPXDHppvDeB
HzuKJYovQKCbtamhhMLMW0HIa/X1+UFPfEmoB3LWYqmf3Piz68tVUSAvj0EJmdtFurGEq3tp5son
5s7xGLNPCX5h38JjwT0UomUq+z810gjcqnzilLILwgbdbPjc5uhLRKN1yLZPF2pdFheudJqh8xl8
/Ctm8yUweoK58gQMfY87AJ4+0UAk3oMLFF/+wT21UCWoMlbQ9wDM4z0IESJNFGvTIjH8BFSGgaO+
MFVOPjUQeFisZIMC03yJDdC69j0jqOxwPLqsAuei8xdxauJT0ZdxMtGsJh/z48SPCIAzB4HbNWqY
+GTcElAZxR//2SCzmRHEcZ+JEjOjcJ/D7GB4sl0Xlyqr0y+dP3hF4lEgYVLRyExXerQlFMnFTI0c
/VmMux7/TYw1sRLejLHhq2s5f/+KFIgXwI41PHLzI2vc5CSwdLxPbgoS3rRgWL4F3a/zg5x6/MeD
TC/c0RVhMkEjPA0yusmyMcmiyP9ur4BYUe4WAqIpUkmed5HIHzBCUWGE3gcYL8GqQBeMTejC0nDy
QogypESKvIxV/OOF1DnUX8LpoH7iKpBMomHES82IU/OYWpJBHRZnLNKW2RCjV4ZiiQlV8aMbMxh2
GXGktqd3+vL8Q/k8EG09SsoKKePQR+YDxXVU+7CU+B512k0qNk9hUmEGUR7+wTCazt2a8m6t+QQz
R8+tiAcZ7NqPdwBTN4XJNz+JL7TJT17N0TCzKWYEuoBqnWHKonxDSeY0ZnOnh8aFhvfnTQ03jYYe
VXmd3ui8xwKOqdXFaVGuav8lQMatK/6b1xQrLSKLW7E4Bqh/u3fEgEdjTmbY47dnQFrc5zUPKi8G
+s0+HAsv0i+8QJ+/NtMgusVUgP7GcvBxENMvqyGM2Te4xJwujCojLb1alVJ/jxU2/9trNYMZuKJx
VdPLmW+FUopHGsxdPuIaRdpYWwLWd9zmQp3q88vKKGxB0fDSFNPnW6E8ECO9Gane91Tlbqy8Tq7G
Hg34+fl9olDK3KY1JTHHORHO7xyn2boVeqXjaJaNC20V7Mg+Xeivzd61k6WwDC/cvLl+idGmAVmE
JtUlLmVl9qhA8FppTk6GQm+k3ktLtOKBQxKLXTtYOdkoXJcLb1Vszl/oidv5Ydjpz48WcbAgnlB4
DCuDP0ixhUxyl/NDnJiEU79Lp85He54j9schhBztuKCo1Jyjb6n5M6jNNeYCOK0XaqYnL0WWQQ4Q
QImKZ7a1auVU8+qQR+ar/p5AMrjIl/CUJy/lzyHmwhitGYjQ5mOBq6hfaJhItOLBg3dupd7y/E37
vF1gOqjI1NkRI/Z6n59Hz0XsA8gwGvQ/eYp77LX7ONGcIihXcJGXBibN88N9wqa+T7+j8WbzIC+H
EsoQp6mhsFJEtA25Vgo+mtY3D1oCXpkE0KbZI0rX7trOSsHxt+OT2bgLLJk/VL36gq0XRkvo99Fz
Zyo59CepIW4ukDrxexQLqflPHvfRL56tbWnhpTpRLj1uwsxWmhqU+QWW7PtX7OOe7eNDmKbD0UOQ
Iy3FXMQQ/avwCglc8klLOqCs77SpHg8MVVpYu3CT9o5Zb2TfJl9dvCqehQs6gxNFho8/ZLZDiY3B
SIvpWiunX4oOyVh30RqcygSDvJKvSOG6sCU6vRyRmYeRiKgeRC8fLz2gNS9KDSMqjT2pGiFUPUEz
aDftotjX38NNtioP8fpS6/TEB59p/+ews2lYIG10czzKIDWIuy2gCpUjYZGXNuMzQsK0b5lu6J/j
zCZPnwteHE7jTDdUsPOVbjp+Y2drfdkgLR62/QGxHXGX+cXizf+Tdl3LkRtL9osQAW9e4duT3fQv
CJIzKniPgvn6PTWzq2mCuA2triLkQgomq5CVPs9Z6MpDNlykKqM7jGBwZqeaSFalccRIb2+hM7tJ
0FoEiZ+Vsdmy+zV0TfbDvqkwaOhBiSLLPAr5X7+jmIFTm5cM1rxqN42XeL0rY1J8rUCxfKgrObNI
LQ9AoYtJ/9/9UgFDsO2HBoeJtr7L2cLrirVaNPVX0mbaSUcQctWAyMGwb+8YL/Fr/Ro5nNW5oGT0
QAlYrxcw2UV9u0gURHCLAjBm5vPFvBwUmZ5CZLpR3PEQ2rACbujn97m1GgusyZpd5iCToacFmARa
m7fKH5LPsSn/c31P7P9/gg1lvDrW7CabgVMCMWY3qX8q0yfFCpSsvq18rqVXjYgQUQDjxkGl9KsS
tkDw01D8/a0cCjqaf4EnKrfRnbD1k1rfK1Zix4+rj3xJS67Fzh55nlMa9wXE6of0QcUgK8aaLGzn
W62TgEPK4c3IXf12SyECMl8F/Cm/Joln346kJeZHKw1x3En3JBeVkdgOEcXFT1NtDo7IZHr542ov
gf3cuX5ey519yAwcVHlZQ25v8RY4bXBQDi5K80Ad6isrvnfRPVxLm31RrL+lmdxAWnDQvTg2w1fR
kfzCCx7U/egCBwRN8daK3DV1/QYWzAw3ZmsQIGM1Dks+s1qNMmpyPyRYQOu2k6u5lQeC4SMDRAay
mXVbbRfV50rUzE6Daw1IDYzPg0jEKcESXqS5c1vEYtj15zgopn59GQNfAaih/2XI7MGOXzFncokj
FxiBIUbWAB5pDY6EFRvSgPb9ae2Ei1nOtfiZdyhqgQbYtEHIvFFQvoaDCGzhKJ4UT9mCCWL3/2/4
X389YJJ/Pa6kJxqXC0weY7UgWNaIVJP2iXn7WpeC5+tjzd5CAvCDvAohxpjuuOEzlUOLB5JzoW9T
zLDflrWikdjK+HomJdM4gCFCTbBWXW4yp/CEc/jEu62F7HdNX5g+fHvlf+vkN1ipUvw/fYk3dJNe
MutTQbOlfFzrMC368+srnIW+kVAkKEzgVCNwLTalS5zEakd/sAq0QyM3X+teL7qIq4PNIlx5Ajew
xuIUmRFPlQXYqqb7vIpWA9s1QTMDInPcKAcBDjbQi+qJTuIEGzy36Vx9MsBTbLrYmES01y70tjFB
/eKrlqRim0gRCI6AJjKZFJTD4A28rYiLjufPDQozUxIOXBVXKSTUPKYLBLsHXEQX6E47kJVhteWz
oD2k6L8WM9gVX6VFFTA6ujRCrigqL6oQmbm8ImD5KDrLPDAtii2CrwKCUQXyTYzovAZZIwX2RTMR
q08zKyT/ypFhGPf/RM1erxF2fDmJMBX6W4T+1hHYMTYamQ+G9Vm9jK7hFXZyWXOfyxf4R+jsAqUw
4+UWwLKmCrKtsmgdLaMr2rDQ6Gem9o+M2QMW6lGkAtNz7DN5ya4+CTvqE0/yeFe01Z3o98/GSrX2
PxiNPzJnjzjiZGyXaLhMllUJduSoGGLcgPjWibfVc7GWFS+b+T/iZk95TMQu7Q2IE06orOfEiY5s
KZa8aXCfQKZ+AdRHjtoqTHHkrj3o/2D3/0ifveiy0wioISCdmeLcje3A/mQ5XHFa85rL0dafbynP
njZ2dhQAoEFfqDuh774R/OiReFxiNjZ1eGQ7xFU24271iOydffc2fx9xPkORgwAwCFkRig3B8u8F
tWNXtwHc4BQSplPN9ZhrMTG/Ult5FiGQpseDZCpUShYIykE6A0hZ7kx+yneoLI8vgcmbQLKK7Qlh
tXfbgi4+SxElN40tkn7b7ykomMSTED6o788k/jCAtfrfCZgdzgAuUqiESEg4wEqJ4IBLSLkSjjCt
+/bJrs4wM50Dp3NGSiGCuiyco37vct4/yPcX3eiVnJnd5AcDlHAspWMpKisPgScnPTGGJcOLzUcw
UefrQcmiX7gSOrObaTlgRkuG0MEwa5TIw08QR7uGJQGZzOHd3Bl3zUfjrzHcLJbf1Cu5M1s60Qrc
chnk1ig3aABucTIvsjq738c+UHmt1FrLXRdN25XEmSWl2A4lSQtVxDxCjA4U+SxSoBgLmepxDfWV
ctV2ryn/zJi2AJiTBfZB+a1oqZbgG0c1dxt3cFh2DpjwGq7x5fZ7WHYYV8ec2dC8FDgj4yBU9gbR
xJAzuiwZtn2JNRz+QfK48jjmIRK2Ig0McuNWoS2WwR9z0Zb2k59YpcPH+yDZD14EUjDR65+C1iTr
TZ7F8P3PeX/5lKvIiSCOqSpmYcINRdkRhZ2j5BnbzF3bKF3O7K4kzUwNwJMAABrjZrlmG3iob2L5
8qzuC7Be7tu3CgCN66dbeZ7zngXQpIC3zVSoctINgNOKc2OBEMICGeon/xkeRRs4UGsrrf9Bh36t
LWJ1DX3Lr8Ei5hkZZiSkUldyQ6t7JE5myRfRLdyGN1dT5uV38re4ORXMwDUtz/02fL2Tv2o7IIgj
N+pdRbd4O0FrsF1bS/7VbPxu1P/InKXpIJDI+yLCERvsbDT3g984o8M30B8gpEF0+yT9xV4p01gR
BE36qdvUB2OdnW2pMMkm9bGRyu6aYcBcR/5JTYceUCfsvbab+jKYaIpuu028NTarF81+1q1DzzwZ
wKX+99C9NTIPY6Zu5tW+BgCC5LTm+pfd2Z+DzdxZO2aSUbJSYaDuKk23ouY1jn7ctnbLzwNLYQDK
4bFaObOwAkdBPTuycBW0z61hG/QgaE6ZrC2sLMlB9VFGm10EYMt8q5Kr6gZUJSnm2gHFmMn3aOS4
AcVsJHe+faClpwC0G2BlY9Qdczqzl9fJcQswYjQycs2Xssmu5bV+62LkeyVivt1G4kGOojH53acR
7MoKdVPkzKlz0x3m5rB+A2NKEXsjqV4rSawcT5m9uiClSqv2kJ03pYfhZTvs/k3xCKDUWK9Ai40h
Hcz0rjaAqwmIQ5ZERD69EDQxko3sBs/rlf4lQwlZeLdYx+dBbzY7j9IBo67sJtbBiPyIxfKqjQxJ
wLJrz1nENh5uq8dScfOLwJm1mPJYqyRtZBtFncNK0sB6je4BpyAgP/sAiJor+roGrgc7EZ1sNW1a
eAeigI1psDoJhgIwta/GCrwpeoy5MpyXkk9FD5yRO2tBy+DEVxrFS2oKUYaK7VaMOGBC9quoIlbL
rpYwRUFpZde8djZyLPSC5MjkpWSTixgKN9LXWgA9eqT4ahw/pEn60iRYKsRobQcs6F6mP29f/4L6
Yrcau+MiLuA3Cv61rQ67QKirDscvx8Ht++AtKKvP2yKWogzMWwA55decHoZyvp57CCue6yKoFHNI
wl5Ay0Hj4e/RmHbEHQ+ams2KxMVTScCiEoDuKMLGfZU48aEhUb35vUI87QNipa7hKPfRw/Qk7gs3
94a1lGop/BcFCd4OfJ1opM7T4DjuwkgbIbO38k29ae8iRBilk20Awueo/r8qFn4ROHs4nRJOWTlB
IC8CMLJ/FLGocfseF/ydKADJD5A7sN2Ye/x6jYJRSUDhrPHh6HvSa881SL/rYPBvS1mItxmWDiQB
zguo/TP1qAjG0gSDofrA4gBH1U8AUybuVpvP7LedhQpf5Mw8aygWnRoSlZrqYXJFAAcBjt6qncmS
rH8yq7VoWK6ONfN7atSmZawCSrNTeJv2aOPniT2JL+Gag/2FjHXjYHM2OeDKGdlUQhJ9QQHG6dBQ
DIFckHgMZEp96F1pO9qi2YjOehd6UUX+nHLuLowk4aZxgOyyKk7UaCpTBfmCCfKdyLqtJoue6UpP
9Jm+603ViWDTYmElDiiYoav/KJ3RRhqI7RLbWH3RKwqjz9SfB82OTCqcrXEE3GjjwRfeMWQ5DbkY
oN/XusKLVuvqLtl/v8r7YiEN2hCQzBhaBAyziBX2tY3Dta81s4s8n4YgIceJ4rI5pQD1b8DKlBqi
u/Kp2JO9pZHsbVydBKiKmMdtIUcBmxiMfuSnNjrNmF+h+GDgM21ZtdfpP1aLkWt3ODMmoVQFGYAz
fje4J1swQWOFvjrvmqoPRLIVl740+3VtU/SZTRloqQuAn2fiwOmxFwEewkAAtGOCFdXWBDYfZjJr
C1uV28LufWFTrZS3l88LDwcSG6xaybMvOkgC4DtgXcxkAMqXUKjnqq4fbn/O70hfCAfBDg0MMsy4
AjRpdkqpq4Kkp7jU6QTLaYHxKnKoD5x2YTdgUAJIIfvSVKx42+2kn/VBsfh/UjhYVqo/v8XMoPK9
NpUBzornGHjZluz6t042Sx/UhRbvZq/jfngq7NEfwzV1XjYEf0ueAwhogClWY2YIws3kKm7jZdao
IIAB3ISfuAFwJVdufPmd/hE4C0q7kQf8NrOqE59bSftDbyMP+ES3P+tyXPbns/4C2Lx6pbJOwwAM
2axgmYtmd0Q1zwKonYeZWMwRh87q42QW+rtZ+HOsmUFt5KjnhuJ/vyC4RrapAJQd4JQ7tae19r8o
jyJnwioFWGXAn66wt3N1Pr0A5kM+ShjNKPhjCvaaphBPXZArNigj3IQrvJULXdTQK4Gzx8h3QwTe
NggUSwztTXb4Ao6T7h5T4SDm1u6lreC09xJBn2ltc3bRDOjACARCIaCx5llMl0VTkbMBbWBNY2FE
MIt8bf9eWJTB0F2B+6SCDndm1MsJpCYAn/rtf/MKBr19Zl8P3A8/ATLJ1nPXmneL9hWIDFicxRC/
Dgq/r58wkWIpCiSkDtQVPoFGsuM9cRuBbDy0yX7aBfZ4SmQbcPHoXuiZGb+tAl4sFGPF699gZvvk
QVeGWkF6yopZ2baAD5O80M9Oq/Hp0v1eS5rZNyFrZK2If6VJb78hQnFIUzk2NkOTSX+uhRuLH/SP
QHE+VqSOoOIkOo7G4pustnKUzlhW1mDVfIOxN3t8XjUBS6YUXTMsz6O2hb/NgriY62PK979ksuYv
2wfOPN1OTWVLveiy5qAXg0YIA+4+dlXhIGeWFMwB6MlwzD+mZvnAakPR20AwMcVgiWlhrZbU2SuY
2zgR47rAKWWL3vOVkJhyWjax1efaVS76PejSLNSjXCC9dmZZ43bZYC2xh9fbtmdRea7Ezh4niGpl
CqYoVNVzsdkkWYR8AytJKytQS/MCqOEB2BDFAhls0rP3GIMo1QgIQEtam9rFGbCXhaVWJnEQZCGy
awQUiex/4DmW1OZa7uwV6lzXgq4YcvtJaVzRqEcAUoaqF8o8AetUmGHRgAR3FfikzVjvVBsFh7Yz
874L/K6oc8tQmzWU++XL0GCWUKdFaW5uEPMQ/EhCGPZIKKsn4veHTrXiy4BhFKz1K9bwU/s5fmg/
bn/opdAArH1/C519Acko1BoEemip8pduxBgK5lVpFK9k/kvqdC1ldt9K0nEJKSBF5koY2VZrwEWV
k/PtsyxLkVGgAbYtkCtn8YAUUEUvOoIAZMh3OhgBgHObrh1lMcyRdBmL90BExRL+/MZaPhwJmP1M
8s59EgLMZ+LUO2rlJkiD6D/A7VsyAdcCZ5dX6C0IycDVgZIz6l3GG22e2jSxablyfYuqACx7BuUi
ADh7dn1pFyd6Fca9qRFPUyegMT5ogvJvNAGoFb9gHBAszgyo0PTClDFg86QMwUzG7Ru1uNxWg+Vz
/BEhfnXyjQIMHJUpG8fpNtfXIIfTOLPpJHHlLIsf5uosswvL+hYMjwYTJBJTbIdNNWxT1A3SoFtJ
y5aV7koUU/2r2BNRZimpFKIah/g5WtbaWQdky+h2m3CrbOo1LV86mixhPRk1bPyhz0LPrs64WNYG
ZNydZCfgswPT5V7rPir4nP//18LcOjoR8OHYoZuNGY0gnaJKgDBF7TOzLFWLJIUbVKp7W8zSjA96
RmhO8ajLA85ipniymhekThQYh5fsKQVMVmQ2mPS5x7yY3X9Wtc2QaJ6Mp8Ql7lrcuRg2sJwXm94q
A7iYxWKqKk2dMGAbkRzBDA/omwgNVK5Gksv6p4q9clZmEeZBw5W4+ZrvJHANg/+Gub1PgMHwom7R
9rcrLOKodrvl7tNz8pCeUyf3/k394Fry7JapHJG2ALUewKuJOdXgAY9XYoYlI38tYfa6yw5ga6BZ
BRmMmG0AVHwY6LhShlkTMXvXI1hiQQsGEVJemRXdxcLac2bXcOsDzZ4zIWoGE84koEk1Oo2ZbOU7
NlQN1gXvtjIsWcPr+5q95KprozI2oAtkrHx1aPwIIydU1v7bIzGLcmWh0qDukoEdqcZOgYxFm9/A
/bob3q9G/czF3rq+mQtmjGMl+OJ+l8lG3hcCs2zRkwlsMOXu4/fRjn218dpje1hbbVvTjZkzTrWq
McJf+76NaknNE2hB/4VBvP5gM1tRRVGZqxkOh9V2E4x4VoEDrWFYLmkFhgGw0cLAQb6165Gl5WPY
wL6rjWTmnGjJEW8FyRr+zaIYBcPUCCuASTtvYulKwtWSinRp6KtDHleexFUvBRGd2zq+2AplIEHA
Ksfe/DeM3yKJhmYy0HaUvXpjuMqO0RfbJZoxOUbrB2/cAVJhffho8XhXYmfKoA5hZqDfimcsVZtc
1myVow5J1kZxF8sW18ebqUSdlXLCc7+Olx0l7G2CchTo0dTXHNZw4vf5kaAo3PuJ3d2pu/UFsyWt
x6iAATRwlGSUeVk4xGLUVGT4BUCi8ahK5UVUyhUHvXyXhqSDVl3Sv+2etxnGY0G5jWBKSV1FiY+0
pRvSCmvj4sx4z20HAOD/ljMzvTkFj6XI7pJ1j/u3NjcZ3EFni66+q1HsWl3OWzsY++9XhpEPMLI6
DDiYAiK3rkN8oWJKHSZr5Q0sf6M/B5sZ4LGuWwnshbhAP7gPX0usqYVgaupfURC1pgYDzNnzbZG/
kAdu3eXMDssg26ZyD5HUTR+iS2CVNgKc7bAf9qz4UzpabKkbYEF+NvYAiDrNKqCqtVUCUwJfIEYD
UT7f/p0WI+Xr7zt7k7QDAXjGrhsVmuQdwbKrbqJNCOgOlErkXe9na55vTaNmrzMBkW2FuhiM3Iu4
ZY3gejd5QODEznPsoHzhrZyQRTg3bn3ePuAibeLlCvJ6a7BFoJkrrclZLZh/sAeQr/KELNb1rm50
HjmLKpCqBPYylRMaJefujAIUFKt1ssCUHMbFtebgV57MvJOQgw9c4nNIbMnHJCKIzHRs1a02ZNcu
chbnVXqG6SgmJt8LrmAru9BN0Ibp7eau9daMOHsLt77azO50ohGkHJvWMdoq8ZQsj82oSAESmXZ2
9ivJEn+sKMqKRZjXDscgb3pQDaN/4AWHAPXm7tx4BPnOtG3fs9JM1vdTlsrb17oyM0KabrR9RiGS
3zZgUwK0wb7Y0HtudbVtcc7rWtLM9tABhhx0tczcsSZisqO5mQ1WfMqZRY+wEaA8IQfBQjD8/kFv
Vszt4t1qQI9GAwPwQ/NBBR0kLFwcwogRYpgkBpfSv8HWBQbdlQymv1eeIwmLMDYKyMCgut0cWSc4
O6BBuek38jNoqteHqRdfxJXE2YsQ0syQCiZROEmf9abzQjdwAbACyAFnvQy7+MyvpM2eBM34oeZ7
dj6s9Qz9Heap7Ulei0GXkuHrW5z7X1VPKpCyI0iLeG/M7mqhNQt9Q2PwcOfgX86M/1I1Zm+gzOOu
y0ELaaZ1aYqY6Zcl//bLZj/hmy25uriZ7leEiEpLIGEQsRci5iZadXaQhD4Bufh/J2rmTuUG5daM
RX5T/9wBcVQwnhXOk8XKui1nsfoNFj2g5gJ4CASBMy8q8iDQ5EV0HIAZsm/BQIjBI8EfAP2in4y/
6LE6gXRxxZUuK+DfMueDvoYit3EtIwvKqwxk6cVQP5SRpoPSWlprqCyWgK7ONx/szcuYGzoJ56vd
ATsDiYMt03rXsWVPt//4F8uemEHVABqCmXnkRLM6TBDnHcYwS0jDlK3alWYhPq58sKWwB20DDIkA
XwsshLMPNiWZnhRKjdeL9iLAV05guRaImb2gRKh5ldv7er8WvC/UTUAowyOb/E17OnvLXc9lky6j
G5YAH0i0BLN5ZMP5ICd4XGuBL3wwXJ8CxhgdUYCIv3y1vlyYiE1RA5UKu6z3mjvtQI+2B789Snbr
meR3dwJhoGRD2wJDi8Z8n0TT677JRAhrufhAOMRZ2hrL1ndlZyLgsDBRICKRm51HFadYNijmFQG6
EpRveblLAQx/WykWZQA1k3Hyqqwl+/XOiqFUurph36fVjkFdOQDZDYFRsEYS+d2m4yxXcmaeYzD6
MpYnyMknwZb7yAFQrKtPgFA8JcK+Vze3j7WsC1fyZncX9UM3DuxcIHTalm6wIVgwZjPsoUPsNbQA
9nC+Wvevh5v5D1C6VySoISzeEF/yGXoSoNlX0ZMWVY4hO/NQBuFbbYZ2MZeAFQ2VcBI9UYH/wQXC
4+17WxahK4wKCmxoc/wBqUf+ro5oyAXNj1AvrSJ5+a8EzJsHwOcP1UmDgE5QbTUrzDL/vC1hUaN1
wLOCzg0I1fLsY3CRWPJNAAlyG1lT4NY12Cjj0r4tBfSE3yJnAPQCqhdIT79rcjOfrk10yIIyN8y+
KzT5Re0HPtfBv1a22keeKK2w4wIwl/njIKrtex9qTX2Yplzs3vmEH8iHoAxgpTFHveWmu7akOboL
pM0DOxxADQVEDS3xg7ECqYA4VYopixFHfaBeK6pZU7Ajep3R0fe64UfBplTPX/O+b/f80FZ3NTp2
B4wMDj+aCCB8ZltyTWdhXVSyYzEBkV4MpHLN5IBpUB/qrtGDN2LEgi21tXwuiww6JvZ9F/pAQeU3
ajuIw64MkqY86HKWJo7C82R65cFveKeSIshey7SXQ28kcc9v0C0vLF3oW1+ISXGvCuxj1IrUUS+Z
wgFlPS2r28iMiBzFlqFF2IcbBKWwg8CYtgEHGtOBTBW8YBZ31WUAfZQzSE1pguYBBM+G2N1ntO+A
U2pwfiJJ3E5uaPiaFVoC7J1SPWhKVxxVquRvWMehitWWSmTW2IF4xSRItp8A8e2RpqWvTTGkZ4NT
JXfAiMidHGpgOhuUxJfJuK2N4C4hYmsJY45ddo4KjtJzhqUo2d2Ul4rV52TDZdxn1mU+KYiwFSZJ
skiVxU4VpA9CHd9VYfmqt6NhThypj0GaHQdeOaZNvRMymVpROhITWIn3CWy7HGB8X6nIZqDhnleT
c8XTZldLZeSUJXDqDX6KnFpshF1HVcNCSCbs1EDj98BTVF0lk0RfMdrEhMMqXFqKYKeT0o+A0tIe
klK0qE6Qk6PBe1ADnTyElYaGMT9sRiXEHq9C3qcoP+uUUJvvefjnLm8sOZ9iq0vGyEyb1KVkUu2M
1zp3CvkMJVTkaKks1JZMw2gPaFzDIvhzMvQ3udZLNylKDxzEKOtO4IwLhxJcFaOQ3AGL3InyRDsB
4fw9IjGcTpkG5jT0J7EdP2UhNB4S2g0HQ6PRXSHLAPbIo58C35eWJtFXMRXPuT7ui0ktrIoaVjqg
M0ZbTIS3oT2Wyq5Kk8xR0Lu0NLn+iZ62iE261I2meNON4pkU+muXA86lkiQF6L2icWiIHNupUKom
GcCdy3XiXul7p53wlUb5QgTR1EBg0LTHhrjhFD6D1RELZrT3ac5Zo7QPx+os9bzLVZIfgvw17kt3
aAuPpxgEDvAE9ckvAcqJsZST3ox2N15SHnNXRnkspcgujcgWJdRpqk+AYjpBWjmV5ibgbw4lADgo
2acRDi9JHu0JlX5wWepqDdlVcX+nNQNvIS/zc1xUySvA0agpjkExo5pWidn2UWECDOulqoy9OARP
RZ4cJyn1CzHcKUS9Mzr5oQmibT9NJ3VKf8Ti6HJD+dBFwZGo2qUDgG6oo89aJdagck5PtBMfqLaQ
NnZbjfsqbXYpzX7yCWLJ6pi0blRaw/izM55oKpiibKIAPhlm9pHo91Nuga64Tl19NDO0nKQXUrlx
9KpngHHprOmu1O/ED+FuAEx8ADYBV/oUwkcltCfjrf4QJphFO1PBO5iDUe4lfJDPQF9EjJ6/N+RJ
FiZY/LME0jc+tPvxjoi2kdmG5BKoV2ZiPEfQDsljcKpkRrn33OVmhHBH130u2Y7EpsCzQj3+IjzB
Cpk0TcEC8CSFm6J96DAtKnGgOlCRWmeTyUWYIOA4sx/xjYw0fsQo7SHn8nfwfNiw19gqbs/iUD4D
x8ri6KVpY9AyOAMf3BeA2NfG3Owb7Z6jkRlW9JQDVhL0Rg4JBYuXAShZ2ty7lGNQTQaqtJdiYuBZ
QlGtMZyodPuXnJ6FYoceTRhbZIdJp5TbCvV9So5jiIFhJOeHybCKKDMN3ekaK+UAwwOOoSeAlMEk
NrFhg3vXliBSrQ40BVZB0LudQS9C/RIGaAWH4QE4F3Yev+da43HhiyxiH0955rTEhBFABtt8pNpB
nB5CpbJ4/iRGtccBQz42q8wJIj+nPnpiI5CgNKeJLXn0c9jhQqocPRrQl7D6QrRqKTA1rQD1oEeD
R7X6hIbz3Y+EvBYGZ8LtRWUEorHncDLsMbh0CsaqhMkGJ7EGXMUelghD7/xZqraTusEHFXZyaxmp
3XSeprh59jxhw1XtvFZxW7HASP7PjPqh4pUwH4kntZc+3ZAIv/5DNW2q8hii9j3YoeLnxoNAYd+S
Q9T7ynOYu0qa2nUTbYQEJtFp8xz00naCyFn/WUcHvvFJZ2HaDBv1mNr2BGC+li9dYldjYw3I6UTN
EYYPI7SM7LlA+9M4VtSbMAwYHKGG6U8l2feKmZUOLj9qrTa+w1aLGmGuf5f2+1zdBrkZn3mMuYKn
PvMMzUbaVuabPnFqJN8jFs4klJRrqzPMMXgLeTsMdoDb4Fo/k7aFZvf1WQyt8tJrTlt7Bh3M4Nj0
Hukuae+UhTt+hJxTG3cBsSssaodeoJlCv50SMz/UMWg4eSsr7eQ1FLbxuQTKDPzPQRe8OHXZXJ7o
kl2IPgnoOdsDhcvTfFRMY84KqdslXoUFidDSk70KlBhitQ98u1cS10A2bRxzcqx4RypMKC8VjwHv
CL01dbbctVaARy1ylt5dxmfs3ZlZ5gzFIQMMNTlm8UEON1wNO2RHgWY1st9xttKfhiaxG7ptCUIC
1SFI/zIMB6MgXSZPleKPuPnyWLXbOsV8NkxFazXtBSNabX/faw+juIlbD4RpFfbC9E1RgHso9Koy
NCfjxCEi4HdFeiCZx+mnwDhGw6NRHzLJq5WNArUI05eAPHaCG4cww7YIDnJ+Y8SdjWoZCNJiVfRy
wczpUa8yk8A8HmL1hSouLifQfjShkysAebdFFJ2HOwnaFvpT+hI1vNVxPyIEZfGPAUUWzsGEiiWk
b2Kyif4iF3H4y5BMMlkgD9XTp67agVB0VC0x9trOBSFW+RCGDm1GaMgzkNk4xcJzni7s2vVdE/kF
JtMN6Bfx1fAu+dkUDgdQrfKSRy6NvfpRxb8hc4N+xtFOip1IxzTmPlDfpsQToq1IjskDGBgaADoQ
X6fPZYeEv7e1n2F7ynVHkM2Mu6/r9zFytNDC/5mXtkKPKKu0cD7PWF3hADwR6BtBNZMxxFSbP9CH
kUh2k29C5aJV53TywGQEjtYksoT8LR93sbSvlU8cvO03OmrHeWobJPBpdx7VzJYVR4TRbKyOxpgu
20jUR4Pe1EavwqZxtRPB6id2HlccRbxkEFpLBhS0web4aQj/GhBjg0JneO562aWTr2H9Bcyisiqa
gRRaSoAr8ILwOCZgDASUlEzslnFiP2FI1SyzY99UlqQ969q51GHhDiAkQ1im5Q6BV5LgyTj90kd7
PdhgPsaMND/ObVEYnLH2MsyxKmnuIwC1NfLXEF1S7lLzkSNVuBeEs+WBTzaA7NffJ+OvMGlszcgd
tUZxMbVgNgm5TzIJnEtnGJUA6DdhhA29fR17IfA1tGNOLfxDVmz1fBd1Lmk/0/azijwab+J6p3AO
3x8lwcOH5CXkMa9qd+gBgoLmq87bSnmXGe+SbhfDKc4QNw2DqQ+nUdMRHnppZzipnltRnN0ZUmNH
WIWKmkuuV7Y+pn4TP8Rd6unpz176UVT4JfmUACnwo+If4uJJ6D+mMvLDaYSJxccwuCMvKHdtD05z
Gp8xQ2QpeaWag4Q2k1R2h4AnTsULu3LKfDkQTGn4S4rh9ibFBoieUwnCWysNbjRKDq3gCNPSzFNs
HwvIPfrxokgPzbgVCO9WxUcOr6Cee1jwerJL7iQOR0Vxk+5CgKIlIrJKt3HthNGJTo6R3EE5xM4x
xmNY4AseR0DvDO02N/w2c2p1o/Kb3sjcsX1NJofHMDi+Wx4bCCI3weCWtVMosS1rIdgmJVNOHg1s
jTTdNsNrkl/kmPND0RlpgjDOTSTR0TnViQw3y05K5YHBN8ZTV8TnWDqFsAM86WyURvF5txwaK1IJ
GgLMuZMssJCMcIHT9fc6EjXyLstvQvAQBQo0UTBpfWHhB8a4R1D08JjKyRLBygrOrIHQylqyzU+N
r0D0jLhCcuvOLdr9wNtDjUkopJ/hhKvG0gDcbD7tc22XUKecTkZ1SeMaA7B+zQNrZHgTZKudCitO
nmntGCLG6dpNIllxft9GD/XgYOlfRTYgW/rwoxi8Qra6wumTJ76lHi/sK/wK6UTsojwZ8a6CpWx3
LYgZw/rAoTkmPOWDlRa1XeAqOyyA5Rq6rSIzovp+0CPoUOzWOu8mre5j4R9vt8KKzN5o3bHEbMa4
HabXSD7yA4+tS0vi7JSk6GL6OCXiZJtPLDLtxeRhElyJd1N4Q8SGkc0yvoHbCMWBqFujskshPsQF
ts1ZMLqjwZm2bzyEcHHnG9N7Ay+SfQ50o06DFUz1/3B0Hdut40rwi3gOExi2zFSWLMthw2P72swA
SIAB/PopzebN5l3bEkF0d1V1VTRwfJcs8DD+UOR7cFbcK00hI36JtGE+rS7b+c4Qmgw/qww0mCKs
uLlnT8fo9wJLiGB0+HWDYUOwQYwR+fpZM/zQU+6LKVnAStwFXtzXv2JLEcGDRjuuwaJMsBX7Kt23
tTzM08VVP7N4cUg01O+tQ+JZPzG2d8XO988LvXT8sx7WqPBDRztMXki9zNN4oM0pSi9eb+r89huS
YDc4Crdxzw9DVQbP+Jo/4d/H+ndlNyX3lvmuLUebHltyGNC92d8Oflle00A+KicqabggJ8F7AeZh
NC9MILMsmuDC6g7arlQiner+6gstNeGgbzEwoRdr+pKAQ2VRB7NY4rn6WTpkC8VD/+4XmYYx2b16
GOgLh+KUEPQQ7w0JB5RrP9RvRvFo1li/6PCSYjF/TFVA6GHysddI0HKE+MdoLLpkW5MyJFveToGG
2IKrOT/Gee9OTzUq/+gr2As/jSleeiffPtC9yCqzT/2pRQfaosfNUflFD6uxDvMVRG4M7tKHxdwt
ZrSSxCV7v0tx5kvrFX9ApyK0VZVzQQ81kF0P4Ebod7OFF3uLkjS+GwsGrcCGt/9v14bu+u3C3J8F
w/TsMG7OzQEGITPfiMo/HYaUcFnoD+KbOOGwlxaKPTLqV5xXD+Gpbaj/osR3if3xtGBy9jPW4pfz
1iTlzkh9cwdzRELioo10c+cMF/8N5VDHcPeofqCjk7hgeQio6oM9Fj31QCAQuDnDg4w8fLxCBW4T
5G0HLYmttwmFag0hvO9yt0j8n62OFpSEJedeouf1x5b6ReDbuWZmrh6M3hSMSPGCDTZmmaBSd7pm
PHva4GFKTylO4L5i2bimmkz53exhRY4+0w3weSsMFS/L94KNIji9FDdzfHHUzXpvJuh4RfvewKu4
Cjs7HGuIB/oJu8n4ouSv6hN7OQ11ot9qN8IhV5hQpj52f7p/IKwRRHmG3rksThsacnRxbgadDClT
zIBO7KFlLw5qz7BuYuwtI6jNXaMlPYu0+tGY+5mXkVuH7sV7rc/6FPh9LvVwtbKhCcoLEsS8Keyn
TM8LeXa/67RZIxevwvtQB+aBs3BpElzBr/oajm9anfXszD4ICZZ/rYTfNP65GeFuQIZGNwTrr3Ht
LxxB8lMg2nwEcMMO9hFzl50SKM6SbX64bM+90C53NGJdMJ43L3HuWx/14tr+9NjQBmZgptr6/MWb
REA8Npg3+JAdgae6bcTdC5P71r+7+nsFH9wC6GKyNb9MCxsnBC5HGGaKN75eh3z6kafev05zuLwV
OubSuG7t2ELzDv69Os5WqB3kivU9CxIjVNwv1YYVCynW62Cs9sZR02bEwFh/AmTB+Nse2WEu/5dh
P5X0BJeyFxlObOy9A9lN/+pjBZxr23dGrBmpa2erCHXrPL7jfM6/zAiXBRZq+q5o88JvwqU4VVXa
bCfu3OrtbA135UU+uZlFEw47FzNwH6NCemsq1gwWIoaR1PXH6CNx4r6AO7OnG4YYWSDAc0PufFxa
+EeoqlPaddgtoTtXvujOi9usCRPwDqbvCmpbT7txI7R5ADYGT+1nZHC3L2Rc1pfC/qnce1sH8muS
uaXnm0Lr/krK4wpbauNSbbHp4+aNBkhAORagyrAoOZau9qrMgcp54ep+yBFmbggQw4CAGfkw4opQ
YYfRKbLR2gcTruqL/mdD+kVDDzqrizcEhgjn9/kAqMb8m3ET3tQULpd6uU5rCPBArilCM5edjzk6
wVQK3X9RRXjanoEI5gxhuA60jFh4xRFohqh6sfAHqER/lBz43Hndwx8QHlMH/EXo280JmS8Jw9QF
+nFP7/RcaDnD/WPTw7ar9ryNl6coau5C8b0eDWBneNDIUx9Db877d2Aaxltx780AsYs819x0vPcK
9S1w94P2Vz1GB1l5qYMarU72Bb6kPGvNSDOuGBBFspkPvd9jEu4uC5zJXvF2bTE/1zg6hbEfD9R6
2d7V0Wt/3PKwsJjNB4BNSOMzEfxR34gK+/oEc6mhwUMYUgbTvBWXeTzQVBk7yzkUx+odz3o0Aoz0
z6YKe/mrnXNMhT56CrjD4Crz475FQE8umpQgQeTifDZejL6dYpRfYnTMhZNVL9UCb/XaSddPYBcb
D8cTUscUz6ByB/pIZDry6zL9VSSi18IMOg+WdmaEF73w7zbs7tFJoJX62aqwQEXFdI8wuZ+1+Adc
phOf2IpTiOXDXYzv6aPMkOfeaenyJvGsl5MkyCzKWtSBRdvP6LlQ9MZ27+g/uo6qg3Y5askWjHeQ
HoN1mgESzJcNPnNbvNZRpUUK8ATMn41Y/FtxMfAcw6LRoNEDxv7PNQHbOTt9hzGW/izfAhWVpvOV
riCdrGwMZRfI3wV55TyYxuep3c79dAF57V1XfEoHGI2D+BcSwlwFcOEUuf2jP2v/KL77j7ZCM0L3
3D/qzt3tgDbw8zLnQ0rH2Pi2ThLJ1yiOCKsxjQRkmiz3/OwcfDQumPhveN4OJBNDvkWWl1KMoGc/
akUKTkIYaJR3Mu94VDw6DW5U1MgKL8EfZjeZZseYgRwP72hM3Hj+eLaE/qt1QHXrvzZwBrAa3CKy
AqwN1E0v4l67NNoROABaOEskBt279FL3Yberjtbw7npf+pjYDI+pxPETgMPCtsGm7tsEfF/kzpm+
FF1mvnYkLWF8274UyNr9hhkoMDizjxwU47LPBLoEruFSUw2+2BB9lQ/s3keZKWsjZMUJFx9fgMBh
qdCNlPWhrF1PPnRMlODOt4elul1fDZnaPnWFnCk8LF2LYHCVkA3DOB1iMC3AM4Hy1Tet+4UPTDDp
LN1KAEN2HRbOCN8gZIyKCWhs7GzP3Ng1UcqMC9/FA87sekfnL231zp7T5At0YB1rLp6mdpbSIktD
fLFBAuaaB294r7fHCji3AKYjje116r9dG/C5zVK/vDl1Ffio8tg3CArF0tmbryZ/l40ZKt+8g7oA
YtfdNu9bIff4/4gqrBxCAx5a2xiu+qcx55jqeiyHWY/CurD1jda7anhp67Tz7xPDf8oPjV/0bde6
B8xekTHDG625lmVSaiqkC+rNQaMMKVd2MKJHwM5LP14afjQcDVjgi198kOaqROaJs9mdlvKmVOxP
Jw9pRqKDF+ZQHoXWxzbkzZx+WPRl0r8pNt8tpC8UO09/K9DYjsOFCDuQvRmy5ZMXw3GVbys62KWl
ka7R0MCLM7dLbGmfrjzLLl/dzPS8t1lvkgEH3Rj8oDWAzN0MLA+ay95Xb9QnmTu9SB+TThVxkjc2
jutfi2dinDv6SmEWbOXlPO8Y7nzZd5FboDFBNbVXaPp0VHZ8sfXH6v4MvHzzcNMU1offYebTaYZA
nrAbYRLbr1mJalDaCFXqacwx82yul9u+zKrWCwr0yhLfr4BbJq1A4pv30nfvHVqtwSoSuztp43my
9+v4PtX3Ra0x1U9FQWBq/87gKcGEfHVVE6/ghJoWw1HfhPp0bHwoUzHhKKxQ1Oq1Y1DIrreRJotj
JnTqcntG4vgMaASWbLyfzw2KCxJ4kxJXdm2rpC4+fNLtiIFxRcArHbMQnIbx4gIwmBtc+KX8GKHu
QsbRzl8oYBoMG53V7zjgYAnneBvlUdfsEPZwAa1hv1mzU9u+KuMfUf0NMR9RO+x7dti6P69SeLHa
gGOSdYiWE01LjI6nY2kfTS5wUPBhxofZHCfcMl1hJMJlSWe5gd2x3WYsB8+5Vg5+ONaHZNM/CZXE
UUtoTZm58AirshFxkGarvmwLrylYLwWw0W9hVgbspNX31YR5qddehPYHdLR9tsulSmz9z+pFwNo+
sYo2U0a9dxqV0wmXvgLiBFxDNPhjWJ0Z1RQa4HhV+913Xdi5bijhfzFjf281D90km9DqzkB2SgyU
9TB/ykKAD13zrdnVHNnowLLqaa5j4pcJMn7jyp3CdQNW7uBZMA2TYIF1VCzLcZ4zD6v1gz6isvUH
+gRrGagPrapwhO9qnrIF0rulhIbL9NMVQ59ZIHsSYj/uJ3xG6aOfdb1XLYIVnTKwF0TXDTfTe9AB
xK98kKpPJ+5k7gJKy3pfHHFaWoi3fbO8axqLQWMpdrWmg0Gyvr4xzDp4/oO998tjrTKtPDf+GIlO
HChGR0PIGA+vsEjYAYac+yrT24esrax32RcTxs7BwLE2OLpD+6Or+jCuMjbd5kOfplgI49JN1nUx
xcl5roH7buy7x7oxo7qxoGxFxK7dAoYwN3R8vdEd1trZzQ2LiJRTJif5IyvBQ4N1f3gKNyIZ5jHd
fujGkps9KClSIuJRKxMhNYDBuJmEfjN7/Sb89Whx5HywBnQH1gbUEk3un3T5fW6rEIsSJylxBTXc
C3r3wKttp9dY656sJZwUiQiIB7SmDGmFDTPTsmzQcoDrosY/Ts2kG5pQA7gyQ/WwgvSrCEzle7In
qAHKeJ+FOA2OAKrUxZzKyCrBkCBR2FNr0M6YqWrwVQMYnA1lduridsFtXIyZV3Z7H6+Sx0U4umVc
UdihWemw3he0/S64wc0+GzMsdtDKcoV/SE4GPTCTIxpjiRtkxc90CIm2BYiADvrlQ4orUMPVbsMC
wCqIBJC1g5ls7ZteXqsi6vtoRq5GnYG7q9S+8z+HDcBaaACEBEE1d6+mlfg0msbQhSZuQ58WdwAk
+9Aiad0cTS13h7wSd1riS0wkSofIGz1ajLxcjxtcc0qMGxgyvDdhXbX+SpkI2+WMfsiDPwoBuahn
3GyCdvvEEi2MT79856fyHvZz5rav5fi1rOmAvl80BIUcszzcjKyTO+4G68Nx1rAGxsv/TCEjs7x6
KnXoq48mfhs67PtGQMssTHr0vgAprkwUdg5UPvLKnaN9zt43AEK6HsztvADFVG8azT0wiw0N+LQG
ZNxLmGjLfYVnyTCjat25dT59dO7dJ/GPi5mSKbZ9ETrwzNL/Fepg+H8CVI0N+W9rfG7uuaLvK6A4
C7PJYzP+mcMP+EDJZex5odmWcQELnJKCsMSkX5E90/EmsS9rPIMCdevPSR6EtS9ogjGFN/84eDK3
eDh+lxmAijjQ+M3G7Aykr8P1eqysTBrfDJ3FKl7aJvRsDBtj5CIXBuOx6V0bcCGj+yjRGdX6UULf
PiS29aF5oPKANVtavBrmfqzRzMLcukJY7HXEuA5TX8t7zDjlrAVouN5tD5SJ70O0FGOHO1bshhPi
gdcjFAEO4wR+EB22B+TOTRqIhMqxwshQhxJcXaXmGFz/Y7L7SLiA/Nc2KF3sVaIp73Ur0vCUVwmi
BN+6wtfiDd2xhwqLoneVDsk5fJmGWr9U878ZZYsgDF4DDV9xHhsFC/pGBHCBsOaLmveQdwRu9zeZ
L5t3rbd0GPbwC4k991C6uedfeu86qosDIdDWHFoNDCNQNP/ZxL36067HdVu4PGPUDSvHPq2iPBvL
VIbz4h2absbVM3/OxpCUXLu7A+zjMCrW7fjp6OAzgXfY3lUw2OnbKoUvx4HqdsoBFytq7FzDA43N
Yg/o7lAh3wySWq9XP11VRaODeqL6vCD+O0Ri6Vi3RbRVF5iLRFQrA2+eQEaI3J3RK1t2ZOHhPv8M
H6oFn+qhBKusr25sEYZ2YAJV/r2MImqeE5DAc9LMZHR+bYA6tQmrhPp3Ma3bSnF+igmA/nPqL7PS
mF4HQD+TZuXU6E7dSo5+ZaXrBnh/WE5LfyKDllRavZs1gLVjaWXPfU9Ksa3I11wHtySIEY5ODYgP
r0q/soCAFkHAc64G5LjV/KDLj+cfWc2gqKYf2/9gMzuaBfBjhY6eUJVOqjlXOOOrDttX8D3zhPvK
4dnq0WSCwKI0UBJaL/Im3KVAwwaQChDJZzqYpbkZk1l3An3ufsdCpAaD4YlXv2lLF669A2K6Sjtn
gqQJ6iTfTX02XoT2zZZfXUDaUIEV06qj21VhP8uTUYMWWd4q1mXlWMJVjn3KrX57njfe12NkLCwd
oXAwIWjokJ7agI93eFAiVFb5RwUVw2z0udCQAzJNu85mRxf9xwyxhb1Yu2KGezCdomL1XjdR32VD
dzV4oaatYmnMccu05wxyL703JT6V8oCGCj1FixcR1cZq03K7EXViLoBetwGUijbiIDfVvLdntLDc
Zjn223eI1HjTpg+zBhEr+6tTN28OcItqwkRQmwtEJjbMv4DtrCOER63zqm/2gTTVkSkLcCPO+uY9
6nE9ucZTHQJ6Uxe4lIekGNf9bHjPhuujttwrNIUH4nGghzw1yjGydfNT8vpNh35P+EXYKTxIQqNh
7sErDEDtWd5YoCzZJk+eOZ47s4iKaXttNchL5FzsusEKW9SAyND0e8FltOreAeEg+2qkl61qk4qy
g8Jn7ScMK5MNPHzIveWzqgGDEMxTrKtDATzYmsYfv693K64NDeRVt3q5v/zrtCGXBEO1x51fToUb
lzrbAjmW4G/ox9q2iVjAlY9691AYMfAhZvxGvpKUDTwkKIBIdbq1YgvVmhNVRfP2wueTzf54MQWV
P8d4Imw+jfN9hbEHRJ8MvZdmnQhAS6AvSIQXw8NAbJ3lhcXahAYIOhh7BS7nECPs5PrSlm2Mm2Sr
55xhPJo9H4vWJVCstG2B67zAzD9cjAw+yiFbUflmZLIaXlhZ00kQCNRseWiHm+Z/TOaYFUXK+uMw
7mvThvZHQiqnR7z5GACSF8u1dF4oGtm6/7Y3qDn2rExssDWY2mYoJTUFp1aILlsU4/k6A2zX2ASF
5NGs3v0SZ8Dh4MjCWUvM8YfZH5Rk7Yg7TzdD8lyiHl9X4zRvdlyskJGhMcIASho3qeSc+GNOtqiV
LPSZiHr+XQOEoBjeU9A7EpjsijDBBafd4blnfpkqlH48Ase36n9lse+m9xVrvoAYhNj3pQybwgl8
4IXrkQDj6OFxB/e5aUL98W6ujqe6Ya64o5hvc7m3l7tZOpjnkMNcWiFaY6+5jPoaDZSFOnogHyiB
42gXw7tyEI8Gxjr5lDC0JJ1n5N5bUCbGjQWzQhtKQ5C2EruU0DrWQyS114Uduxr3+5D6GDnm5WpA
VtMCknK7GFsR0QyRoBI3VVhAuIdk00GwqwPcm1K8bYEB7Lnr895vdhWBqgV6S9ViGLsUKzIqcVRa
euhlFWvKiorlrOEQ6XUT+et9nXLMQYFa0eBBbrKR9tyMdU5beO023WllHeyqjoDbuYRjnZK7rmxz
BiEpjhwoSoCo7Np4NeYawCYT7tojBmGIJWH/0KQYAmN9wGOw0tb6mn1EPQJCRtjeAC9hvW1DWurh
PEFuRGnEayg25z+y4d3q+gzq8KNpi6sJLsAysFDioEAjtl2tCn0A1HCcXmE1v2dCfG6bFyvfDyC2
CSRAeI3ETfNjDLkLzRmiV0IOHnm25GmVSPCEaRIRWzL6yNVtzT1nFlSx2J8VCsSfTPCx88GEKHBB
ZokPs2UBLZSPjK8N8uhn9VY6bAqhkW+0N1LJCIKLUO8wkOFL9VowAQAwebs+CNK0K3zzc51NoHdl
aUHcCkrQ+fL1NZUdQGuoZybTjrynOmyCxAmgi3Sg4xuAzJfgtt2ogFbAV6BYUZKReHTQyzGl1fdq
Lft2AQBc6HCd1ttsgACxgPBudKxQ9ATZUfBok3NoLi4AXIBq3bXAdpg2b+FzaJyWCnPBdd2gGumh
RaaHou9C120PlnCjxsVOv/7tEUAhseVH2wrhj0SHLJDppCW8VBHT7POmDcfGc5JmtQIHXyzBSD8r
862aVejhJ4N81GgD2aEbM2CxunwfrS6yNvh0glBTG9jlU2Vt4QD5UwlY2MBM1HVF5jICHV5lxNNq
BJKRPcxEIfVcMgWlHpyJkC647gnKhQXCZQRO1bIY9ROctwtewcPvhnoWmYDPy9QivyPSw8orFuRu
q4SMU7rHEeJAtxpiG49DDDID0LpaCe6QseMhd83fvuuHrOzozd9aPfGdMjV64MxYbf0qfe0ml/lr
tnEseiRsxwzWRaeu12imbaaMHYB+okc7Njcc3ZKZCwOFyvfmBKL3LlIYo1tDg4bdVejvkUAeVDWq
hxjxSaae+JEzmgxCz6kLKeRFxajdCjahCxjMf73UMRVP45892d9qAs+gtPHT0zmmuq08mJ2B8j86
OsQVEKH55XZZK+PsudWpZfq7HP1sEOJlsQHZzgDr1o6BUwRZT7j3lOH5qWtyrIsJ+s9gAIVgIIAp
u5jMGMbVZyZmMyzxHMK5Zju4T2BKW0YtkC5Ugcqp93AdODTmuiODCw08cjNCNZMjljWewjlMj2Yp
yxSvZx1Jwy1Ck/QqcFfQ7Q6j56FfzKD0tpNsnG/QUwrDvnkYJLjPStIbWfgY6RZ+yWBAiN9vX9w3
372tylhfFYHQ+I3O/SuQMhC43A88yjJaLN+6X/y4A4upb4LuhjTIr7GCudAX4tCjMywAQ+vzUoiX
oZZfA0ZQXpL3cbHP9UxOVEB5aPT3grC7rMiucQo7lhCdNw1UX9CbHUs5QAP7rNFjqcLKbvA+WWNq
KQBlWJiMDQJSuWu6azVDKDXUbljSBkoR+WVXAMgMr001xfcLEk8hfobm2jXt++CJp7TC9QPiVldb
9HG7Opk5ilOr2Znqu0wuGurqwoBPacQBkWE82qrM3NX4nVuh8n5aevB95dPOsEIdbdoXZ+rPtuNi
CC3QiQ+kBexe1l9U48hmshsHBIRNIdTjNzj4dGCftxFKn/XClxmYGQI2C3EaBXoKb5zPitpN2PTd
6zpNEK1CQuwN44/ndCcbOxrYJroxSi/YwMDcD7UQhaegseC4D4Mb2Y7+ugCKirYRd1xXb3jXV+Ns
t7XctU1XJKumDRhGlgOXNn4w5+lAt7YIAdOB8BI1pslJHLrRANrbdzudlNdJ9y/ThNvBnIc/vZ/s
CNGaVjzazs+CCBmo79by0dRA3MNh85wbLQHoeDZ/HcVavjQY9C6lrlMnlmzeUp0WGBgVEMs323cJ
8IQB5IRp6fK4LU7DcljVImDDXp0rHCnWez2jBeJNg71Krm+RYuiQMTbBvISACOg99aE7tZkbZe9d
pto3D9piQZ/te20VaS71H3z0x/XNbeH18xzONT6Agml0yK+Deh46O8Pl4NbfplNOyA2jI/HjqmqQ
kYj0UpwN3OXUUHqRdQXVQcBxDEEQ1FjN99DXPciBreZ70XVrDmMXP7E5bsS1AIa6WNQ5L34ByVO/
TG+qAkcwVg0IC8OrEg1DVyQqXAiFZul3XZvb+1IynuMobOFkGt1uVorEvFn9tILxTuaRccNOiapw
ozIVNoOHZgkCFrXnI5kjPgmYF7nIfM8g7mszHxBdzMcOfs3OE3Tzej3z/cFDZTOHVFk2T/RNX284
C0D+XX/OeLEBy2rWKiZW5V1nkAd4h4Bu+01nx6ZyCshh5cOeOsCEqq4irJ9gOEC+ALZotHxwWBF1
zg8pq4T0IN2x4dFBZz01NtA12/51l/7DYnBZXKEULlvgIuIwFOjTtoEfHfD6Uwd/s85afsrCvkij
udq9/uIVGyyhKNIOe9rq0LhPOw1WD2iZWwfGnQCF+wk9sBwomkibQKeJP29w6PdslL9+6XxQsf4Z
rT+FDZlhJ4RlFSNwWguKQHiBus37ih1VsN1iIfxa1bUNG19XTjQvRqi1Adfo7S92znUnt3W7wprH
OKrSj8nIFrg2imeDueqtHHeArtHSTgvEXmbXt9VJ20jBLk3pFBiXC1G47G5xByM2m7TF3tHWc9HX
QkiO5HFZ9SL2hsX20lF3NzOpBNz3T0NP/Ql6B9tH1fEIYEtvKbV+AtRUcT9tkUWt8KMN7CkUJgdv
71czFCymy5zfbUGTnHZi8JyM8OlZsqSpCfAodO4gP2HdHC2qhiAb/29wT0UpGEo769c57atyKfK2
apchZBpzyr25Tf2xdjxaHX1PbcaLVdquiYWaAn0Tg+cgCJvabmmuE1Ys0P1wqKRqY96WuJ5VVxws
056RzDBr23LzWhtoYENG3JNDJy2WWKLldr7gQ6B5s8qa3CpXGmBiGmWotJ7Gxf1j1QDsssFOFjYt
qDSmnFmwDQ0byxc4RASIayJK7vQH1fQjTLYbZXUx0ntmP5kFNdAmO4vD41IC8UJ3rVnje00WOu5N
q+iwSdNqZVVA2i0gCyj0qVsTqlvFEMLtdAJ9BEQJl4U1+iK27aF1d9ZKx37PegubZxTldlp1wfB+
+fNysAcHd4hArokBjYoHQHArhA2Xon6mHOKVFhKAjfQ238GeWxVRg3kIfKynt42fcWcZtwve2LXG
DPi07XQHB8j7ZvWOEReuhR0D1QqC2cfSDC810FbpYcla/98ESB0wYQWGKpC4jNasxcA/QoldlQTc
jvDbSIlmFVHV0idqx43l4aEzD0qdj3bcjtPyXbg2N3X07MJjL3qJFbnb1Pi6vBcCRt9XY7SAMyGY
aRj+ebNcMVWhbvGsEtg3yud+ghqhVRhlIrfjtMfby1YZVUsFEfus2AZ5Ah1dzcBEoZSTL+4oF4gu
K/6UFVPsHsJUQFgxg8eKfjVXukJ0zkyBz2kaGHm3ftg6sLk2cxPZA/raj6SzeWSbM75+/GmkfR2o
19+FYBXN3VWZQ8YIb0QuZ954h3rTcDc6oDnpC51NDRxSbyvAV35lallJAZSlHrVFE7eez0CXL4Y9
XQrmcXfPuA3YoWx7/C/jI9VvrBlHZJcWsD8NRdEJf9fi7JBYuiUoCJArE/bn3c7utUAXbml8au4E
avQZtzGmpLWHL2JDkymdlsloWPkG8Q4wP/JRSM9cx6AYyDbd7U2DRZhpg+HcpEVgxuQxfdgv25M1
LGqTifemm+zlbDCvOC2GtZ7p4usKYiZPlskiSmm9agTET1xSvR8PfV/0wMwWtnyIpV8I9Oad44Kq
bMG1E2zMlchpWB1kMc2DWULtXcjRSd2GVVCVGDayYf0NhKFnNiZ4imHZaugqS+sh9FKd14kUj3ZD
v5qay8i8TN/a+kX0TT2fDPXEs/9j7zySJMeyLLuVkpgjCsAHbanMgXJq3MzJBGLhbg7OOXbTC+hV
1Mb6wCIyQw2urVqROe1JiISzZwA+fe/dc3tEjtIszZ0AQrHEsjivxwkGjd8w5KWu9nr0jDZzoCMw
imo0FvinWlsHj4eVHtT6oZd9OX1EBquTkjd1HkXlDCQWvh65vzlpWShzpZBlfUE6p7eOYOvTFx/1
nn7Ial9xP2tS3Bkrjt8tiRr0qc08Tf0s37Ic4RbcZRqdbradKOGz1hZ04eRpgHxRjtOC1g3Gf7js
4sZ2ll3pZOreDXw9X+tplWvLppHSL3aTsDd2Q24GR7vJBESyDCXAvPWprHaNzuUpKUN2E8vOQoqi
rpY4uzRRNDovFDHIXLI7P186sh3SGSGcIdp0Kfcx2qoDgyp+pnnWvM01clRx2SlcTesualeRpTj5
QvPTsPtcdJGwZ8KxkDGE6DfJXDgpcClHD9xgUytFhB494AKxqZxkn5dSu86CpN24NMpXazcMSmkl
aUWqr2JHMVwySi6ZWdJFZejvEK4F3kbvgjSjup9QJis7rSw573D4okW0lLtNrJTcXZVE+MWD5hOE
JaAIyBkpYes9c67T0ZcpDSefZeIMDlw/U5DbrEtOzHvT61ADs0NK0aYYQvrRvCaW6lXn9IW0SxLh
WvQwxBpWDX7n+89OUGBWr1NrKREHUeCkRyQx1VvhKdnXPmVvO8Z2634vm5LdGx1nfhwqL/1cejKt
AYFbWU9darnmsg/KyEYiaaGfpQGj5aYYALCLd/Sf0JgnQzj2j2R/47Say/ao7Khy0rHPgx2SSVb9
WA+pL+pFwYRi6IOLsdid5SajpcMYVEG3dpv1yrMb9H2x5dSpmgursFKxtS0nCpZe6NVdekOR1YuL
mRIqQ7utytzr19TqzWpb9fB1F4HetQaZL6vRdjbvk1oHd01vF0aZm29sFgfASUWa5M/kFS3j0CVa
LS/6zkGX7JoO98hS8ml7j72m/WEyKLlkqSqKMzcdYrpcI5XumEiFgd93sbySqX6tROiTxEGoTJOd
1okmvydVR5VNQMLK55UUyiEls14nhdrJVbCCled+l81eU/ep6ncSFSsTZU3rdHb9WCZxpDPnhG+u
+lZPW7qF6tK7yzrG9NLVRPdIAUQsy3iQ96Bnk4XwuBvCiaZOm1cZPVKG7CovmpkPAsGHbflIHCp6
AZsHLYgipGWd3RdjzNp+kAxVqz6nVeRpiz6vUnBLnYkDtBoyX9asRNpnm/c69ui7VPUSXZfoDWtM
Be1kGCqvpdS7zrpmlLyKoaucB0evSMHHIk3QIvghZSlNcpL0TkQ+9QVGZ0Kdr449L6o4IRvDNUrd
TywGQ5OFYoMY0Dl2/mS+1jmSnWqWD18APzkyx+U8WGSoJ2bJi7biTME56Sj9HvQ/v3X/y31L736H
VpR//y/+/1uaUeVzvWryv38/+vSclumP6r/Gv/bPP/bxL/39NntLHqvi7a06vmbTP/nhL/Lv/xF/
8Vq9fvifZVL5VX9fvxX9w1tZR9V7EH7S8U/+T3/zP97e/5WnPnv72y+v32Mf2XBZFf636pc/fmv7
/W+/UH7UgGf952mEP3775jXmby7L7L//T+FX6X88viZVeubvvr2W1d9+kVTrV4g1hmUZ2Mqo8BZg
nbRv77+lKb9iqYqG3kA4DlFl5OAlaVF5/DXF/BVI5kgEt20b7qnJ75Vp/f57qvIrnxkDJ9McvzhH
2l/+8XN++GZ/fsP/SOr4LvWTqvzbL5OBo8v26N5paqoBpVtRph4NUhiENTeXapaPeQXaVHNuUCev
5o+QpyGmlnM/xZhQprwQNNLgDf7ceqaHfjl6XDgUS2feb1RvKLbrNyOWj4P7UqKBrFrQnn7lJ5jQ
jKY/gTHBkKtFDAFX6AiJ5vFrTxPeDGuPt/wbMqhqNfr50eF4JeSE4qXbJl/O1ExL0RSyLFPilUkO
WWsKeq+co/65elJY81/Sr4j20VvPKVbcRzh9AaNa/0W84jTwFHtV6lFZNTmBi/g5025lcYgoA1x+
ugk35acYEwBVV2kS7JCxsax9VjDKHXv6Ki7b/0IUCy6LoOSomlNMfWZ2rlu3NLJGqcEWMwQ/pMa8
aTQOS5cDKSN+5QTK8/48BvONe7OpaZaYkI3o9LIkKyeSdqQLCDuWLYXLTfkm3VDDFTq6I5QlO/9W
3OlPl0OfGyankcf5eUIBjBwXbEpI5DKm9oCM3UXumaDN7K86yv700WBXaPh0mLYqNJw6x98/CQXW
2nfKKuKAsmiXHKwMSpHpHN4wtkz9AuUTgmn9TVpcs92eEI+gB3+MO4HspJopJXFBXCcQXDaTuN76
2kCNR28RGieaOmxauS9vsW5yjlkiNavLr/jsc+umMRoDmIr5zpQ9eW6u2XXvmIhEuEPbBo9v0udc
fbocRPnpQ45PeRJl8iEHlu/cUonSreqXBEETaEXyv1ukMYvmBv/v8AtpHw+xOmKVy7Gna/j7Cz4J
PfmwTdhz/G4IrVUvFRoO0iVXJsi1Vzj5hCpYIy9SiOAj9gi5vQiTpAdHrH/hQYBMs1dqWLDpk2kI
61+PyecCvFUwP0LSNjRfLkeYsr5+H4wnISafqXVbyjYyIdp5y07E5eA34w7SCj6//R5oxeVwk/dm
KIasCI0JhzUF2espRa+Oq5AeGNTDKjVpeh0XMo0hPZeXfyvMO8n5ZISTs6uizueg3ctH1/8hsu+O
eL0cYrJC/v4kuL+r2OJw9piukC6lDz9xDIRj/oNNsshSUXPdhuFXbhhXXtpkJv0eylZ1i/MPXPnp
fG1DZOlWyktrqBOX0UtVmaAGMMQSN5ef6ezXOQk0GQtNlVucsOSADgVUhra5h2W/7RL9yvpz7Xkm
0zOJDDdzep5nFPI2LY1M2o0doriR7eXlB5osBD+9uck0zSWNxrBRrB466PPU+N7ziitD7VqIcZyc
DjVJqvPAJERMtUUNvlb6lY9ybqBpoBJlsIzwLac8aqso42roOU/09HSaMvo28z7r6DwMv7fV3eX3
dW4AnMZSPz6MHEQ5SgMeJqfFUUG+16fWPKfUfDnM+898crx4/y6aKhjKrALCmqKaFSEDLUsFbSBr
bsyJTkFpIf9AVbaI11R4ix/+nf0juLHn3c6/kxf0AyzyazfEc6OQgxSTVyMtyoH047N6TjP4oUS3
S3KQNvqiXLav6Y6KCCa77UH6OizBYayv0sx/QnqyAJ5GnYz9tgipGnsBX3MX3GnL0QDWuE236ixc
GA+X3/K1B5wM/jpzUWNIiGcby1qmMFnqIZ93CWwY58flSNNN5P176mTCuCVarO9T44te8snTktKY
U+5fmysE/etqaa7Juo046iuj59yEOA02GaRU53LdTOnb9YwCMoS2UOQAXcJTEKm3VXbNBvV9dZ2M
VVUmp0o+QTcsVouP4wT7sF5PyenNEd4Oq3CfHxFbzoLXkY1ara8b05+Zgx/iTR6vIY/tRnWHxtzA
ErB4w9mSerh+5SUqZ9atD2HEx8dyqfxZlVK8PxYcotGXN1ybX7sf8gENwCx7YLxsrgyTMyPyQ8zJ
lGszSxK6SkyUuYvkSZunX+myR2Cp4JlbzF1O2u283ztXdgHl7CvlsKFQJdd0YU7WaLhtQoJLAs7o
Rz0K+zCyXEvzZt5Zc4S/83I73niv0ZbPTQpVNoHDWqzbgiPWxzcM0Lpr+0JF5XAcjRL8nb4cdr8/
aTK/dqc4/4jkLfGzU1VFnV7oQzNNTYfms4o+HZomC1rDougaq/XcoBGyMTqkkVfTpnZ20aBTsErJ
+NZojgacrBGrXR4j57YGFfwotxLbHA+Lk3FZiTqTFWo9cxmn2vhm9Bx1l9XMvDf37k576ubSejjC
QtymG/POX117j+eGqCYbKph7g9qNOQlvqakiqxH9qnFlLSjrzOMgmsc5mjDDvTIFz30yjUwTe5Cu
jtmwj+PDaKi7SjqNb3bXftIzkCyu/OoL7UqYs0+ky2TOyGmRyp4MQz8bciUYO3Bpjlt7+kuivlKT
3tnu2+Uvd3ahhL6N5xwnVWGI8Qc5OQkZeieK1vVw+L3Vdtg3z8tn6UGbWbd8sed2/xfTOuOeo56G
m0zqOtEspakl9hw4iEPsoNjp16ACFv/mY03en2UFftfDqZ4HW+/J3wz7BmP6Yjku/+nquveQOv57
0/2GPBlMeE775k+e9EHG4U4x0hB3GWMt7cFhrGlwXGv3LFzdiobfB3sf7ui73ySvzmO1w8jPV2ej
Ock8Wf6P/PXOjaDTn2jyYeO6CAYqg5iFOAjQ51TF9tbW/OoAJJiXNBzNOpbUZXJPJ/bVrOEkV/L7
Vz55G5Ov3IdcswWtnSzdoFmqbXscMzTaU4ELwBIcQDVrls5nsQw9BBfz5Os1R+JzK55OylIYmlBx
EJusB2Vh25FKThhgrr9G+jGr/WsnjPMhuOSTNSCt9757ncybMmbZNjse0XNfXHHI7fsrI/jMgYlT
ikIiT+h4TWnjQnQSQHRt09eCG4RGw/6SnX4+bMKdvhl9Q6pNN9rtvmi0e6+sK0vPuRXuNPBk4FCh
ZbkooL1I2ZfO+qKqd4V5jZF/dnCePNxkgAR0giSNT4zkUGwVkFUzfynNNQibM7GTdtYeH4V5sYqv
XB/OfrSTsJNVgbpw44ctYSuYiQMUoq7bXv5sZ0e+jXOsIbgyGNNkL71SXZnX1nhTGG2dmg3A5DVG
PVce5OzhiKVU5thgUiszJudb9voskgyoLd3n4ElehnuvYnxIy7EEITcziFvP/tWRce71GZTlkONx
4rONyZD0a93vzRQmbk3LT03V2OoWl1/fmbHHeZ2rHakzG8fn8fWeDPrB7yuPujQ1lvIlUhALIBwu
mr9qnWmMl4J/BrEnp64Cj3Dd9wwfzTwgrn3dXLn7T/Pw4/KHiaoN9VsXmP1NT659WagUVWUfMuP8
/WZFu8hMfZqpCSsfzfQzlEm3Pr1+V29Z6riyTfYhYel4aYw1t9G0/OMLDCnOSqk8Xh9X7sbeY8Yz
71YyhdTkEaDoIT4We/M5wnwS+BHF5GNNs+mjceUFnPuKFhNAH0u4uFNMxoma1YY8lADvSmM4sGeu
a099lBCz//XBYhkG1Q5DM4VmT8IMWa6IQkVHEkD1aOhibeFt6OC7L4dRzwx7cRpnsiAmNGooVUkc
dMvyAzpncCYb76m4y9fWNrnFP2oh1uKFXvToN6S8C3i9R+WYXS2JvVuK/fRxTx548nHZ7S0NgofP
Wc0+VCvQygtjDhKKFBP4v40ES/epWydwYm/iRb8pN9p98HztrH1u6fnwOqaLqNu4ftCNeK9bzhXI
gscqPaLSG3ULqomE4LzT8LG8Fvf8oPrza0+WBu7WRuiPD0+Gah4gU/VLgM5ggS5/7WmZ933y/vm1
wfp/nEGDEehKowvUSatsWxzoEbxpHwbWchbXBZvuj9HPmhZRJCXHa34ul59Rn97UFKPVOlfmGXPr
UWBrld8FQXflAc9svSefT5cnFxgrduklDokRIYVNAoRR8pfAe6LT+Eqgy9NGlyeHsIyCfUN3kU86
v4b1c8yKK6eI82/LpiEBO1WFcsvHL6UOFS1rFptFExyE4y9SinECQOTlAXH+Mf6MMlllLLoS0S6z
W3TZl8Tv50XhLi5HOJdz4JP8GWKywBiIuBU/IoRxr85BmFUzvAvnyJ0WwzG5LzeXw117oMkqIkWd
E6Oo9iGe/hYqd0X2/O/9+5P1IROyiY0PTyMnYsZAwy7o4XKEs0PYHMvp+GjL6rS0YtldqrcdkCWl
Ueai8mZV/U2qvrhkFC8HGl/FTwvuSaDJCKMVMnAan1fV0ekhnAMeLPMk/eGOfC1gIpeDnR8GJ9Em
I63Jdasl5eDPtbW7yW6HPam9Z9pmFwZFPdKKl8OdnT0n0SaDjjZ6rmk20UYwBJr8AvLJp8shzu+c
JzEmQ41uw6gpLGKoUOvkXfygLSMwZNJSX7ZrOtTm/hw62Ty+4yoMI201eq5e3zfPDviTn2IyIAXt
4kIp+CnMAUIG4n61jlaXn/TMsZ9u9z9H5GRz6ssy0+WSELBTN2NOVl+Dub9eiDh7vLNkOh908kK2
rn5c8nx1yIo8IY5+2xzEAj73Mtxa2EePpYjrXotn39xJuMkSXtLuh+ybvbBP9wMl5uHb5dd2diKf
/PuT+TUgN3HbWOJxVHUjRdnSAyGnlAjZ/SuRzp7JrZNQk8nlpyhE64o3p62V1ZHq5dLcI8hz191u
PJGPbTHGQ7y6lj2/9gYns0xruSPaNZugERiz2gWe5D5efodn57ElSHvq7z1Gk/NKpEiO4wV8I6/X
Z5J6qwNtdLSvl4OcP3pSNB89uNhqp2ftAIyA5jvU3cbWs+DQ3Q232lqeixVCw6W7KzZAwKHaRXMY
zat4ZWHocHut+HduNbZlGasudnWMziafkEUf9Ql6zjk8BLBW3K2oQxjRMdBApF5rpjr3Wk+DTT4c
WpR4CMcPhxEN4P4nzO7nsX3ltZ4dladRJgtkXyadQH5MRudzu+vnw0LeAeGaiz1txXdVP+teIMQc
3cW17NXZp1NolMTJ3FShFn5cR4yMtazSeJVmdCiDl6g5dMPny0Pm7HaGCSKG7JQXyZFN1kR8faPB
Gm/BlOCsNa4bX21atJSI2y8ajKtX32nr0vvB3VYsWZBh5k44PTx3VV9VGC/yLr+NDnhYHNwke/1r
/4V64wrg3ho88eVHPP8W/4w4WY1lhDxNIPEWtRSUR/8GGAXXjP7KIeS9CjQ9hZw+2GQVrmwl1jOH
A1W5rFj0k9viIC/l53QNXOs+eHBu4STNqfzf1Y8gjpaXn3HcHC8FnyzRfaUVtjQeSnQv3KepfCjt
fCMq+rI9cOU5l/wOJM3lmGd85mSc7P58seOLP0kDOa2WNY5H0JE7KjbGdtzkYDlzpb0c6ewX1NSx
/EFPnT42KJ8GQovQu7k3znI/XrclzOxGWyLWml8Oc34uoKwlVUd/pphmi4coGStwHCQDMBuqDZIl
z9l0qvY5zUH3JsPD0NNnZwY9/ELsFzwZzJvR/bj8Y5zbjOhG+udPMVnTPBXtFPw9forw2RS3Uf7w
7/37k1UlkbpW+OMpyLXrV8eXX6LaupIWv/YIk7OcX7l/3PnKwEfb95gFVzKr1wJMVi29rMygUHhH
WZkedCnY0tB7bXif3ch0ChO0xeOmOi1XGloAkqPm2IN70tJax6/WbsyhjMVt6kJ4ac2H5Vil+hcy
+8LGuXHs1JVt7T31cTKt0rxX6p5PNM+MH4L+IAOLLLASV7J/50qKp2GmVe06AHMUvjNwE/ESOria
4FeBFGzV1B4EFPTdwM72SS4ebHaImS+Cm7hw8EpyqyuL19np/ecDv5etTx64yUpAQtV4fyt6yClf
DR8JPUCqy8P+/Ow+CTNZRcpB0E5mMO7bnbUeT+XZfiw1kqbCeVVfXI42TtKfFuSTYJPdgO+WWLRn
McmyHzE+eGrwIqMLA7ByZSZce3njTDl5eU5ZG1IxEKhRSauC7tP71xZC0OXHORuFRkxFsPwiNpis
GXnhhbU/0ISkGp+r5DOABNBg4kqQs2lx+yTKZNlQlMyufI+B8I9+2cI4GsECn8lHt1umUAN3dByb
y3qlcBmIoKYDGUTxBtVLRn7+9O8982SNiQ2RKQMuHvMoPMgphzB62M3kt8tBzp8t//HMljxNZKIB
c6WBXrm5dexfSvoxkpW1LRf2epiL8XZKk5e0sq+ew8Zh8dP4tGWFIzoFABolPg4blQn3exdvoIfr
EL6RhyPVlUc7cyiB8cYdmHYWLh7TLkBKR1XX6bxANXMpRXlqLmGfk+jrMnMxR6GCmYP9L2VrhaQR
QFXqw/RMtWHRxTZsOi/hFbSQGmUJqtwoAZlpTaTcZW3ePGZoZ6+cMs6dZ2hEowuYDIEuftIsDHZa
DWHEp1DXzjpbxWvwkdtghrfn9vKbOTObPgSa7PBxa4aNmZCblwcDPHv1YtXRwuXIfGXJ04yflyH0
XLTb2PSovJeoP37m3nfzNnDh0ieZilDXcf0+WQ7Iv9WZXmkOuZw+qfCqASsH3sqQ5EeMXI0vPRtT
O2vMEAqY1wwgCRDXW/sBaem9V4T9BlEqzlqgCwA/MVHmwmrKz9nghDc6QwG3ABvYQxLAVA19yqyW
lQ/3nWYPEKvw1oDGCyJWb/X23jdYVHwTe85akOlWAin5wQZo1bOhckmzmpaxS2FiLbquhq3WATNL
ykgCuYGWubXyHkMuWAc5/1lVtdPArpFoaNU6c4V2H8/KXu5SZabkkajwdUSgqyFZVWbmQI8LxKrQ
v7WGyqJjNA7Fixqr7You+njr+3H/NcbqaE+ZkLt6ZBruc9ra4PCarFIeMKYUR8vuv9lpTVG8MPIF
vCl1LWq/e6gSP7xVZZu6notFH26+1nxotWajQIuZKXqEOYoTI4sHLtT0wL21/FssN/yq0hWjc0nU
HwoIaxu0vVzMugFhV1GqB9VKBmlm9CYM3Soqis/AkbzvLfDtTVd46kNVKzY8K628HdCfg/QKCgT+
dCKmy9xQOlIbQ92BCeG2ACQ1hcxZQljy1K5btJqqHGN1MGCHK7554/sZ/E3Mw+1qrdtSf9e5PV4r
4O9y0QB9TSI8CoNcmPAfmExvZtZmJfRd3dQPOuyE9hAIVY+WrkW76VL3BKg5xcs9fRXoeZ/vB3xG
1XJl5ZKL74IyDDVGibyoI8IPcxWDpG5nQRVg5ifkWHxuJIXJaA/Bour5ZkBaoQvIYYYVTV/hCD2v
ZVNfV7y+/RCH+mNQw73Nac7d1GAPliIM2rVuBi1+gVJ4r/pJdOfFOY7MhhV9RpUYPxh5nSza8Tgc
54324GqRsnMQca10J1Y22GZHd0pge0v0AvUdEt18GbmgAbxS1DaIx8BAKG1aS9X3rS+O1AhQ3aJM
0mWR2HCfutbfSXofwI/I9JWkl/6baTi8QtXAA7AEbICDi5xtw2Do1XlthgVsnFzbyrmCcwMt6t89
SS0gWtf1TUQnSjeLG1yJhGyjPx7gMptdmC9adgBnRtkM2XhfspUg+38SZgOPuI21Y61IljsvyTR4
c7MSHcYrPQLvCDTZWhghTC6njfZ0mQJZDkYsJpJpIEiOXWnrIXRb8yYrnPrWc/LgsyRK9cZq4IZZ
KSSGKgGjji493+h1NgLChV19TaMEwT1cltHiI0LvUltJuw96U33Fv1nFiMpzXuQ8U5pdr3feMfAN
uOKda1d7clu4Q/qdl36K2xTZeKrGwHbTfJNlquDNmvqnWE38+8STgruxYeS+7KWcu5mscDKIM3j/
eliXG6ja4katC/uOJcCYaUqarjTTDe4cGQa3iG2cyhrd3saBjD3KUEiPInHiG9ai/iAhud4aruEf
NDmWFkjKxQZSD41ZLIQ/crdpV3ILriAXkbsuZdleO42bH/twqJbggryHBtDcwnc7edOYfbSu0tBY
5LVfrdPR6TuCjXLwfF2eByjzF1pWtSP70Km2VhVjEG3H5c4LtYLCeeOtVLWol3Xj1+tWsYJdMDCY
kx4iR+urpE0qNdZQYtguWCZRoq+D5lD+SANnMGeN6pn4ywV40yWm9NCaRoNhRNc/53WGB0GmhzYe
dL2b3RYObFZ46/ayh9GNpiwZ1r5kZ4vIq0AAgp4LDxaoXKxn/eEhrqXiRUbv5s7rCK/ysh8GGE5W
tcMXJPk+DFHzqfITe1FmUb1r7RQjdtPFrazzNe9Ti0v8znelCnPo2DKWojequ1LLzS9yWlMjbLXA
wQdKi55cA/R/UgtoHVKGoAEOq/IkasxI6TeoX7PMxzYxVUHX6onXfSmkGENSVQ30ZB6mqQ0tRA9j
CDUVPt8+JJgHX7EU8LR9gF9eL6CcKE21xi++v2uHL20Wl+tKDrpvmpy066SPPXyFh0L55BZZZCx8
y3eedYsLKH6qnv4UaJlyx2qurKM8g3Mkk3mh09S5iVJcMfTawYlOH5RqKcUMwZnZqurWDdRoh/M9
tGIpqXdGaScA33rY9G7TxEs8Euxlphe4nDi9jVNSbmVol21MLxRHOjZ9ax84j+OF1xbyNhFV8hvu
D/hPyflw08qJjkWb7q88qw9ucj1mWBl9k2wSMGm3GVCjrd6a2g72nbcSGU4WVVQ3m7QKcC6rK/Op
w63HMFIx64PBIXGU50cFzPcm10tpJozIWbSjLKCNinKVBnV2xG7AAYrIACvqVJ/hOlJvWQW6r3rR
6ZtKd/WXJvXCteEN1ivtgCgzLN3CX6gwWMKYfWnnYZ5RDcNuyBrskhutwZfWMiNM51pM9Ur8FrGr
H51ysVRLFMB5uQxxLI6Y8p0vBIpWgVlXVEdfHNcM90NoAIniIKJ54DORw+M/yxyG2OfpyS53QU5p
NBctJVnPN4ZkkxIfIo1WjQRAm+aE1kbYAImS3PG3dVMgApZFCZuVjsm3BGgPjmpW1L0akSeOdKjj
9ahZ8dvAXMBoMA2WLfwH8OiS2BkyRrB/9fio0ihNHwlgCYvMxHi8PLnyZdpA71CHC5WGB2jn7VUp
3fgY0VyO8vMNYYxCGx4dSmh4pjcEiztlHVhuPJehorbyDbraKxHO3MgJgfaSdvT3JqzJJcRN3SJJ
ExnvmAUM863bH6OVvWxXCrvGPthdSyOe6Yn5GG985JMX10dZUyk9L06/RXeNa+wsWNAmtzIRZSyR
x7v0af7RSv3/wRW/KKo6Nk7+v8EV69T/7/9dfuBV/P5X/uBVaPqvNIWRTBi5FDBFDPWfvApd/Drq
fOFSaIqF0nlsS/knr0L9VYxjkiFjKOTnND7jP3gViv0relEaDhAZsE1ZNLX9FV6FNskBcs2hmCYM
Q5gGrZTINz+OmDINs9KrgEP3cBe+QPSyoiUePm6Kni5JimpVaJL3TXMHCRizqXjfZScssjXXo9rd
S25hVgurE729jsuiwd68pv686Mw2bR70yuxYkBAg5v2+oA0c0r/k6WvDbgYmnWMp2a5UbBBHoJNs
inhF2qOlSTJuUZbUpdpapG2H3rtIcxjdUGLaRQJLur31NQk/QTkjNSSTSPN6A5Aup6GFpbbSN2HG
7Ia0wGLmNGvQo9TcfVodQTf/bVZhmKndbwMwJLFkM8aYCPRO9zQUedOvDCkPmn2o5N69BSwrW0pZ
YNSPAyCzgh24r9MFVfwCn7gyhu4t8c/AM5dUfl3CNgnLWj3tnugrDl7DXoP7GhSZyiI9NDjmur3R
D1z7KlDf2hBqDgSotPst7X0MfsIcONZe68NkzUZYfdbksilmPufCYZg3VQrk3agG88bi3uD7TeO8
SVkbAS2H1Nge5I4TG1irIqiAD3ZWe1CdKO8XIkgdDk+xw43QKmvt2XajzuUnDtsnK/bzkZTNIg6s
stdxwev6Ql7QzyuZt3WROl8dbkq49PGvkJqI7GE4wHrx7wurK+5C0zccehGtm0a3MEuP7zrLwn7C
EVhtJF6ez0Ngx99NqTf5BVS7372hiUDTJ0ZYPTi1lHZYzzvOd7MugJo7toxThRT6NqbCkZqr94lu
cjwdQK30y6AQvbzr1LKx24eAYyEMvMxOYImVBjYmFuijbpVngYTbdxrjthuluGn1aQ200/Vh18Y8
rU0uzZG9XSuV+lAdJE/jcJi6RhzeyK3uNTc1w4cOxtL2k60R2IG6a6wKDFnahGZ55ChZRMcqriR5
yXzXUp7QbQ0ZQ9DOUb8w4ORmW/dkEg8WPtngxSFOdRjsSu1TaWb8gsYli3eNJhCsQAs+BnJCqSBP
KLiSH1PLagxw0wDHthLsNg4aaEd07053wiBbuL4J8CpFQMU4t3THWLl66hs4tCtoF0Xdl9wzAzsO
6q0M7TeeY/NTx58sqZbs2WD4WDYKe7DJJ4iQ2a0pTQIzZajIWQHxJHfCXAO7h4TXMUBH6XkN3mmE
ooXvgDSOfcDSsqTupIVZp+DasnegWvUOV7PfQWuBNShQpuP2NlUy9OxW5GF8ImhDXjhp6CWHyO90
c96ODLek0ySWmrRobyvbVJRFJNC7ATkG2DorjdDGcLGVXmwpC4OF8k6Gq+q8gWEeNgNzuQYN/uhx
Vw1n0DCgyqVVm+db/502h7mXU8+h0RfGmvUnKD/lg4v/cSbn6Usmla11VN/5dXEVU4AIRqxdNUQy
rtWaArlTfyffxR00n/sYmuYLQEVrWRuQNnZ5XLRYzftVWTiz2NAqC7vmSHZXntE59bOUFymHsdaS
YYcHhhwHXOu5N8wyldvXfWZptfhcDmq+1wrLlFZ9KZnDprLqNNkj30w0vFlUHFu1gb4o7JiyBA9b
Jy5uhKcZ0iKXYXDht80Su8QCiiXU0kIjX/YeLh7zujPtYW1mpfxbaDZ+tC35L2IGLVcBl4K+T9C9
NJy86D+KWddanXzPoo1SiIN1k7XW2o4dfsU3zOGTZHCIPvStZkOni/tuTo2wod/V1tNd6SWafOw1
VtpdUTdgZuUydb+7EcvduuRSPWyA+dgMnjCUwlUqC1Y+GbcY90FrRRrtSrJdh7DNWkzNE2vZArNb
pLlnYzREdwqOdlz8QJEL58nyave7mfnmgwCoHnJpzw1m0cB1HftXVRvMuYQBIV4zeiyh7hkny+tg
a2lzLyqSBLeOVpHQMwGkp3g8gWSc0Vlbx492JZwGF9o+kj2y04jPgr3o/ETceC7vl6s0wpqNraYx
KHclSr6wiNXNKq4U61Oadcxb6CtEd3X6rl67XtqXqpHrBajoNGweqgC86lyyiuCTbacRppoAbk2u
HNym176Q+v4102q8UDQr5IIZehXmUs2QmsrBR7bLzcCGl33LqlCo/JCixFU1QJXwIqsZiWO8NyL7
0PpNN6wrr5ebpRlKrXIYwha/siCiPLNHfKTGaxmIO8CfIEmlVckp30/xZlKd/Nb0FKlbD0YHADsd
i3UwVvXRLyMPRb7MC1myF3Eg+cPMDEu/f+S+6pukxiL2orqDu87ea/jcYWJDqviBMZ+zyx8ycrp4
Y0aFnMyH8QgBiEeLYFKmkusv6OtpxL1ceYo4NrBcE6xTRRstvVJ1xd620vFNMarK6LYwLStbe0qk
FRGmJjBpVz2Md5q6aT1TcR+IM8oiLoevW1JFbbCWfTYMEIoqo8+ougbU0dBUYM29oq3gM1a5iQeo
H37H6AVHbUmCFPmoWgNA69jrPPaCgNFHuuT/sncmuZEradbdSqHmDLCncer0XnL1CkXEhAhFY+yM
rZFGcl21g39j/3G9l5mvEqhC5TwngUyoeZKcbvY1995DqbQtq3BQN2bSa3oA6Zj7hzHN7P5MtHbd
P0yGSFn6RQl6cZ08xzwWGAz0aZnkKB+5NEV4GVa262DeWewnw7TWyCfn2cpuhyAfwxvLgkwPSVyv
M8+8R2TxVI+LfiQCi2hUQcAA0GQqyq+DkNQbTIY4/WkRC/d+yj3Hv+NlG6N3W0mZPdR2OZKa7Cyr
OsmyU+lrLQzn2lhb464WeRPfcFR61Wc7INf+GBMQ64J+BHC+zVvSPHcc0iHIy6Vbg2wPZL4ljLEu
7PFduovHtAyK4XgMhnaADNwi83rw0rS17hwfRFIRxH1wG7mBXncf1fS/W4v/ZMZ4XYT9z63F5Ttx
eAfSAIf/lof359f92V8E9icEI0GIN93lJced/vf+InQ+hYyceWvRKBBAcJUp/a2/iD5dbeVs/UMs
vfQSdCV/by/EJ9t3AtoLwvCu/iT3X2ovPgzXf9nCka4v4mv2HocHyXuh+KeGVInRkAZCDggjfMUb
iYD137om2fmiJi6gy0z3NMIcghl4EJQf48nKo3B8zHnLEbTc1Mo99lY6ITZyRw1CYZkL/6DIRYYw
EBBq++LEYh53URp7byavAHI12eq0HJ7OPLwsvVmsO/IerN+y01ORNPnovdFxefdlTy4mSDtp2Q/S
cfrhmGZRg+NYpnV9KANfAMRlGJNtvDFkwWKPGTSXDNhUfYjHmutkUzAKJDif0hugSDq1EVBcv8u9
m/LjSAs71/9FVjlJ49TcfvEwyCEI934bUmZZ4XUUbGeitQmuIzd558YBd8XGW/P+rvKnLtvOeTv6
T+Tk0gSFdmrBRO5DSZFsF2rZsg1lNcz+ZWi3eafD9ViVDK3xm6/FCiPblum2+zjJPRbbJpESIud1
XTTkIaO7uIW9S4Z6UZ69vOyge8apipKSGxzkIG/s8PPcF7I8yJoh+qGeex2dl3Rc8JwEfRV8Hkk3
f1K5FRWnXtaD/+A4Yxve26q2ncTOKu7iZjAzuOo4HPTZiyWwGUAR/k/bzVxi8M0MRbh3o3C7mHAI
N4HlVJAlPTMnXYUudo07vXeJtfY5isivJikfohB50aUh+l+49YOYHDj2zHhApHjOYxj36XrqV589
Ey906G0L1XqkzaJ0cr4rNdrzPWtVegSTjhPOMyAL8862p9w9RlEugu0oehVv67bG76qFU1YXYmHX
9pdf9yEYtHAhySPjMgSghxmLXpJ90oCDWYS/G1k2YkMsfhTtop435cHqpSQEuWid5hwVLlvdzXpN
iITWkvrBCzU/MdwtwBjnl6XWxT93OTrF4yiIsAXiqGoB/WvPE0Uo1HWO6oqU7FiCocmWKclrhSSV
OuM3R7YOkO4p49smLDQ8j56d5/6zFpnLaiDNGUuzeyHdHQjaGp7NNNMRqKIr3CdvTEe5HytJUKQo
qrI+NlFOsKsgNT3aOI0x6knPVRXyYPru6N/GOkzJ5nZ0FV/waCo448SCzv7D0C2gfsVAXGsSea0m
hjwcNdzjVmvgwXVJds2W+mgdX0orcuDVRkrMOeVr61Tvtks0LgDisJwf4ghryEnmjSIjpZQeCgFr
ZBnTO5FaTyItVhegixls6iGZMkpbqYlfM5SYKaJHMOHtiGzNIZPZ37YDifX3WWhFQGKcftbfJmKD
mQWnmm1rKWua8zLnHN1NaVM9uR1ahT25/LgqXC+03quQQORdmft9sKVm8r95bRxNm6KZMqaxZWfQ
xtajbe3CHM3dvuPvqRN4Ku6aaNXXb2rVLQX5GEf9hToZknRKQ9Ye45Ak4H3hp1OxzbQXd7/qrqZI
MuPsijdbkOt8WhFUy80AHhB0u+CEEL2Oge4yUXxkokRBTwbhWuVfFrqJbmMmepHHkRnPFxaIOIS0
P9ASdHOn1r2j6wCQHXJifPANeVkEaZMHmZCC7tV3udvl3Tlf2WltNWnjdZDUca2Ds99J2z0GTvBz
8IVujsTZV/5JOqJyH/HDdAG4LB/cHyyHaEkgYXnBO58YURRULt5mOXTVuCt1P7yHxtbBcZ2VfrFr
ZR5ZgWfNLeN/FovKcqz6+8i4vt/GYw8IOKunpnqI6nbMdhWnWLlfp8ZznufVm8jjbUJIcN3o1FeW
tmP2sgBhctNXzuhwXHtTmPR+VQQb1lNrfjtNkfptrCh4muOgldterkbuYmClv1EWVWR70thdQoZ4
UAO8LGU6U4nq29St/a+MoPCvJDV7wy7M0tne4YbuR1gHyn5dJjevbnJEARX5Ea6GXZ9GMn1eI2Am
O06d1SHxfy5J6cgNeJ9HZjRVkSVWuoKHOHthFqTpvlQ9GRHEtE/uwAlSKemgAW0QcyUqLAvnxBJK
u5uIFyQ++2Tsh4+0Ib0NmAkEqtwrrgMr6buSc5sKYUwPxej1X4wKScamkaLlY8tP8Qj+6XNfz+01
TrEYV3wHhEeqA8JyjgOW2WziLd/mbSHKuipeeh/AdrlhpcF1Fdp5H3xxfIZzG/bKDANdZ5YuyAN3
RqLojvdNhdLi0FaKZ66OGmQMvsnlcjeMhLBvzGiiAQCSXOybpqghC/lS6uIcdEHrfh27Rr02QdhF
uwzyBedzWYBiiz2mZzSWlQ422Inj/KYgeYhdaQVhZ9aeUPCybVAaloJtsg3zMlwvjlEZTapteGsO
xTpGbPe73CSpLWR8SiuWMKe8Quu+r5HqoAEUc/jbtsbxlRTFK2CJYJkTZwyNf10rVXPDCgEYvvTl
q9EpS9yuU+5u4Em8r+sxcC+LGMr+RUEwoDgmfB0XLMTK4ESc0LlHP9DZFPz3dBPccX5gR9OpSuMy
2rL4IJ1TeLIfHuaGxReRnlbp/KhnpjSnqTNRxKHbsz5jLQWq0rW0rvfamyr9Oje0zaeJQOSnYKbB
O4VKeetdoIrSPcyc5NlJ8OuQ/jvmU3/ockKomGqEjFab0KOP5wOKJ8kPqtl+EHMFWGFlo4qGvOV6
heuRV+KCK6A6yBV5xaZgjb0T/sBJ3o/pvWxxQGyYQkb5dnJh6z0apqPrZvCujT67G/OL9xuP3iCJ
hdfwiZanf/cGernmZbssBBnT/596g//4SWj2WP11BfHnl/+jRSCglj4AHREz/vgvLUIgPjkhbRm1
PiZ53PoU539rEYjM5mMk+H7kZeO0YS/wtx7B9T8RbeQR4+TxxNBb/Es9AuncrBj+2iPwjchwCGPS
pxwghPE/iSLjeY4BojnTlg24bnZrzJz7fZFWXD4xVWgafzst1+GdLli03jMhkSg3qnJe1LmECtad
G1QNIcyJNssJIpEWmFNReoP1ACZnyN4XF07odzdg7vVtnJhKJUgSWiZPFrW/y5AAPoHz4JfLlUUt
GtXN3xqcBnrnU18R450HQ7Arl3IsNoLegmNZR0btPEySzcOogFwcFjk4iji5qVoPmefIEXxcFDa3
M3QGAneq0MQvAoaEe4tQJ3OAgtfgYFmkZ2wq6KFa560cetOzr7CbKb0BRBNGX52ptbKtyTVT3ips
22pXKA+0j+hzZmpD58sI6Eg2fJMdxRnIs9R/NWnGjkNUhvLbsEYH5lqv/Z4tC/qevC+n+SGa/KxJ
5CC7+WircKD0VxwyVKY6wiHd8+E9ooHrPEBqbZrdBPMw3pL6HUCFK5T0j/nHMKH5GCygPhvcfckK
Ov8cfkwgVmZZ8c6u8lQ+FIMsuGEbUfJjDcgb3XtTi+soI8oHsxMwBYkv+Jh5mI/5h19XUBfEx1xE
SlmOiavKPDwqUVUg46u2LU6rw976YErK7HMXznj/ZdkadC91ykyFNQ8vm7Q7rjIzdeB5GsVAE0xH
1Mdnw8aZISEO2vJ6pGHW5Ycp1+BaVJUZA3iCiTkGAZot61EiixDPTQ6Y8JF0KsO5yf3AIWoyau7t
wq1gw1yLyUtTXJTTxoSrsJ8WCG/r3YhSrzrBjumel4/juh3rQr96H8c4cLaVn+PjeDcfRz1XJsc+
YJwhfl+mOTZk+Fn+tO0iWH5bbJhcFgEG4GiL4IxLpAtMT6JrHs8cxxHw0zM7jlgnznhNiFw/LqVs
bixzrlMvg3P/cW81q51dZMVlBp2Le63+45Lzkal8sfWQ37tt7rJJ8rX7I6sGOkJfTO3vQqddn2iU
ahBm4xkcS+Z00bwJrWLtNrZqdXQIjYCX5f5x/yIAWi9Q+lgnIhisltPycV83oKB+FfXK85EXlvHv
JlOnV71MFGEcxeYpTlWZeQKxUGy5u9BTzNo60eS7tbWW9Vfn83I9t2sMI1l/VBbNWqfzHbZKKg7a
RqoPr51za5+rnhmsNMacxhDCxaaOYksmcaqBHFqUXBkQ8hBRF4MyHG603jZTTSB5oNjBU6oHY3Wa
2aWdg+iU6PXeqZ1SnhXEKFP7WeZpN9y2bdBuPMtadr59pdsO1+dVVKthAFnmlUMyhGtsEvVsL6wn
qLu67NihRNLfDsKCOdU3eUc7MUp32DJz9tPhs5Ysm7BY5XXxy8wov5Auztm4hUwWmA1EmFBj9Opq
i3zVtbef8oZB8Haw7FomUEro1MAjN5xSAT/A3qsmEx0qQoYQCbpFFzxMtSBuepFjCYfYBB1aoDrz
stuWiOhsS3ALlM/aBc81Odpc5+I5skhRYyo7my7lD+mGqwE0YgUjmPrYnyTMPRbGO2PQwD3VQRf/
Vr0L9y52oKAfEEC6hEHH7TS8Lopm9hyhloo2uaVNemDhqJqTnacejPYBhdOctnF1cMMm1Dtmv46/
qQIWdkfXA6JOOZ2FhIJHvQOBZ9Fo1jkGWYj286AO7HH7CMJPWUDysdmfbmg60pdpNOHznKv1ZQpd
WQASKiFsytYt02cguD+9cGkvIygaJBoZBWlSF470KXCBte0WPY+IR9FwcvqPVaQgiSuN2CbVlndc
+6q2bkK/hhZfudHa7ZeScyKJLT2jg0WC94pGckJW385ZtOkor83WKmLJslLoYbqsMd6vh2EahHPT
GsuMn+FGscaqoX/5N7YFJS8xQ9yj+vTAWT4ZfsLwMVvTPAOG20cVSqx1qV+aWku5dYWVLds+1QMb
0xIRbKKMNoxI/LUuXrNe1fq16x2IEGYgPDARuTOau2yASH+uNMfEjTsH83qrtTe/OXNEr4QPyZf7
KFrGl7r3R7krRTm75zISq0sEZpiTJNeGi53QqTUOMsh6twTtmV0iHGnl007dMs0fIZujRIv3Ih1r
DD9lkJszshkwOjPi/exi19eW2/RtM+16YMzRHoK9/RNNAl751psE46U0LePHsJ1syEX9Eso/1PH/
Hjb/J1gTgsb/VyULUNOf/++/6vz7XyvJv3/d32rJ+BOUlDCKyFyOXf4nldyf+JUw/IQURVxVTn+X
rPytlow+xWHMuBlbDTqTa6H5j1rS8T7xMe9K93D86Ood/1fmzTiH/8mSgdAKIYvj4rtFQEMA4j/Z
0AVZLPXquSxykZmQCgTuXLdmTUJmqSeDx6vfGIYjX93Aqe5kGd/4levt1OSITQgC9G2ZPHOZBH19
4BX6h1P2y0skGRPyaGrAiH11u4jO2RQ9cpRN4Oo0Gbw4RMbXTgmczklauD34YCKKIjz00TQ8jSpi
axUzZBiT1gn1Y68a+6QtK/oeGQmFyc2dJLdVcHAQgiZ1WFd7wCPypAhh3c9TJLcMk6Ikj23/FqlJ
4IMZc5cLi0ONMSComeYx/boA7owYtE/B82Ahk+3JFzt6XiUOlmJQn4RpUL9QxETf066mF3WlKb4J
DdiMUnt4Q+6SGuwLKJY25SL89x4pxpLM4Gj3bZqmSZrp0UqWbGnRJToOQgIV5gAvpXxfXbvdebMO
f+BPZ2SuA2u4jieru2gQ013hBctr66llSbqiaJdNdZ0I0ZIqfIemjr4UqQ3eV7d99zzJGvbaSOMf
QejVmyLqprP7MVkqA5HPW359cQFPSP9ZMzMYEg+HRblh0cCWk5kUsGrZr58ZNXSPneeiBBrt9cDE
VyV97Mq7FfUComenvwy5V5/aGmolXFO/szdLJfL7KK+XS9aWwcbrnCFpJFpIz78SPqSMGZWRgxgP
bXTgl4+2tgc1Nc4ifcmJxNiIecAvUMXRcejqOFFIkJIaP/hpLv3mkOpoumo1lwBfgiWfQv7bX8bu
yuyRo3+kYe/OawGt3JuXdlOG7fiqCfRIGmLID71TUZYPzJL4Wzs7O4SBFmUlqPRM6ERDs06k3VeU
FG2GC6kaMn6cSjoHhqbdvopQuzKXArkVurr7XS+w3ZnkZGSfeMYDGD+qk+1gy4CqHBx7dtdvAP/y
Q7m4/OPG6tEKHOuU2XO5q7wJaao2s2DXbcfjJfcLcfGYktG/xKv/BjszB//OJCTtr6bmSs73vuzl
uVwC/0UqN0oESi7CV1NzydMJwGxbdSe3Z760Gae42Uc5qqcMHRruWicGgVmJ7D6DgscQs+iq7yzz
w6Pdef3v1Qzdm8cK/ZJbPevJNejmGxRZxRWIbF5mt8TRIlok+gI9/Qt6rXgHNY0lDebR84ih5Nxp
MWBENuujM0+UFE5Q3vSOn43dvp8RG/l7gR9ky9K5OrCrQfdls3tBI2wxYSP9LkqilCeT4QeqtGbu
BJ2gNvtBZsWNz1jwbEwvdlSMQJloqPZWcdU5lNfPa3pxGLKBbyllw4TXCorvaKKY+wIW7Z7tHgl+
6c7Z49BN8a2YYiwxY8GnI53gXzI9UFGwYICUXLTeVy7nesu8rAXvGWZvA+qavdGCIQ74+oPtM2ba
iNThawo+EbZm9TRUWb1lZ1w9GWN7f3xxuBS5BaYuxCObgam/GbX+Mfe9vW/Azx5qN+YY7XDXbo22
wDJLL1hvc7CiqIZbRkp7yoX5iK6wfVHGm4+muUomKKde9CKFvSlIGLsJ4PTu47pgNR25BNkH+crB
C/wx6Whb4ct7vXUIrFk9y1Zl97jl8nUDT9B7theTI49O426jhvU6hw2CU96F7hkFk3xzKrv44Xhz
dywsK/xmZTr4Vn1M8FOdV7uSKeZW+Z5VbXmFowcraIIzCRjjl7msqns7auJHIaz0kGdL8WDmgL+j
66DnU0ockHQRI/vxF4V391Qq0t3hG17XCHbPn53HeH7rReE/goKt0Sg2ounuy3hASmiYmk+bAajK
HbIVmlMZAf1Iw9Y8hnWXncrV8M0+Xg/2N9lb4+NJxc2FONFPSaFMePlwFTj0e8Z47ldhmf7LB7nU
EjxQ5XhFzJvFfy3xEalNST7PTTT7/ut1+XSuqnwh0SNQ3Vk3WfZkqsXbirXtnq9OfbrjLGDW2i/o
HH0zpff+tGZv/mDQR8quy97seGWoDKCcifH1wcZaTTPkD0t9ljBsoHci9mB7l9tHu2BFJKORSeDH
jzdQOrQM7cf+S4kF8oT3Sf4sQ/57YmHIwE4XKaYt2VRvBhd9SjI0tv8qRt4bS0tNwYZpFN8R4tfo
jhz/lVk0CkpZujnFsVLckWWv541ph/nddBH2Oz9ElmnbHNWMEOaXxrA9acr1qtXsW8E/2fwiqonv
8sf7qHSz67u6Q9gCYJX3Hdu0q76uuHJoo8nit+VtLJF7vJghFZsBmrfC1YEMqt4i1u91nTBgUuu2
RLMqtnFdFrcdYg0rAVcxD0eh+AzTKc9NettzWdfVOHP2/ZoaHKEqZM+3zvMP5bKQSFCIubcOCMJD
VDdArDAIRIcZy9Wb6MYxCTPqouvZbe3mfu6yhCFTCm0dr1TijdZ64YdbnwPGRi2nkzfeYV/LaG08
wgonkIl7EmXsb2sn8WXYa+sy+49wxbQAMB+tOuaH6zKHXy9o10BizBdrYtVd9BrYjfkS2ojycqnL
vXRC5Ex5Q598qtYoOvWeld+Phd2Eu7bz9NehDlsf+sAQQDleUmyupqiPZuICfkKSOS+7Gm/IIxIq
99TZzbB1ZzM81V2snqzGi3/BKzXvNb/BzzkDNuUB+/uq+8V+lhMPZcWL8ZazlcYfORdHk7mgZwjm
Sd9T3l3BJgZRhwmvil45bWXLjlko7t3Uc09TIIu7tnQ158niBK9GrfKZAWpxi/gtvvM5Wr+ZzrVO
UosCGng2OQc1jtXnIYQvvWHdw3s3A1l5Xb3slWqZt/jtWEHBwyZzabw2uqcjnF/Z/cYojUFdbhpo
Wrcue16aTLQ6E466LnOv8Nfh7BhEkMsc2CeV8qnp6LafJ3vkNq3d2TrFc6ETqLKy3iLozJImroOX
cYAduwnQzN6tAbaSZkWamE3esGc77W+LlCJGzX27ZzGgeYTGFFZShEQOA+lgwyphI/x5bBgibfjV
DJPUFsNapLtrjGGfPvosiE54deSh4OBmDclgf4Oj2v3tL3H3M/Tn9hJNpdhHowczdJ7z9IsOQRpT
Gau62hIrMfBoywAKL/9f/ohF5X0JAWMOW27a6KcIr3rVQbtpuWlLu7kwosQMr9CNVkRwPVDFRI+I
J7qzsZ3lmVnPgubLntqTZ7L2zS3W8pYlKEt1FzGu4PENhbVnBz9+nbMFPlqN+LOBfVV32ACpF16a
hm1JVtput/eCzrqMIocSlzvD8J7OdXm7VE6UTJ3V7Fg3N+9jtlpfqzkwYt/JtfPel070Z9fLefHb
iDNA0ADYVVOe5s7iUFzt+Xbqy/LdsklAtbuSjAcZNk8txdFP5NFT0rFjfkhxkx+pfuI7uBIQjJa+
PNHrX3nXqEy0aKLD4Pfqzm0VhFpjIvuhC6ViKtW1/WEaqeN8E1JYMwByQ5VU8+pj2WqL5wKx3U2L
RA5Orsbw6MnG3rRmgQLvljaFkTJbJCv62JVYMnGI5TeNNfcJ+Z/WA1vAbIc6n51vWXnJ2hrvXlXc
yxy9+X6xjTi5cqiODFHVDnC5t01n5eBFbe2vvJFAeje2PjP7GI65rp2jaKp3Hnf52OqGgY0zqZNR
XH9mXuqniXoKhLA3DIfMT/VTAbj+0RTe+pmro9vZC2VhE7XZy+D47jbsZf/QBxlpxdqsT+mVm+Xm
CO9EszaHJe/sbaOW9JFd9nTruhXMwZ5FQAQf785rG/cAeVe+ZGtm7yI6swvPj8RPFUbmp2PCet1U
uadPaVrJ+yJ2rW1QGutYIcXdTaWlj1Wq9F1gcvJ2o3r92fW9y29nhXs0Fm8B+Xj7FF1BglsyuuSD
gwCydtdfVrGUp9aqozfg3T1us+EUck4wAiKVlp5o+NF6i/wufFnxPi2ip3VmaBjYdS04YFR/WlJr
vmX+350YKSM2YlzXPk5rnLcH6XrZb4cDAGEtuqtv1RBVKoncKH9AU8LDVywxum09WNl7QfIlRSj0
8m2dTdzIjJG43K2AxV1eVdOvVa/ZfQkO8hn7WfhUIghiJbH6/nxeakZc8zz7T3hVm29pGswdhu6w
PTqVjF+sqTY/LKjc9FVzcyttyd6dnMruoQQRjd7V7doMs6b2Xwp0Cvd1tfpk7U/zeBAgAXbIS9Nj
xdLbQ9kz+fO+Fw4RH2PDMcvoqA3TTdmqSeyquHPiTT/G5QN3kiZoQVWsapwcIyo/T9e+YHqdL1MX
uOehQMPB/j6r3x3P1P22R6tBhCkd6H1BfNUjDXBx4e6LmqdumS15sKRsUTlXMwbKRT1rpqEdvEg7
P3ANdq9jXkcHvfbTF8GCM904+EbuGhY40eYapeps8nT0kYYX1oUpLWnIk8AvjUMF60ukG1IWrKY6
MS1tjwWHSbBdYm8o9tIurZMBXv07DJfwt4tkDPaFF6dnpGzuA8WQfQ6Cejg2FSoLRRXxLXIbeTcV
bX7UYz3snapKUZ/IOPOZSY/+t5HxyrlvO0Nq65rHtykFQZ2gbxfbHn06W46+bu+JGpgfCwuJyYZJ
SfrdFZxg6aKnnzPRKGqTpnPBsbHEtF5OY3lNUljp+INyL+L8jaWH6HpIV+iy7Sq+mkoXDe6CMrsI
szrg7ElSPFQkCuAaQWiYhMQ3TEk5SJ3hdZ30Lx2O0Q1/5Hg8TAuN5GaQs35UpqU1JleaSzbqs4tO
CdJFk+XcYBCyj1asxIqTqFe30m2br+7sy992pcVdLUb31PZaPnSaE3eqnYaNEYmRYhs40j3jWMUJ
1yH0Fgkq+OjJZ1OwX1hpf62tdXhtq1XBoMgHEo9qeskvkV1F62bqc+cuL8aBm2zynRSlZkafV2M0
ODnWYJ3YmMpDN5K0xp+6fZFcuAx8F6+BqKrrJ9nbiNfohfAUzijlDv5YN28eVoLDMmb5kakNXEaU
Honf2yUGBF7Vwi3sS+lOxbBhN5LdYk6NkcO08Td7DrN746A4VvTpL8ZtgpeY28Fys8fVXvaxNWE8
wOVFt9zY1Q85BO7Jo9b7mRvCveD9WeO9zy99K5wgv9fG9Q4hqr9D0Lf5s4Mt/TV17P6OTM/x6PsQ
0EdVSUH+BWLLxaVP2ZRVg55a1XF1W9g+fC4/Sj+Pmb88TtSvFy2CKcZhlIP2Ub6Kbunp7E3VL8Nt
njnySB5HcRfkqtpiUkc+M4+R3KA0mnZFZ3lblFv64us8PxmE5tulYP1QjH7M9dVPZ22CmHUrAYH4
4brzbI1dwIbXDZ9ROdbfKfLWG79U5Q3TbEkAiyv25XJNGVDCu1FB190ToGX2InLmGSF5rl4R/le3
/lz3u0K6zo4N5nrJUoNDE+PNjhAHxUXX5CdsAtFlzMLhDZJPeGwbP0W7PkZbLBcd85LlJxVTdoJ1
Wzxh+F/3XlYMF0Ow65EoZfHFAsdC6NPaXoIpXR46VLCn3s3s04IX/JV70+yyse0+960uD3DVDSUf
6qSrsH5YfsNRiuVmDnV+q3in7Ee9VLe1ccTFwPH9ifxpPabEWz/3aKmO6czJTyJT4ydZ0cw7zx6G
/UL7+BAOTnDALBd/VihcjxyRQHUWx44I7tD1c5OiQ2wMKsplFWxstdZ7kdfWMXLsESuVMMGmget3
QEwe7NRssl9eMPfbcEaOknuLeFp8BhZOZ/sst1j9J9iEg299t8bc8XF9rhBKHVOGSw90LhjorgOp
aWBLH4ycsrbTj8QKLynTi6H8QQUes8IV/X1jx/195Vqt4tICsbYdMxvSX0rAQUUMREHj6Gef26zM
n7ygj1/zHLAhWCT/s3KdiPthccP3vOblF20a3Tllah3w7Zf72omnHeVVsXNDhFrojc3Ngp/kNLKa
S2qbrAJ79vVNtC72I70D4Bb63PmH15T9SXtANANLgf2LW70LGaJ+sYbW+5l1OV11njpPqpZs3K2p
eOwGV5ALauxNGgfjXk4e6mMd65+NVM4+dWR28bmU4XZjF3qy6gG3d9yVMTWuU74KIhYOIQqeblN0
KrukSxk/j6mb/1tKA9v+KqW5Kl5Qt/8vUpq8/j78x+FX/z3/bz7eP7/wz8WHF38SAXM8iCOOg1fc
ZoPx5+IjcD6xu0VizMlJgh6y+r+IaPxPyPLJdMQDDt+Q0/0fiw/X/YQiAi0Ziwo2FiHG23/Bxws6
9p9ENNyjHlsUfgwM7RG2eT7+F+f3NNdxvzChTNwoGwF6LEpn+wrvpXgUlt/iKNGBw41Et11udW4J
vP+RsA5isGj4c7bRDytvASTmMTKYfT9NY3BrrBFDDXOX0dpZk27lLkIvkKOx9QZ/0wTTMN9qS1TX
XUPTwTO28skc3WiUxWaJyIVAK6I0B+hqjZ+LdqRsDVs5l48BZziFT6cpEIcmaOeTqUQ67PKwqZeb
aZ4IlOta3XV3ZD6xWl4a9MP3Xd+29xNvx7tK24N59sjeQs82RRoE4ZIRi5BYi53DiJbG805pOKPw
d2orRCqtSgYQyPJY5pa212d0yINXPdISDnMykFkTJ07nZCTCaruy98q2rGZboHIDm6wyg8nT9Wo9
2MdKTVKzPIndod2vg0NiT69KZ0GhGOfeD6eNR51EFuFOu7JW7WcxIwAl+4Na6xhyi7BY5sz4SkTW
9P/ZO48ku7Es206lrPpIgxbfrDoQTz/Xgs4OzJ1OQmvgQsymxvIn9hc8on7SnUzSmO3qZFhmJIkH
dXHuOXuvHR2mTi6SixBLEfQVXUJZrKha1Gx6Jy8U9pVt0d07dqzr4PXCBXJAXbTSrpQ6hCgNJdyd
WoRTtonfuB1FYiiPFNbQPDCvMrRvQiSHfjiPqtjx8UutDe4hy6g8MWgmQQh54nRXOpgJhxlZBAg0
VUbH3Nrq4PS7lI0AxepME95Hn2Ro10qp90PQvMFUJMuKoyA1RqK4jao2Qp+ZLh1qi/4SGaGLPQm3
TzpzQu2AfwtjmaoWOwlp+3ybW+PSscUQWe0B3KYXUhb5qL2kyhKXLl2/+Noq8noI4lB3nqs2p+2e
k8k8+GaqS+Wp6Cw6rXiGRX2UpkaTz5M9xGgspCGar+o3pM+s0qynmR3KJ11NDCmoaM9l+9ZqJYLH
wnR0tiYzrZGRj7G8tpghX3sm8be6qYaG3yxyy5fOyOzZn8aJcZ/Tt5rxRbfU6RHf6vxsNnlqBnPb
SgZOsUXvmVe3Eu2DIZJgCRmVYKYiLVWzzaO+yA50GqLyLmapDwMGGkNyY8RRYQZOC8DFlwyeZxyf
Ux/egKC0nuuEnt02Lh35ReQVQ5sKIJN5xzpSVLT3QuRYpS7pn4rBkZDiTNZEqYTaC6irovc6w88F
PcVcRShnl0rCUOAmjeSYga5G5O0YE0oC2BvY8XCVaG5i9spDIocl9pe8KtHB8L4Euhi4rZajHdMR
aS9/YHl0FAPRVNHOVXw1OYJhRllpibXpuYWGp6uqNNzmIikqJlwDdRgTGtGflrCOXg163ulGn2eS
tY1wFFEgDwoqtWWcdI2fpInmGknulLrSyKiQcPQmCULZqLbtXJu0piW2viwzdehHdDX0Tdk2KueF
+ibC1teW8WbsAGQditkYtV2Jzh5zdIGB9ljMI6gxCcNPy9rFFAxTi50t8L2q0NqOwkZxRi9SmFsj
xUDrm0gF+/3A13je1gN/mnnhwONBSlw8TNUFW+gsDWZU3m+vMA2m0Uyndj+O9azcmxgrqiPivZnk
m6ZjRhQ5a6+c6omZnYpGnpZ6bAN/myHmdI9ZWK9Pr1PRMvMsNB3TOWL+ygQQykJxGHi6ck9IRqhd
RSKtWgPekcnZKm3U3BWRRZO1khrpwpFb8EQGM26GJ7ZUpCc9VurPRVVa6qXMlrxysf/lJZqvvlpg
JZSRdTu1uKS3XeOQQjas/cFjIgpp2JT4TUsvju2m2mlMsQtXdI6eHhMjYhTK/jectsKSFzaC/VR2
YbAsi6reKXGVOKiy9V7ypN4opRv8gyN6fggS025ytFFs1Vpf6ssYAaIb2qi8kd+wlcns+MFeCstG
qRWh5AElZzbFYZLZV77OPWkxm7TOiRPHptsh71LGudgqmlJdmyZSr70INUvZzs2Y1LtMn2mXEvhB
LemC1CMYT1AmDgd+HE5ndqYhAzhVNN2xgxlQwJWa+M8u60LWWGFOUEbl3ioa2rgpDqauRJS6EX1W
YZ9mqwwESQgtvorqN5d+xcYt2pdv9v1oBMS30R3cMEHUtcgOUfWx19PerP+2PRimR/E43qm2nQiP
SYYU+lD5JGD2jS0o27UC0FXaV3nyRVIbjl6gOTUbws7CkLK1ntrknPZoZQ91suAmYMkt5GBgxW8C
p2+W+VBkDrPMTNSLdkjT3lqdOCtiYUhzYsZjq9TTS5a8VrpGU4NvtF/hDNUkyTiMJTP6Wkro3Dys
YzXTWMd6Sge4NX16HvWxq7etFcvdiaHN26w2NFZ1gGM81kpUDFfOmJsqnxxZDQPAcQo7Ii2Uak97
A05EK3uC2bl+X70RKdAC0GVT3kgV9qr4Oo12agw+QM/e8FqzZ+3g9JgRGWmViK9OaO9wz7ZyAN85
W+mZCdM9t8UH8ogVrApYhVL1iNiUj0VkVNOLPjlquJHfkBtRAe2PHVJCFwyGyTqyQzbYspeD1lHV
9ngXoRSgvcpyWK20ynWGxG6N5jf2WLSq8sJjU+Ejg2X2Jg0eq3BeuQ0gErdpGtnlQSATnjf6ChRp
F2dtbatRtARypiz8GLXh6csQ3fUIRbEvHnr4ldo3tXHCdlMZKvv9RKcn6ZaCWTUAnwqAwMbux8zx
Rw0xJ5C0aVnNB/gJXZt2Bg6pojBoqCkptYtaplXA96kjb5RuN1N2RP7kpNtGPB5EUkH0apskE1s6
Qb0vMwGXUFFaA60qVg0R3VR1xspAs2+wWJ37ydnOwARqH9VKVh2bWc8UDAg20oGmsJPRpSbtn8uJ
b8JmniXs+ZAGlJFcFXWsMxbWgcVv6Zhs77r1mviLvKTSubbiVt/WI3LvixpXfo5BBSW3m1nyDORS
I7X+NowcqwP110lZtxlHu66uxGKQPkPWHAbBqBxb/bKlGIsT5ldhVJytDE/+bce6BfuiLLulutPZ
4zmfCHjkrnIKdKqYDceZ345NSmyazft+nWJyGTaa1M32yRAyREfm3MPC266z56JHFqc51EKeWVBk
ZXlj22FdXmv2nLT3uPKNaN+Hs8IYwipXxAYzdvwOjeVApCzRRKHMmMs6d9E5NpjaQvaMe4TO9XQV
dnkZ70qUwbPLu5ildyk4UswTOGKVjSJnqRMMjh7F1zlzfJ1T4s7Ro2pZJrB3KoAyk0quvtE/mrNP
BShEye3iyh9SpcHJbbY1lqoobZqt0AcaGrqSMR7FZWoxnKAQO0EagTGZWlJa3VqjVN/oXUPUL8IT
xgJ8oWapohmrJM1jYUAKRkKFXt2TKizx5zDCv+UhQTAilM9yz8gf4qFnNYpR+JgGKc3GJkaiA1aO
+25FsrwculDjBbKkQsPINHDK3oIqs9tozcBAIraKJEEcmaO8jxKN/vSCBqrd2X0jUP0bueXPXPzK
y4mLj3x71lTlOHCzWsAS7Pe3WkEdf6cnTAnOSzMx3F0KyqNdWho46NJB6aorht4Salah7ZtsaL5I
Jr0Jd5qrVOykxlaPKcZ4+ynLkw51YyjJycZiosz8rEHqvYuNHpasqiK/BBU70Gj9X0/LXxtxR9F+
uQ/ffH1lD57/BwjUvk2+9O9kiG9/9u+tuI55XbYJObIMNtTrzvn/b8V1+x/wuvBvIFiwdBOy/Hdb
ceMfhiyvpnYcVm/axX9uxRXzHzIsZGM1yazh5Py5P9iKa2/Y/O/9LDLbb4uNvwkVGmP+x1xPfW4R
39N2pPFHiYbF3BzVL5NQ0xichBib15rZP/2oAmtY2pwQ9gSL0Rx7RTk2q1eiMcpz1eM8MwrnIIr8
kCTmthzzXWfb1zpiLfaIwWCV984gvrRYOl07E8ESpa+pIR/oQgaOzTDCKE3UDRXzavZkrLzhtrTG
C4Uhm1q098g/jlLH2DteNmrLRI2cZMTq+dWUiKuxiwMrApJf5VsxLnsnHCHWKlfxYF6nIaLt2tmW
vfYNtNI3B6l8LpsoaOrFdYpmSwX/3KICqVrrIDlMB6vuUg1nTy2ZthYYyrNi5l9Op0qTd0R/bYc+
vQ2ddSBYmjdpkdLz1k8DoCaYJeIsk++R49mzB5MtepdjbZdAUfTSrp/bbdH012HXbI0elkArAjSm
d8VS3VCfH8ueeRSoXl+14/MsIWPLjFdU/sc5XtsOoxQDVa8uzKS4XBbInba5y9byVO3vzULbtk7+
VOUmEN521+LJ76kHsIeGj1GebCbNPBTU/fhxaAYqAYzSnWWmu960N5yebd5lCFaanWrSJFDFfpIl
X8s6vtyW7CZlT/BGdd3VyUbJxgeCPnbs0lxQLvu6JrG3mneiajDO15d4xJnJlCR3W/PZzKSvCMCf
IHn6Q0TwylLSU0R1rVa3SpFsx7x5jFLNl5zm3Jv9USh0y81iV4oo8wiI30tpeSMPw92iWje2XPhw
f7aNkPxSKbeLDC0SWSKbnGFDNuM9RdMFH/lNQ9K9i+vclxrtusHwEjFp9FjYUYtKw1PcQU2OTW/Q
BioWdfEjuz1Gpca9rRGfWQ9pqGwAZAVWMX/TQw22QssAbQwaKT4mGcgnc3gQkey1w7JVwmVHGBHW
6mxvFe31VGRbtjXPHZWinyPeCBAZP1qmeOpUerVI6QP2SKimFt60FoKBG9VOoGfhQev7bdb1d1M6
PGpRDhK0tydPtoZDoxYbuWFWQrHcQcyC1I0lquS9QwtjWJrwuwSrwjR+Ynd/1BokHllsebI0PixF
k0NCs1JQ/d0gNQqadboE/INirP8sJbpNceWoR9BH2ZaImi/skbsgbCQz4GvYeF0Dmljr6YxrONdc
pU1Dd7HHFjg4RZUpKhzOJh0KO3vpxj6CEG3eYgiyqBDyfJNOqeY1cc17hOqX2oRtf1lo2k7W2Fnr
+uec7XfW03VJJPnc0H0mNir6OmXjKakThs2Nj6Tv0yTXr52iBg1iQoIv6j70GfdvZSv18b/ruEug
8RWWdUwlJEMT/uoUxIBvKhrjXN3u3Jh1y6UH+QLD4FQsxcq3aTwlnSksNQ9Py6nHrAsFaTvloccP
Im+GhpC+ODQHtNOkardxYQXdTLRJy0ZW6l4MPtJunM83Stw9CcP24av55jydElzjbPi2sKfRu5pf
+24hqcaSsYgAg2gbQm8Na5OH1VYZ0z3uf6/Nur1TtXvs9ldlF6PUYAQghgQZprnXY8JxjTQwy/Ax
jUgnHvmip6ijKxjTTKlPSSpqry4wyzk6pX3OK61sTYN/ShPIZbhKbruMF9WUMSRUb7Drv4yF+WhO
w8luyqtiiPepVpNSgZsncHINopuunDSxnOyQez+ZeQ+6jqRgQ7SxEjiZ7JzLFjMYQ1rp1rKKs7Eg
4PnfwuKvwgKd/vqB/dcd/qvn9v/+9/flxN9/4n/qCT7+cCpkx6DzaVM8kGD+P619+x8oH1X+Nw3b
1F/0zr89Deo/DHh3YCEIgdNNQlPx66Jf7OP/+k+JWYHmyApGBIN//mlj/11b3zD5a3SFEAtZx1iB
25aS5vu2vpIvBr02iwa77NxZEmRXfDSw9SPr03cX5eqv8uQ/yqG4qvi6dP/1n+85oG8HAjiKENPk
aAZV0vsDqYyWnLCi4q9te/TyorzOq+XSwS9BHmd2rJnE//qA60Din1XS2wEtWn4ymgamtmw73h+w
KCHZiRE+44K8zKdR8poPE+zt6DbqangGOWSH+HcRtz85qK1DVqdyVHUT2/H7g7aOGOqh53KSk6BH
SKr00J/ZrLgpu499tW4/i06r6I4s6fbX57uezz/Pl2dkzUZcp0DaGhRsfLyTFY3moQBuyg6u+gSD
x7WWp86Sn/74KA5RtDYlMOoTbD/vTxDNLN+0MKTTV7+OE1S5/LMmme6fHgTwrKbw2GsqPnDtw6zJ
mWGd0JohKKK39lZ6rqOZNVFs/p2jAKqihF4Hb+vE67uJVtrnHVWBDaEBEfvsIPjVb8za+s1R1jv+
/ras54KhycYtJPOyvz+KUnd02keEgnTA9aK7GJBiWuNlMX/59dmsL+oPxzFsm9cZU5Jur+/f92cT
xhPSRhhzpeYcjdnapTQKf3NfPiZe8YxxMtx1jQQSVVfWVen7g0xGSsux5e4rk0HzFww0nXVd786V
DpSVOVkGb13PXu3QiE4xE3ii6uO7BX+mK7JGeL8+5R+feLZcAIZtGekZbzkr6/e/xhlV8m8ytXLL
OOEBKaFSVaYeTFFZ/PV5+zL9n+hrdfXXZfx+8frx4nIkRqwoxHVdJcr0/ZGkNkTgFhUA/FRSDSKJ
dllFjfKbFetnR1GAMjNX4xjg/N4fJYlRvxJxWrvLoqEKNuJP8VQ+/Pqa/ewYjJMNlZxKpiUrte37
ayZlRuTMNmNLdSwZu8kH/OA3vz7E+zVwXYi4UDzzKqdicrU+PCRUZdFYKKz0GsK3PdK9dEeMkeLT
XG+f5xisUNamAqEb885/4z7hNOPc2ILDl/twnyA1hxMJJtjHitkKhCNNu7zr5Ltfn+Bbftz7d81Q
ZMKE+IzJiiVrHx48BFRRYqzvGpMSP9npmZ+W53k8p6ULFd+VN+oJc5RJbOXgt1kwJ5vx5W8q+r98
JH9cV/gNKgnJmmoBcPh4qgDXcq2iC+iO2SI7Pi6pRUHw1MaFW+ZJA620Nhb7N9f3J7dWwYXJ+s/9
lTHqvX96TNXs8cqwMMeS8qWP7c9coAcmu8SgKI8O6w9RKr+LC9c+BnytDxTNalUxWNls5YfSAY+6
GWKHrLC2HJMpCJGM4f6LaoahLv/dtryqeCzrTwVQ0bF/DaF2TiL2CR9xG8vXSWNlSiNhNcyzy1wA
1W5X6ZYvbDwro9vxqdSkuxYzw8IeNClQ2n5GXufaKSEYzMqz/GZYrpAfY9YSvlxmAT7xygpyPTAQ
iwNlQOTk5eJSLRHo01odu42c7LIphK90wcBwExbkf3fGCflaEDknSd5ozjMaZRSzrTeym4qmwp+j
GMiux9TQhhIUQ+tpiyaocaPnEzOI0M5P44BaHZLok2SVbiR9tp19nrSeEqbBYH+mC+624bRLFszn
g/FoVPCENla8q2YfJIUCgVlpThkMUeXSHrC9h7q/qDNDb5XNCROk/Fqf70L7LGPlVnaxTN628YDk
DTrBvS5M1+x3XXE9TnfoF9I48mr1ZhgYvViHMROYTzS3WS5N+RILtmspF1n1TcdvNEz3rcRy2R56
iUAd9NZWHPpYJvBqf1k6uG/mN4w4i3aRyfjd1Q2CNfpKxNsa26X+YrAPyvrnbLgx7cAZISJnjSsM
/CZy41XlY+80B90p/WXVbyRIStfgq+wsahybxQbyrwr+UWcxILZpMg6Z5o/OUwerjFu7n9C4MwHw
JDoLKbApLTwMaLjyTTYo+GtPDbkG5SYOL+Kwu5jy7TjGTHbOY+PLOEKRa/lVRGSKl4eXynI5yrcj
1OXSk52XqjrL2VbFCZ+IgRCayuvFUa2vo343CAF48garoWeKq1BsiesJGP/6vXSlD+qmigdXl54Q
+y3Og4otV85uk/F5onsSPskI/7CGjl+j5b7qT6rjg8eYp+3YH8zsJkoDI79Ws41APVyvjsGE4WLz
eYLH0qYvbUsTgs3ykiSBgZV4aoBW7It2t9QdY4EjM41Vs+2l4qLW91YOi3DF9uHFLHO22C147v6z
MVxkeDoYLSSOSmv7aXG+VuI2TW7zDMlcVu6nlJHbJYAzIzeCugTBZyLEMKT7kjQnKbPc1gCumU0H
dYJrpgU5cpcwzfGQMOozD8K5jhsugQBfvzKJZ91bwItI+bDDwxz0xOy1g+znjfB7E0F674rCPk9I
kJioeHGpb1LBXUL7EF6qlU/fS6YdokovajhdNYMIlHaHgSCbYmQs0ubX34b14/bh0wCwSCMujlYv
5PgPRSW+MHshtIiC38CN5CdqOGCgFfE+RKalXZBtsCgPzegY978+7k9qIY5rKTQl2Oqw7Xm/Mtc9
o4uZ9o5LllS4x4PN2xvbaf0gOqMKf1MH/vRg+PPXj/tbRfThYHrbtXFNETFYZj/w5seR4yJsI4iO
qsb8Tc7q+lH54ZKyd0Yas+52P27kGNwLkGRR7UbJWbGfZiiov752P94zxG3cMGWt0W0wAe9PB99P
W5CLQI5TVwleDiRpSPVoSzZ+rSabBGzNbyrXt73F+3OimUWRbnFGOtHk6xX+rlo3MJHI1bqN0qfw
tUynLyE/MWAuceNI0u2KyJjt4qxNmgFcWrlfqvJCN9s/S8Hhu+robLJUc51o2M6aEPL9j5Dbrs4K
NuXQLl5S7UVpseq0v0l+//FR4Rg6RZK+qhEpVd4fYxrykfGyRkpCvroxxw1lG81q8ZtbqKwl1/sL
SjnL2VAgmGwF1kST788FQbpu9uyssd2w1gkVQoOLdNKBT4Ahr8eruAMBL9xZ0WjbFnHC3JgUt9gb
iPH9TZX0Y2nG8dmJrWJNmdv74eZWTJT7rKaeIP4R1cZwjxYHPD+tfrWvX3/97P7k+hrYJhg8AU7n
Zn64hwgiWyQ01EYzEeXIljtm4PFc+kxd692vD/Xje+iAGGV8S3+BEt/8cKgoyayeF53NH2OaPUrK
zh1lPuX/xlEUzoVFjDbKx9paET1vIlpK+F0KztFhLLEL94dfH+QnV403WEPezqmo6sc3XlucERcS
S4rsMC3JVF9CpJnnL78+yk8uGCgTdqgKtetaMb9/JnVMAY21HkXrgYySS5G2v1u6fnIIToHLZTjQ
BPiP94dAhQRHq2bZn2VEX3pmnwFpbv/wNBweYq4W671BA0/70PIZU3UyxolHjI/Bro7sHkI/saR/
fhAwr4rFWFNjB/xhDdZmUShywpaqEON0woo/+ojo7T/9lHAqzNdVWeNJZsVbL+d3y24CEg61FPuX
ZXmNtev2j1c7/n577b2puqNr5ttO5ru/v1PwuFYW7T/REHkMgYmMNyVJsMw22m8KjR8eYX69zHxa
sTgUG/kPC6uT5cWk9PSVFoPVtMfVinMey5H0m/fxZ8ehYUvfVudodKrfXzKkbAJkIPE8oDSojo1Q
2tVFmfgF8pLfHOqHh5lTWtcxktJQ1f/woIFJ6Ak8xfHURxf4xlHqZt6vn7KfnQz4SmokpubAez7c
/3ZIZ/ghLGEY/nyRPmrzM82E3xzkh3ICLQKdX1CTIDFN+6NSvo07UlIQPbOCsaUc1CBGNKPqrJbj
Jwley5+eEulatBZpGYEl4vK9vz+tPpIEjQ9w5R1eao6yY9Z+iO2/lSP/st3wY8XCbp/vKi/nW8nw
sb3ctEnTSTmXbiLGanarbnjRCaX15ZbtWkGDFmwOfGKQbECKZyKqrNbwBoEWN1KW5u7XJ/3DFxYZ
MPILun54EgzCpt+f9LSynlKo5XBtlMe5xchZRwK3eqHdoWr6zWP5senhsFTYGp0MGh/cVe3D0iSN
kZpykSlhWvosM3JyW5svhGnup6I7IVYKZKv+zULFnXv7e78raViloKA6uKT4V9T1Hz9SiiDspNNo
CVTCZt+J2E0rfbMWkhTUcV5L26GILTAKiM377qxnkbE86PlsIG0GowdIyx1LFAA7gxglYN1NN3Qq
W+MYh1QSy6J4GMxwgqqEj11d4RZv6QB6MilJBJphGsjmTZlAKTvGJXAmEwlm140yN1F3Vy9mVx6B
7orlJY0H7Hq1PdNWxB5p2uSlFoYZpQ9xK03wjeY6HHYazeHoU04YFYEwDsLPM2V3vQqRU/KRlbKW
0NOm8xoVa2SRJa7INquzh4IIUmBDSRe2hyHL1r2+kKULAA1JdBisyYLDYI4aUUx2k5JqO+I1Rxcs
K0ya1XS6ckJp3syV2e1ihKTpQaXJi5oZIwOJnnnTk9VqasxM1IE05wCR3nIWCANvwF4Mer5ddIyA
kFwc1L9zu896PIdKB53mEQKKNdgEzjkTn6oES0PiLujwUoIh7BxEXp54BsN44hFJ7xH4/qjdPDTW
UeehN01g9cn2PPgY52MsybOiHAqI4igtzBzUX9lBGgI42/uEPjX4SshaSEwA/fi82mmPmLq9xZNw
tgZEmdnF1BT1tu5H3a9a1NP89GQTzTHiDbRsflwLbDeJIV/gwln8oue43MB4PzRRs5OUyIAcpemn
Bpt4oEsyAaE2CbnnOibLe7Cd2LexVHgQIZ0j6kvTl9m/giYTjJKzCndEgynTwAeDrtaKAzVC816V
qGXJPwL4g9/FzSQAZQWYTG8iaSHQ6adfVm2s7YehTDZVaC/7AUDgw+xY81YxpmSDGD/3wCJ0e3zI
3aVJROhhRtzoz11VXNWKkM5srlc+KdBYYou6TWOEwl8bwMdJziaPRC8VcZ0zb/NsGc61FpdokNLC
NwcFYvloqN+6WVdvkzJ2bjMjpaPQ5hgKU7QJXRUbaFsnas9IkzbsHnGCOBPyjXlwXpBd9IdOyBoP
BLLAVtZxVote8YCjy8dCwf+rVPIEC0VU+yEzNN8Bh35Z83L4UxnPXtYky72jNsaBSBvldprT/tRq
fX4srFpx1YQsPYARIVeSmIi4qa0LvBh0qqRFOoxFL58h60JpLSSdwrXsjsReGYFFwDBkiwWl8FKI
XeGk5I5ERDiltd4f8nTAbtugdzYiffHauESQGDtysIy5s+9sY9zxUMluS4WP7MdxjoPsxCcrbF9Q
hIVbYU/FBaskV65FvAVbVPVS2jLnrOnofae6ecPfUR5S5I/sYXX5ZiFFfeeIYtyorAwvaqFZe5oU
6SbJRrTowMG3oufFjJpUuhBF4xzwRfPBNNvuwrbj5rmoF+loqP18M5NXe7FMw+JLsa3uOurqgO6/
dpbmsvNQryUHNZuKAEN6t19qBL1dPdvEOCnK04zDNhAjmPQF6Bl9J6fTXAc1Nq+hWLZzls1P0kCD
lihV8ygVAxJR9Cs+jqxxE1el8VBPunJNWIPxNbTmaKsslTjk9Yh9PBdZgE4V6CsfDlexALamEolf
YNMJBe9AWsAtlVjpzJjGY6ptK0WpjyLHUmMAYWWPr4/kjI/jLolScdO1Osw7B2cpYZZlkIGJQQGr
FEeDTe3JQE4bJAROvzoGC4grF0WSboCiOVdKkeXPTmzGscsFVg5iadqjHk0M2gcrs59zjHQXbR0p
V9yi9gi5J4ctZEsvaJxIRAZfmHg4YwDBQmlZoyvaJ8tIW78mQe5I0rQZ+WwA8i9THcXfjEUQY1B1
mnNRdSh6Kt6pR2X9eqwMF9q3SwdayrCZlk11rSnuHGvRI6zbQoaZLLLFw38QHSWrRfUFhbS1drRJ
rLtEi409ee9mGfAdZ4FR0HndlVOSXiyQiXCHDJtRUoANqipNZ6XRv+BUAMvEg2GdaLOUn6ZQRPeK
5XQPLX6o62VC+zvThXmQ5iF7itHJGGtCowm/AVTAxm5sYssiY3gY074BfpPiG/M1HTWQpzW2/sAY
JbnHefQEvGm+jeOQbIE6xrETH5cKsHe7aLaryy0BetZ0pro92fTSLT6ZTWWSZiaPPFXZhiJxj1Dy
OSPAw4YR7M+heS5K3dcGEgtz+2LJ8auZdbazpW5rkEhkMWX1yEO2N0rf3hHteUILcght0CiKljTH
IcsfE1XbRJZ9icIY0Fhjo9aupwD6sq9FixmMbV7u44bMPyAAdKcnG7yjfTRXpBzDbjsAU3GtpNWN
MBqYQyjPyWVru+dh2gPnVXy8cmjdeOQiohAMsTeN6jGf48dFWgj6m2vw1iWx7vYgvIFZBeXepmns
nVxv9Eg9CvWLEpY9hWECjEbn4FJrHGmGZe48SlBFYtR4+u00zr7cFxdROO7GtL2jSsDJiH68jA64
Nq7FNF8vmnE7EQ9Pwsreoo8iJc1m0JadA0sQ5hJ5cYn2FTPphUZw6xACh5yI6kzNL5rcWn6HyJ4y
BnyYOjs5vyKiKjVA8FR8qeRyCXha1wYYGkU5TflBKUTIScVDI9nkGS/NM8KBwiMdzvYhpJR+XZeY
rqagVqWvk4ZtyZlAJMKcYFyD4Sgpu69GDNbKKdUnVRm+iS68cfqI3reyAz99ucQsW1Rebp5LXieZ
OJMS7BRKKT61WaK4siE9mkTRuXNdPCWC5r6S3wIpo6zG/VDj4CRMkLf3K6/Ipkv5dieRfsgmyQuB
ujPJsh6RgvAFz5oX3PcIR0d0jWG2glOKYJRQxIV2ygCfTMSJjHRMi1O8ugjjl0LV/TJdteio70g2
ZEWTwawxVtTqwNKYLSTMSealR5tYM/fonWgXtio+D6Qucp2exgjdK/HoJx7JYNFDtwSP77YZN3lU
z/2g7yGKXqsxgwU0oJUbNtmxJ4fLnXWGpVqjzy5u/+fGxpigk5LrWLXXNAPTlhiLI/g38rGSemOP
xm0hnBulBm0dkXGyd9pKunKc1HFDqz3NLSc5kw41UjRqqhvKDVCUVxiJHoJ7T8mUz5KVrEYBkJ2x
U6Ox67+UbcUkLRotz4ikT2R23Bb1KLsxaH7yrjexPq7Eu/HSAbrqDFpHC4G7NQrrVW/EfbWED1jt
vsxAftzG7g7qgHIaWjnI9+0SnTBvaq4qmOzwtSIVRx2/leWThKeNFfu2nInCcLItosujNt4Wljz5
ShV5OGrEupyc+D/csCon9KrqKwhpn4fcfljqGepYlmlbI5l4DhP5U5opl2KyznYnvsVjQR8CBPvB
CI272q6/TDKq0jVHxmNTf4xC2yvi+FiMK6HAgSBXY+DCltWOQD56bROX6kMu11/TZubrdQHAntCe
o770n0oY5mpvvYaJdIFP5tBO0wHr7ONU47YENxWq3ABMDfWSnLtIvrKi0R2k4gwsxCOLEUEqy2wk
eABzD5uLLy/3JmJfdp5bvbdcSUJBfdlwdgo7rpSikbmfV4fMimLX0BUPfbCnAZ9IYWlYZI1F5eUM
PawSV01RetUCRWp1hjTTpoN2N8YCPM6aFSTREqYrq7Bk4WVT5fzO6XKYUlNAshDx9RLNdtkruwrs
Tc8D2fYMgPVrGc0ygTWB1V2N0bPAD5JW9yrVSFvkvOfGTSOyQ6+qLg/MgzylSOSdDa4/Qnx60t2m
6DQkz0Z6E4W8Vs2yGdTpONTgL6YC+JO9rdDj64t+tvXXHgrUCtvMndnFSeI6DHpbFM58O+FX3pbR
q704HgCpuzk3n4nVtCPiLIE7pm44mjvR4ZRt2SrYPeZw9aU2ZD+daHi3LCzRS8mOZXBGPy7ui7S/
E1Cf5ijH3GntssTw0izzTCfcZhrPO2abRFafaaW4Q37kp8WYuxD1H2TrgUL7XJZYsuJnqvGNwbBk
0vRtVAl/6WpGjBC8yhhOy//j6Dx2I7eCKPpFBJjDtpk6B3WStCE0Csw58+t92gsDBjzj0XST71Xd
unVu7QaGtZkCIsxSYKLUjHIfEv+ZbwVKjqxpNjVAWcj6K87lO4URqTQS21OB25t7clNxr+t2ZxUI
zfzh5GOMc2vP+QufEREP/K+g3tDCv1gemPYHnjSOJBeHfiP0W1n8gKnqzmxmlWoDRgSIUfshKHsU
Nb5+zMLDDbzHauAwhHtGltKmpC/K2fFkTdVJwd22TJpaqfVrcFGNNR/78pFjPAAkUDkRMZsNuOVW
+alnrj2ulSqv+SgHhmJ+O1/lfp+N12IkAaNYWeN66TfJVDuaMNokEqzo6F8zET+hhCzDbyYJbI0H
tra8CTzYbEnZjRS4qQ6vtzyaauHp7NVaUfiJgXE/F8qfykSWfoh9KamwewKQyQVdd5l00/Iy8cSG
ro11Lxwow4/KuRlmiSMOGeUDQpTUzV5eM8Ge5CVeNW1C7U9CbDVW2yE09gyOzqgIIdi8xpbLn6aZ
T+10EMBCQ5nZyTpcyJhN8Cq0YwWvBWsSLXevOl6NYMcgyWSyOsrr6SUXj6qbqqwvgEDWlM6Gb+iM
Y80uhGJzpoNw1n02fYFIaXYAQDurNC+EZSsxDpaXai9KX506krnSrBpBckwG/SWSB0vJ66X76qyW
ubLFWvQl7h6aBmciPUXpjKzvUAN7Em8RmzL71mJp8RjiyYFyG/HXN1hexdddnbp6O4g3+YWiYVed
Tq+xbKhpCWthgvRsyo2AdhePl5HyIjxP7b1Ij50qswayECf4rZKnWFFQmZLLmjTPkupK3Qg68oH7
bpWzVsqEW37FEubWSqTFjPFdTMQuyWruR2XntaHqLqDMZL1y8lmkqCe4GzKVrGS8Lt/qgMMjFQig
5g1hV5z+8u2VIKsae9HwGPiwoME45t/SPCudL3kh+QWs1hTx6SazDYJyJSj+Um/o3lYK5LdR8YA1
2FL+KWa7rN5X81cxwtZHs1nCP/MzAASqxUfSaIHf2JhxVhKX4LIcpSi1tcqOSW6aPmNxR0TTNLj6
5MU6SmppG6M/Nr4a0M4dCKZZYTuhg/ASHAdQOPitXm7e2uymN86AHqCzYZ2y38miL/sDKsKUQhwt
9oNBsHjXjiZLRl04bVEBV4IKuTkt2K1uwJRbCACNn7yA6Va+axT623nYJrJsh4r+04wpTp8QwhJ3
PfVnxXyn4M2WMQP86LhGlvQoW4o/meRXTBKcOIoPDZ9ENXBb5XvV2vDOTRZwObG2O1W3UeaeENB2
opyug7rdtnGMJyH9LUGvdmXz2wvaIZTZbI6mujsP7QKRtFLeyHCxSyWJnGGIItYblvEfJL6UWEdS
jcVl8nroqEuWIAOAyNaM5EwC5DZnSd5KwkOsYCoi2jCoGicHjETZh4BDlJfpZdY6mi9dMG5K5aZW
d5PHQaKAX+RrVgS7RkxcIKUe1Ggok/o2ahXIBt3ZoJKMIp3GjKIA3hKWyU0unkx6MunWaSz+H3T+
1nJrroVF5hz6JG961avCIS0/BgmgHcufRuoR+vFsZ852Vuqxdey04Sokgouj0WG6A/jF2OqWFxmT
07LWO2rvojE7AN9Zjl3lxug0MalH61x/J37GCDCQkgXCdnBRfnTCkx1eoHutC93EDmvAHwap9PWl
FF9vGfdFeK2ihya+i/quCUh2Qac0jrPEmrPg9tVFlh2WpMEybalXdYPtocGX1O+UcBgYXWRKcpxP
t7yabVVJN+1A7DgJ6Ca8mTwfVhpYi0y9sSOkWm9lazlKQJxrWIKl7HeD+s3S6zoujypsSMOfs/Bg
LR9jVRAKwi1XTshzfF4R7rTFLrTjXKyL+G6QNiNdzfJd4eTXacrYDNdN0CdXWKK29goa8rTin6r6
Kqxk6Z2GMWh9EFurJdnSbax0YMNjuB6mk9qtjfEeW0dIbbPascOWOVPvvYAMqABADZQoIvLGXbq3
AP+LpiUrUGpRjTDstnrh84SOiugGo4EoxovPhQpe9XVXozYC98jYY5U10kTnN7bNBZsIR8shHocs
jNB8j7thZL+M92cCHxmjhyxB4cIEui/KcBFL+lL090DotgxttvWY+111KvPSlfPrLEfbTF/Ouag7
USnaE1RlNUMjnUjRzRBUU+szH5N/BhWwEBpOJmDamw+L+N4rG2ncYf6z2waQauNpHRZc9nmbR234
YbtpWwpO4Tyq+7C+je1pyt+FzC+ywjPl7Bu+drRiaXw34QOV5HE1ttSNYuGQEeSjkH/OBNGBH9W9
FK9WYVY3Y6agG5Q12897qCp/JLRiOhwvFHZbQQydBkMn17yd0cwVeeeMcs3Num8qtt/boXCgGbqy
iagwd+Cy8anVE/vz6aYTf1RTdMSYbb+KIqiafxZFfBuK4bGYuFraxdeFtrGHmlO3VP6FRmSzOMR+
MQvvgtTwOCS4D3u7DzhfjHbZjoCJYmg7q675DYXq3M+uVPH5fEztatDhQ8qYVjqGMWo4b7L6psT3
oKJemp1urk/KNNlFfHk1yyVhpWRkuqUwO/20XvLxKxEo/jHohm3hggzapohsQGaepjjbo+RZKftS
A8friOe6P7dJTkVeYxu0YrDTuXgE/ui0QUHzMbzn4HAERfN7sXEi9XeodgtVNktI0Dx8tiBX5rwX
pMod6hN+PLQBJ11Clsv5WySM5sX2mE2vF9kN5K0Vb4XAg9tqp7OybzN1PVbIHyIninSoOsKKFwJ7
Ym28Dgs3SbS4ddej/opnNmQRG+u7IBl7rT1qEvFHo3Gvw3uWZPZIiyu38KgV4UIq1EPtRT+hIGOd
ap12rlaMZ0uJflTBOpfVRIkIFBeMf8n6g2IQEzrzsMr1norJpywFue1QHL9JXOWygNNUi3wlrhy1
UTcCQfQttUyZ/vW97kXtu0gFMTEw1ro3K9qqwnshku8qfI9TsZHFH7wudjYmtoAi0VS4Gh/E5/Jy
U+arwXaM9b388paakj+PzWbqBncwOTPHJwN02zJkrxAzh7gPwBWxHS3gGaLZq+EeApFaQ9qz8yba
sAR/Iyn2LYakVbGtG/5wAtmGdKMddmGA0FXpVN4Z94ywxyC/ybMGDOml45IQr0S9A7xeiea3SDGY
d+9t8yg1vjuoBs09SoFNUn8SwLHP6/AWpC2HwWvHHoFTG/Fr9n/kUWL4jCih6l1JdSsudjZT8GUQ
+XDx0ZeTTbeaoBIQyuDUimp344fcHiN524QSV5GwKTsMgKHDeoKtVs85eiwhS3whvQjTlde84IUd
GBW35muWWPfvu5OmvHIkzW1LBwMNwIkVhW76DYg8X0/mBhqv48AnNYLDV4TyJllvE7yq5N4B+AYi
powXIkOdRBL8cGjcpvo0hO6QR9JKJ1d40JRnwEdNAFFR/DONi8mQqsYMXpSnqWIADYe0Zsd0cVpi
BazpfUy2bSOtq4nNxKbmp5l/Cfn1UqJyu5y4D44yM2kQZ4dXz0XVwk4X11kDd1yztZGoGBZUc1HF
fIqIjoAdz61XofJ3c7GbJNUh0dmJ0uUoskkM3pbDuvQSo3Np9Wmlcs6tcpeajJEa3Q96SjNFPAyL
fuOWsLNIcDBQ79GdN1A13DQN7L5GbcG/DJYG0zQBnmbh0Ie6VcJUSrvEFZ1s3a1MbVrnvOBQnO4L
NtiF1LV0UrcsSjEdCPeNGWxIWthg+nmUaX6Nc4JddMmeXnyxGVshwklqwerKMzdq8HpaphtnLGLz
tlVy6xZ66uLuYkj6I1Lucrnk7tQGGzkm1Ka1PpKlpYSW1lYKwie3LqL1qSXxiYSrUwiGudL0zcvs
zd41D8a0ntWc3lN081IkvEy1lSTepGLg9cHM7qp5TQzOxpjE5iDxX0D3TDY3OvBR2wjnkJB23Vel
4obAoYCzSN4Hdkjt2aBbqGeFt86SoAaZmc7Dnf7W5bgqyOsqhxgs63RfhpZYwMIW0hrjqrXKyaxX
e+VLSH6I7Hmww3nLst+mCL3ZGJ/TKHMfKcdQj+xaSXZiFJ7Gsd10mvUXTtaTbO9VQ853TduzJOcB
JGWYvrWgfLD5/Ix6/9sRiWnqktvPRG7M1faVW1FXtU1FQ6zBoyglP7Ne6qhJ0QZ+HCVi8Zu0x2MM
HkPNdzD8jmVXP5q5QXbap2pHFAsss6K0yaFnP0YQhvUSFlsTXSkqkdBR0qD2+gj+F4BC7kLh2ooD
uq8CHEQA21qDa3qv8vOgf5L3seXATlbaLMHCCj19HF11GracJ//SmJ+Rg1esyl9i9E5ppKJMZgxr
edLRHhJ+DpMSJRsKAs/VA5AEJ50I7yW0KQ1ZTdanv1L4Fy0ouGZifCxluu/kLyqgTGcgkf/Mo8Es
UHCiiUV1DpNISj6yAMVEmtjuDgkmsBL6gOmQyM+GV25Kfzst7ejpaSRJ9Ak1HbLWI8aQ92p45omY
eCnFSO4WYvkb8tGPvWhjd1lnYduuULc9Zi5+k3frUtcceKh2kn8P2W1SaZn02pMZcI2BvmmraiOp
uscazAGwyKkpMyep9bMC+F4om+3Sto4xqb5CBHU2dY8BOlIhBsdxqVwJLZU7aV9JtWM06GtVdJaR
NMxc+EXKfGjpPbF+4vqeCADgA41x3isfZ6TWbR11Oc2VRigSGaq8wY4qflUK91kKo1qTGsg/FCyZ
vNOQD4qWTLe5cUqjwEcLtsAiQYE5xbiM3pAO+zgm4g24GzndU5+wNH1nvEWSUc1HS7JPxh5ZGJ/i
7IVBKU5y8x6LNZzj6VFGnTeQTVcV4V6IoQVCLG0G+ULAzFpGmh9puoOBzmiGgi58DzITU5PqAZqV
FkNayqJuywxm1VChqXH7ppC73dH0N2gvEmVTYXo6N52ApV5p07+MIq/h9CKgPkaQiL162qbgeWGH
OzWwLi0MODcm9dBn2laUUteqFBZLQm+hTeq1FelEq1jTCEC9oHwBP+92UW/cdLzxCf9D9lLiGqtC
yyQYXU8Gjigt4ocYmKtax00x1S7UI7p8kM19+iIKCCpz9F66wBHaAlr4TZf2X58M/1KLwHtAXQaw
PnhtE9yIVaqk+mro5282Qi7W1B9Hfkoyo8BpFiadiJwiHzHPmdAGg4ixnObBL5z5ENLsNuZzeyqg
5p6iuryz2e/lErt1RsFVn9es2c+j3crdZ88WEvcmmy2Eo87ulCo3SJk/gIkfQpT+6mX1QIb4nRYI
B6z+KF49AoJkZIt0C8duxeb/v7EHxzm9LLu413tXAdvsCczi1kWXav7IuG1uNId0vmvV9ADaoErT
ucMOwRu0J77mpDP/d2pV+FGU9KwTUuUvLAYVFbRDuhcHx4ZujyomNpNkRL9I1bs8cvjOUI55rGvJ
t2YDWbVHlFSIC8VCW5dvJKchfxCA9P8BUbfyX5X25ChlChP8YSR5bJLRLQkpHQhSBUwuEQfbVFcC
X5HZRd6s3uBA1BQeFU37COPZJ0Xq3BO+Fi7ltmvEdQQbui/kG4M9JkCKL0/GERqz4UjSdA711AkG
9a1RkO8LrkJ1rP+I+biGofwIzfi9EoNo1VoVp60obKOmuLUUvatcyf6AFt4Ji3qypoLTJJ3vihjf
80bVyUDWucrLDyOG4pdK/Q787x0HDx5zAwAzSRypEZ40Ez8LCwvbPpg8vAybArcBorjxpvfpfhDa
czyPex12NgObNV7a0k/y5RmXGYJ3F93kyHBIqrOtQQBUPBEGhPQYVB5bA1/mWJ8Fiay7xDqLE6LR
VFAd1NsgnT4AnO+rskWBAZWEJKlExgYn0MMkwpFMt4sm0ZBWkox7WyTuZFoYOsrexAJNM462yRGH
HnJnMXkfq9lbqbJZ0ouMYxt9PapMG9AouM9wVDhSn1/NMLwM8QQxWjZ3ZZv9i0D4wXa3cXm8ldHy
xyzkU62hyYwkiCnVc2AdJowApiipdi2V5TpPjMr0JQtWgp7uhYATR8HaoSsS9VfwtEbpokisX5np
iZyUx5BFB6gbX/nY4FWa9g3yJ2TATVgulaf0vRfISAE1QYJgo9ulhz8nHSG8/aG7Ok03bXAvbVpj
pgtewGBNLN22HSVFTqET9QJSoHhMme1aFTzssLqkJgiQivtViv2mMTevDPhcmLZCKq/xKTrsm5I0
2lGjMkUQZHMvwFuJM/1emwwfZJZ5kApR0WjiWKg8zXJK6xX7LazwaC5J99AZ0xbQ/aVthOxjVtl6
IinCtCBZMPxh6iOmbwuAvIKxeTh817HySMd1B5tzYkEr5vaTGRlmBNsX+mFoqH2X0EG/OEAD9vOc
lXlTPuladyuicjMN+SVJUVKoMkOWu6B7nrP6N2btaNACDloTHkipgXUtLuacnTiZ1nLcYwdS3hvG
MUJpPPpUWBPwayzvWvmwxP4mioJXVcGnKYReqRlvo3zGnHoMlRmkerIbmfSNCcA8WgJ8dvYyG5da
Sd1Izzck2W1LeMM4EBgam9XWmOd11pW2Ze0L6PagkJxlbp0Ohm1AHVhYsS/DcNVjsIl1z/2uOl2q
78P4n/yS6YR6q+gMuKUbCc3FTEhthzOE4UMUKUTKUWDxMhYBPnKLmZnFz4NYor4tIX0Sk73SeoqM
hxs0A0RonueZ1RV1S9LBoTChDhay03KL9nrli5gXxOAXuqs3ZSoQVcHPeyqRugDarNs48xGNBuw7
6OApyt2rNyq5Jan3+dL+CD35ygRMX/1sbhvjIBpfTBJtCyZnsKRr/F8oazMvdvVH7bhppLucF+ua
P7QlACSJ3Jc7usl7Ntu+0uJRtXj2ZvVDmfZzz1dbM2fAxZkSPxIlDB1HSmjidFKcU1wt3swK55jd
YmCyQCrRCAz4lkzWQLzhsVkFRMck7CMxYVpXRAYSEtC/yXBqSaHZTNm0teboFRJiw4ala2swEnQO
SVS2qezN/MNEUW9LpsALPhRpH2YXaSHZjrZOKYdV0CCvZyM6SUmNRghQWXK5U+UWRJTzWK+akQOc
9bO5WJXdtz7ccV54vX59SU292RCoBKVds/ZWLq4VUbDJ59011P2lmXthwYHff9cSKWsabGF+9fJt
MOcJRelH7lmVTBYkQ6ZrdcBkucOnprM3KoX/pDR6k7TRLeJkHy/1IV8iV5u465tgU1i5a4YNg9a/
kJnQWF30ofkWQjLTx1eCZMIol6gEpCk8pTsAory5pJvCiDcrxceW70zGlRhxm0j0lQmKV2zZaB1G
cpDzjZrgseMtNtKMJv2rj565OW2IPOK0X1y5wnz4qlpm7sgWGXygRCVMPccWiQtgj01sG0ayswwc
q/P8yRHmcIPv6zbci4yoMc2FyjsmNWF8DkbCqC9xNDH0ptZ41Mn0VehGRA3bbWflIRFywum4FZkw
tIl4GPPE65hYyflFGv90/CohrcyU7OrCfnkbrPYAGofX6ipSaRHCucrKcl3MgQtIwc20W8Cwenwj
XNqeikOOGK7zcnUVEaOxQAIMlvz7JBSPoBH/SV3txaVOvmeJk3boa8RL6Vksr5VG6y4bfFi9MK4n
ufkbBfk763ZzMjGaihBTozHgsEBVS1Kb+J9tm2kr9JhMOBkkW2K63xOBYsMycbBfvwhVNPnt20JS
0rK8Jj7Trqj4cqExZ0zGQf+vEiVnhfd1G/bIas0KzBUIUsqvVhruJMTbkzH+Jarl5nq9NZmF8KR3
PIJ5aRHYhfu+/uBRf6SY8Sq+2pgh91jHV71VHsE081qibmuwpYrAD7lfshiG29CsLPXeZm+Fao8j
u/D86SgMuypcx90+YfeapbrFWqd0OQldAr6OGazHPmJjtRPXSJdtR9wFQY62eNLBT1rvcn3Xl/d8
IP5UYjoFi1r51RiNmFtdOxtEQaOWcH7Fmd2hhXYi8va5m74Xwa0td5K/pPkQwdRloMLIluHvfJa4
2Y2cZDdePywAOGoo59oRNgXRQJyKSjHY2r98fs9QT9pf0dwDaUEHkM5pD2DJB63Nu5Rlm6T9hpiO
sxEPOuBNxlnzXa4ZZOvXRbsK4LSlbBeon0SGF7g6mNbFeuSP4WOCryPh2i3tUHN78Woq/yZY+g27
LkdhHNat8YnTQRwcGUxfbvWbUF5wdmbvZnHvuDBBSLuxedJoKLVyLU9+GO6U3O+FLeI5GbNumVQ0
g746EJRjzqcuvVF52Wq0ODzAgcGI+1NoLnr8V06XWvPr0ieaRUuPr33bfFVntsGOb/sjKLDNn3ru
GyI5WfhSvk3C5yaWvc1p1Q1+puzHAuGyumlYv/ILDoFE6G1pfIyVTWlXaD9xTE+012raCaFYpW3q
x886wNkJAehlF6p3WnBvtA3k/8x0wNbK9QfdqwhDAXTdSmg9K17cpnxkpU+UEhBRF2NYYW5Y6W2Z
BJurHJeaIDDhbNwiuC/TnyG507mipzLqY6Y5k3Qt8D7isDKMw9ww/33PgCaKoyuX2JpJ/nh0ky80
9z4l4gX5wDws46EgJz3/ElvVqWc3ZsIvR09tAA5Dk1Bwaz6n2M9i85AP4UYXzkPuldKwwoN1Rkbl
rrGDW8jqvuJk1rmfEhT7NZcnY3YlprLyC/1zUkcfW+CqK7cRKkXGL+rQhgQGOglUYksJ7RFHdnqR
pnfMQV276aOrtax4tcL50PwrRlZXQMn6PYAX0HdKhrfrpJf3Rva5LsuRYNqUX+rl0YYUkYS3p0Oy
f6+eRXoNNE7Wb5qcjc7oDHdJgPtOWQcCwVuoLrc2PfOkGOwbWMoJ0TmpPH4uLQlI+GWcTd02eiFk
g6Q8GA0COnbvZifmT5mfLo0uafkLLhKRQBXOWnWEGYv9M/cieZOMm64FHkDMerydZ7dWfQYpA5d4
NDiB8YNVMzbWChv82OvRoPcked6WwZYzHH7TuFP40i2K/7SdVwzXGYeCecBKBUdeA6Mr8lklO4n7
47vnkgm3SsHVe5zMuzBAm3JwGEUnAQdYlpIaOPkVIZSpq/Tu1KxHgYXf4tDOFwX1i6UqLGvLYxLc
4HWsjYgN+WFgRC12vjZCnuud4StcfkheiqM/RieYoV0xxlmD+gjL4X1czpDZc1TeSSUhUmVcvzjj
69yrCBiyOLioC3Gfy6ETzZjb8IyE1PrixNThpjW7Yf5UhOeIk6ZUfxXomBFjU68w3IJd69l0TKqw
NjxI/UbBXYEbMOLj4AFJzbMU7qTyCiPO7vRjPH8nxb6R9/kU0CwcRJjIxveM2m7wQkdXgrllpjMD
2eIn03qEmSdEjo5MOv6lvP/KtuivVu8L4lqX3rR+n2OHotCyWGOPQEuN2y5tnRmTW0qp1K2s+TAb
j3hcUyuVulcM17jfj4Dvta+s/TAqbwhPafKhKV4c0HC7mnGFjct+VJN/zTyZqs9/gg6tp0TtpRvL
3ODYz4bcSdVtEu2HgVddXU/YFRbpfSwPncUgN7Ax68zmpsSOzS4E/9iiPHsCfsl6aF2ZnBD8Ucuj
MIn/Fr/F+cNod7N2IPCp1U/z/DNG/zqRlCzJhhVSwqOGmo+9B1927uTifhDhqYif6OF6ZitQ/OiV
KCU5/7STmdQO+zs0/dcBGmG/BpwGwR7gQDmjVg0NuGLSPbIzkhZ4vl5lO4GR8jcBSEip9vLBZsfL
tEPFPNi54iJZGaJb6t/kdzgN1sBeOOXhI6/eqwhdmWnNkC/HpPTqtlv1aIYc0Fb4Gcn/YLcV2VH7
/zbapcxJrbul3BYVg7CLLk8m1WaJWA/O35rlPWQoBeltL8eREyaXgJY/Zpc3HyBCrruQuInNnBz0
cE2sM2x/b+jfZ57rKfjIzN9R/ImVL0IPPDJNnTZ8dtWHwUDGukyvtRWUXXw/IJg2cutPIRyypyAD
gJBFW9DXPHZ4151JuafYOBuVv8XAB1Leoh8G5O1bMo1bcyg8ruR22OflP0ogR9O+lvRdZbCKuSj/
Ttg4RipZofk2IadzuV7qnE0nywm006TLHpNE3PfcwVF3i1LDkyZsmvNHOHxow+BOy+R0WeAkeOVb
hVVWEv4WYd8tt4KDa0bpowDMJC+xatxXzAbHhxUaFBCyG5qkWOHlNGiimgJ/ouam1bHCC45vJSvX
4xto+hNji1I4ESMgEKgsKXcdNJWhHphYKES/fSc8h5mOiKp8msxKBnfuWA93O8ZU+PENLEDA4uTk
BlS1TdmJOVvJXQ1OenfFmZElW0W6661jdrsaSwsjoYHjkkOR+b6IcckNX3T5dJ80mldY0FlYjFL+
JL4aBB07zHZye8XpjUHhSuQDflt/gfBZj5O66rQ/PrwoOalY9lXdJaSLiuqDPzfek7W6wvxjBccg
vwTWXVQunbaRpOOon5vqSexnaHphTlb0oSHbUXbjxZlEksXiFSln7Jzh3yj3QsikUrHlkHE7l/Ma
9Exl3Ivqg3BFEixExwQoLKA3Mj0mY7THhtJxB0sY0SJjO3RHs2o2SfcnDF9TeKkQzycKYrYv2pgU
a9UdNBe3TzqafKmrNGFKLDozTJvYFa19rD3VXlrVfeTFlErk6uBL+2sZBg/mhccJ/1XNt9hsBCpp
9hqOMM9d+CaMKtl6XBXDXRQuzH+s4vQyuQbI2q+Bw6VgASEWtYNiquu880W2byRKsF8R81722Rtk
czCXW/5J45fF5DsidQVurlk9dSQU0S1Ch5R2gQaMgpCtWiQYNcOwPpF8LviFdJvLDwuBPm4wXien
APZuzwhaCvgNHOcRtwaYmPjaRe/yM2s9lTDrKOUGloHjO0l6q1pm8t3vkl+H+avLtg3WOPSeSIXy
YpFeel60nzkBH3Mw9X+vlaj2PM7/GKjb0fyuzhszIB2TMpR7ghGqMD9i8AoRDac9ssqqIiuZ9ssE
gYNO3vTTTsShnyg7XAjW9Fd0DEIFOtnaZYwG7fwQx4mNUo2JzKHXgRo0w1xW1zW6P+ClTMJ3jx8z
bI4ChuZZdORmhvv7wE0WR2sBi92EPk1KGnlxzHga8qelyObYmgk70++h9JHTv+Kh6PHfjOlf3vxb
WsGRjH8JZ5TMkBcduRdgHQ0oTQe1OksQoCKdaoHHYkE3cTr5ZwIgpuWylySfI7pKLfs1p5PIVqPi
jsk6qW9m3/HE7KSKW3OkggGWw/k0PtkgmFVXXMii13wUep49Rp6FcolQ6+q1Xn/qy1Gw0HlXhfAB
8UMmMLCg9krSdZdsY5EXo0AsIgSj/kqTkxQfyaFZRpLjhg/2EzAqsWeUEMOBJkBDx9pYBCFYnWyY
3tTN/aorDqL8U+LT75N9j/rZeJg0VjOPQasz+kohI/8l1H1S+kLqe0Z1VvBFNdMXx4bOb9bcMeRs
h81DPBUz9GeXrPvyHofu3GOnVR5m8SHT1GLXi+qbIf3J1bm1jmRUrjoyTMrapm1tsZHLzwC9gzUE
JnwZxeUFBnhm8W8MdAv+N9VxTH/ZoXZS/MnLsZQ4Qz9UYQ9f32F0GYs9C4PSquKwJFnezkjH1NCS
jHVhPuRmhV6o89ETkqAQax69GcY//AQrK7iA119sPfTq7NgsvyGJdzTBHesvxWeGobXqHmHE9c1P
QdNvkZCowQcVuMLhgV7bAX2DhRdveKt4AhqnxgDSa3ZNorWGjeEVGuDo7Z/aelm/kWQAx1wiFg7C
9lgYzkSQb2u/3JsS3K3F0UKu+pYvQ9tNHI0BLQKSRUgIzsy5SD7wsiEVW5j3SXps6HCyVRSa9hj/
JiTrqn9l8V1hYTEWaZOqv+byGX1ruCNIDs+Uz8jKPe0VwtP5LKu5zeuxfmL3NAn6qxyZbsnETJl3
12T4HDATqRbuLl8yD/N8IjJB1z1thhIa+MSxiVid49HnWJHEP0YnmXAIhG0t2NNwpQ0ZmFI3y7FP
GnpEqFhQrbVo3dfkJSWxmwBf19nroDuQpF89PBj8mo4xaK/g2j0Rs0Oax9qcfT189sFDQYQuYBfr
HPf8UZyjaupZy2dWJQysf9QIrDios8Ahsh210YkHRl7RcIiqtchfKE13qeFay0HRb+QqWtVZDHcB
w4zgob3hnOvIkBfQ2+5ZCyR59oqIposp7ZeKI8rEGqdPCrLrtf7pep7wz2j4KRUb8BkouOAQYnCV
8FM/6Ef6F5xtbZIhXNs1c5UBXQ+Hgfgp6b9JRSPMiMbWhodR/TTaTUk2fRPaer+teC1lvwiu2nKM
urWVoPAeJEYCgUoZ8vqKgWyrV2P4SuKvElPcAARt8DSSeNI/ObB55RkiG9NjzDZasxEjjnX3lYZh
eCMrtxOM51WL0KdtuMQXnX2TGLllcVMOU56OudzQr2ZEdFhO375pJvvg0+fC/cSnJ3JQpwfAZS3u
2JRhrH6lxRuCvxRhXR6Q1bZBQNgYS+Q8T1bkpdUFYyqKrp7/x9F57TaOZVH0iwgwh1eRoqicLNny
C+FUzDnz63uxgRnMoFFdVZbIe8/ZcT8vVXLvYfESehckTU1I2cYklX/2KfTDXRTROW6ooRxGzhWa
kVXXVy+meiJBnijQKL020w1KrI86Xqu/BHFdXwCgLL4mDsi4j1y/oUaE0rZT0hym9k/CE1dzu1MJ
5MwdsNTXcgAS3+MUEYBe9SwKfisgTKVaQE8W2+zTCL9LKdnp5bcJxKostgMoCLswLjnLCyawVVnB
qHNBIcWoXcE8VB14H823x7hzS2S7PEqwvqja4+5L8FHTtNs4+/t/aHtI5ltIV7YKfO1kpKY1nLkk
NXPe/DOnJewuQQ3Nrh4/VQUj06kDFSTLzgzDE3t1CFks/RB+jKroiPFZyTyruDTCueeYFvZkGICL
HeSGmQK1r8Zxj2N9P/q7SNuZgzP8ysaqK/9mOV+lbeKYKN4HwHNWSx0FcPKcYCXC35nWWEQBHcNk
Vh1kBUHq6CHywLwMkcory1O5oavEYMOMtd8ArFqMJVt8Tsklae5D7jUSckjPV665hQrCugaFshJi
jWuEAQuda08FYVcVTj+iNF3iRxA2YDWr/yn6Xxd8aPNdC3r+9gQwLiseqIYQEhXRiLYvBccgs+lQ
lHCBUSJ4lJ6wSwkvX7cL+LZQsLD59FgFUOxCKuSZq/4tfIVCTXxYYNiY0QKtouwt0dcyTa7JHiJh
0KD4SQv60JrjbFzDeZsEx9J8plRyMT4KThu+KjblbCSQVFmJF5xfPBfmBZ6yI0Yv3Uz+uFK6Uy/8
M5RT9BSof/WxOdXIYqBCYxXxGZR52XDXnGJkwyP9Av2yWJkN1x0p+TUEggcXV7w1gOVtHNnYuAXO
ksCzrpD7mIlEYcUIZtYeRKqNIBc7P7+gkZ9ldi/ExdWHu2HdCi8iIeN+E5LnmNt+MfHQzOQZXHPE
BdyTengUAoTbf4QTBOM+wI895iP3zFqiMhBGsbz7iYkDCXv+l6rcy3EzwRNgClQBrrEroZxCJSgO
+6DgvUCVtJqOsfnWQZb4WOWY66oH6h2Ferv0s8ASVU4IOv+JiTunbCBek24UC1W3woZw6lhZT7hc
2/7at1AywrFLOAKdOr/B0wmjRrk2awictORG4ZboilU4HULjM1a+QvW9mX9G4WYN33LpgeMSB7CC
1aShY0X6DTzrkoL/Kcn3sCXoP7ShAQD8EN66TbUnNRQXhm3RPQ1LpkW7vKIOHvaIHiOz5W6T7xb8
d1RuATBo5rQNjX/ww3hFOEbaolneCNidop04K3cSucnIZExs6xUGmxXlP1no+ulvIbsYdxm1JbTj
O+NuIPwZFqf2j9gfq/ZUwAD61R/VERPJ/lSDYT+5caWwDQfqk8RKxtZM/eXj2lB2hv77pxTW8Tza
5lCiHL9yiRBXMEv7oXvExECigrHR9VUghK/mK6kvUXYak3M+f6uIGxSYrhK7yi4EXDH2WnVdoqsn
buMYTgilS79v0KgAfShYDC+lejNNRrPak7VdSVPERIwnbG7vBeWlD7/7JOBuo9ecXMQYGbIZIBEY
frXEw7XRm3QKiAQIZBf6mFYDRGNo0sgYvbUK03r2Tx33lXgIUz4t61VN5KyZ6OnphzuL5UdTUOQ4
nFDQiyY3xjbinSsGrzHlgzFckngzIhpJJXz6/jPnr2ClJyE6LpuPujX7LZhZmt4mCfOMdlZ/Y4nC
q+Yq9rjbRbxD+0w3Vn7JG3dIYCjELaXPDFYmnqbrIF3Y58rkEuHiAka3dTYo+aT4rpmsDSJALTpE
BetNHj1sWrn+UzCFcyfP9JNAemDs6OAFWnA1hbSMJ/WlOJidrPonD2uEaTIb+MQh3zXNWuR/W9w/
cWaXKmlyo0dsaZ3xs7EhBE5UoglO3hmaRHhb//9bfs371ykwfRLXBbdYs6D/JTRZo10zzWlFcx+O
Xxku9b7sUINz3aDya1B2P/rxjbZD10pl1Fd2oq1jFY2E/yv235r2lhlXHdUqsjfmJbCx+p36NqW6
QJH0yCmgR+ldrzm6qt2sR05alpssAahAa9H4BR0rR/xMtKpUP3qUffn1QUvvdEVSRbqqOf+YFl9o
VzT1j3JkOD3XVPcp81DjgXZTWUigVh78IxyTsQE3NL1d4tGfL7PMV0lmBriHT2nlP/XXmM6S7urU
zGX4F/hU/qw/bYptPaWjHMXxdGX4UwBb1DcyD5uEp32j99D4Z732JGXAMb1uc3kr899udIMYQx8S
7qJOPKtMcBHVb2iSksiZIsXhRhxLbRU3XH91hJuWs3yy4/yrjffLIBJmzOuDtMrl3RB/xjnpGWiS
OcfU3aQ+JTDvRem246/XMLZp6lZEBbfNke+aBYDgYfxo262m2JZ2gB/y+28zveTEq5LikMX3xDxL
5RPyDqGsqi8JsRweJAKLDV/B3soudX+Ti63Uu9BHZaqszf4CwK2Yez5iPyJT41Yjeg0xvs7tzhAv
gnjqufUR/sDdmKB1cvIzSJgpUIqhHA/K4xBUaz3u7bA7680pAWSXmnPUHaeIoxSgIYt/xOVMOoAd
te1yx1KkS4zxVjeZZhB85Fik50euvWStBHSjKx7eo07epTiBR/yBqEQv9gpoTEIPh50C4nAfYIAl
HMF0xeHZdkf89qsmh4T5KAsEhJx6qsZXexWUCwEviPegKdSL3l9Jqw2YEmT5rn5U2mMevmR/JVfr
nh2muIXp20LMEqHK+akGpNSsw+I7knwv10TY5fdqfIb5bfBvusxcwgK5bav7RAo1wclWt+poCkb8
GmJsWM09yzAktYB6GAXUcPEBtPP13EFkoi1Itz7oq3lNpL0wHQfyYq1Ho6pu2Z3bugH8Zej/jU1g
F8lN879UVI6tBu4F/I8a/hAro2OZw1qaSzvGYemrrM5mgQaS/F3Gw0o1bJk4ZIkYAg9eGMtTyufA
2ZFejOEWS84kXiL1XEqHjljgfBXnNdb2daYgZ4xts7Vj5YUqmjydqq+c/o9oiAzQl5GmQxmuAumU
PPpS+S5jPKQIsAkPObN1SGxB3UQr1X/TtbU52w0ayCb6sDh1pumq5b/40wk6mZG6wY6iqJfLM7R/
VYQIy58ZhZDmxmdG4nxuuDYW584pl77JZ8B3GXSHujr2v7M0EcM079SSsIvF9/vkn3g0AyFQ56dB
N5GjlsDvjf/dBMmOXuhTeP417hv/EVp7kS+I2yLUV238r1yOKN7yOv7Lik8+VHjhPPhsgeESiigX
LQFB40V2kP+mAkaWmwjtqIKuU4RsfpA+hr8etguKAdcSyMPO4A1TQdOuhcXhw3GFF0r44skkjMqY
4FddqfIs/SYAWNbynkZDkZeuwbNayB4evgTzY6whl1ugUMqG/xhEKFoEJLKVwqsSNI0OSuxJ4PYD
eA4ISOj6ylMG1qeHUf4oje5EnNLgGyNQxPDF20aihaL+g3Oosr2ZI3VApMGbuge4smLqqF/oRtjX
xtjNwf2K3WTsLOgQfGmJjFIbcDV9FIpriDeDHyQ2UCqeuw5wmgyklJuwX8M9yM+wafeW9SmljzoR
AdhitzFjezqF4blk3xYy0tGZN0KzW9fiOapJKy7/OgQDkqMY27hAGY+SAVVh2nNlzs9Yf8bjZfY/
rNrNs13QPNuY8bG4hi0gLD3Uqoik81OEnsgrYIG2PbTYDWPtQFtbWUbQSvc6KTG3s7CIdwPuOH4q
4Rs+alOEZD/Rx+kY4rmkN0q6IQ2wahyvF19zu2XPkC/K/xPvQYzeRo4mU2f/GNdqOW3gBE0Cqwu2
ImS3rLzvkfGUQeMmCZSIn3lYG/G7GJwsLDdV9VfPe59PAJzA35MtwL+lmxw8GvFZzJ+AcIU9+b4X
xbcQj1zWfxjwMz5yF/1polNEQoyVkguW3HEx+RSCq0yZfEUd+zWZ3NLcDqc4O7LAEA8yRO7M/VT8
y9FSFckWLyMo55A58nzNyIhUu7WIe0eGktxBb6WNJz/QnSm6N+ubtrip45q29jZdjwpUQQPwjMyy
6L8yFClBfhcqaGagaP0MTQVU2UNx7PLxb0JVM15JU5DHrdq9Dd2nnKOC+SIwzE89BeQ6qB6DRiaS
PNtcFGtNbba6ehn1N5EQCJFu9ARTwo0+PQagtUYFvYbfxVY/LLY6q/5H1PSqNB9peUpUZDNbZfzN
fG8xpmiT7kiRN41/Fr67DDEofwJeG+2Ujz4LByKjZCfjk06Cb5QXGWOEjsBow/hLy/1+Hm5Kitw9
92KcP0qzzcNvVLCRcUuW9WZDWIGvnkYGaz7gOP5X99/oq4geX3DOIDuOhIuAGoWGW47s3/hL8Yr2
6Tk338Th6vPZZoj4VaT4a3SssDswPGS0DS7+Fz9aW9qxhZqLwZRrGw2cLX+2rKYhtoeeaj2BKJCQ
/i5U/lJDlNCHKdpytp7ISRs2qO27+GYEe2x/UfktGD8aJDaCQah+leO6iTZhZFeRrcaerN6nmcGx
RT/wpkbYfd3uVcYg6pcRDXGLskRcbrZujfthCK5VwNaznZRfJcFfhZIVABz9CAtil96b8Nh3HCFk
FPp3MAzVqFZmcctQ55RYv9wsojUQ6dSlp47Nyk+TrmDb/4cWatMMJSquhtw4y6u5Lnug/jm5mYtE
vflUF6/Up1ItsC2tAQnwta9yh9Nq/yyJHVJJhI1YZSFrVhMDuMIAkzBFZfxtWlG8t3/ReMhrN0Nd
07+C5DUwclTRRTBgUUfy7ieZnw+DBYED0qu+yQGk8LO5pzF65IOh85Kyc3L5qZ0riIdu/BSEwuMK
YJgXOVTaDUszCSO1/yeDItGIq5z0mefbq3XyKNzpO5o9OWTEnz/JUxHg7YfxW9UfITmWk/8pxFhF
jLMgHMzxSfUzPvuoXwuaS1p1hFNEvc8FPYIkSXkNP4jyEw0/PXElMrNrOuwH9ZXFW2n68MkeadRj
IDkx8uhlrbG7AUsQyjHzWSCkpCQOE3b2r3lV+WjXKMAgsOTurqAOKXkEWbrSaD3rR1U/TcouMT6y
FGLBQ8+NXEF5gNH6+bnNHZwbDLGOAJiMpnzmvTQxSwvPHJbU4LafzfXM86ovDc9wVuSfCAbGAlCB
96R+Uw1AuK85Jf7B/6dkB1HbqwgTsEP3qAjDB54wZXzKyj5PmUV5BKL1skzXtaeGR40XI9Fdc/k6
f5Xi0Cx4XLPHRZmGNwUbmMzgMjLhJBCLU3Abq3uZaAywXyYpVMVmkd037NzdDokJ5t8syFddsBuV
T2kwEBs7+reIqJmMlXY6x5gXi/QjzL9j66oVO/UjaG2rfl/KMUiWVHHSAgdIGVJyRIYynyeDZT3S
0SCsAv0m0oTcVOi0Ui5oNmNfph813PU9cDFnbVfYEoLERVm/+BXboHM60ZsUV0gufvEs0FtO6lXD
ExCj+JfzdZbvBdxZpDaotvwty57EGkf1Q4L8NxfO7I0ZKm0Bv1rzUxHtCCObMxcg4oNqOFvdrRn2
dXNq9T2l0eQvGZ8t3cuzuKkN2mLQcRGxNLRON2SuOfWEH+5n8SD1v5VwK+J1JB/4WFFgd9MGx8eq
/hIW/qNHOwvwB7TZ8SCYWNa0yDGrn8xf6wMTTvAnjOtB/QU8Tn1XI8BBkdi52HBC6aesrJWO5KYD
gFA/EpnuR3CFR8oVgfScWux36ajmBII9JgUNTfk0hPeeiIU0uJnNBZsYQKTWv9UjMT/PxDAAOFkg
Om9E2SANpDTgggssJ+B3Ria4nIHEB+JJUb6M5p7TsSGkxz45Eg024BxPKdWs/uHo1MVvc3KIxqf0
+yh3riRYDoY9vsnfsTtHZJb1z75EmGq9jYxlgvwZyeVGT68TRrsWVW7IX0WRC5vOOeiywS4XuSI8
phXj5nHEYFOQryfKj9b3lmwoUi/njwkss0G32DG9Fod8dKlZQEx9lsmUMTy13pHXzwm+N5J9qJ7g
jfDwfVdJyasGTayZzixd2AB19Vh0xyF0xmyXlA69nAHeX3GP11AtPhuAzMR8hNrd7P4R6lAal7G4
I0/kMKiyA1dyHfMar6ea8fnSVfw7MK2k+/T0tEiIgisvDw8V73mTZU4o31S05XM8LBdRGXpTe8/b
O3p1R84PVbVtaQ2xOYdK9dNMH0HIVrNKJQ8XA9qQzLj14xUQ35ydxLhl8pEranjpMqq9dyKo7OoO
xQylAYUZcYcVNq4yc67sxW7eeoieVAlU8kanqPSZJbe26+32ne6tQeRT3c/VSzK5W7txg71+LVlI
2Z0ZlX0U3VEQFfy8QDnw4+h7zbvGbhbyqjUItRPcrDLq8pTUo9xS9ljveLBf+kGkFbg6d8jmo+Du
d1tfcnJjn7bthcgyhxZ2/rlxoW1nN7X4alaNDDG8wapdqQBSs7vo8qdnbQRIrW94mcWUscdNahKa
V2W3jh692d/7glcQPGCGXYtPcrwld87v/8h9aOre6SJ0gwEM31GYr1pHuFhG4e11HKFf91r6TfE9
1MtfoV2SkjsaKKl2TQQ0LbFj66yGEO0vSfjyp48WCTsH0kcU/tUqIlOSFiu3bJzZoouX/mOB0Y8W
GPVuLlclFt9k3WcMLiLEDqMgfvoCiQ1mWBjvrH8LSJx8hhGaWFUloOyK+ojlWEAyiz5sLG0dtU2t
vU/kdvQoey3rb8x3MyyG6f8O4ocsT+tAjR29e7EoT6WKvxB5CelQIVoMFRAqjThX452grfuHntkT
Pu5wh0MI0LZMHS73kgQ7FL8SaL75XRfrYf4Grtf6XwlFxbgG8GN/SqRdrh8qxsNRewzJfhK8kS9I
nkgGk2BACo0Az+esJdckBwanhcfgqWaV2uLcex9EgKeWgdYgBequKscSuqq+CvOROCPKelcYSzgF
89DViW4hT0moKF5Z93wGi1haXcfikl1HVCPmsIsI7FMYfzTfsiffSDZqdK6Q4bsxzmN6UrWac5Y+
vcDLGMZ0+WsyyEABfm9RzGVHuVwZTF4TalikCdWGB1yNT5q4Ddj9tURnKSc9oVqB+TT6p/SI4h90
3YK4jjVbDD6U+lXFf2pEduipgfEAGpTbZ1ntrJqeoDeZGxlzf7tXxwtfMokKqnVakk4G+HrLpnGK
6A4knqDD9W+peAofCoIRzZUtj1BVX0As6PVEYZF5KO597YjimXxSp0UNxWkPvrBILtD9c76UvAfp
iPSgf2JRobHsnuizq/eWU4/tQ9a/MbK5s4YbyTxNgS2oNxUdtFq0q0nonGlEysavzWUV9p8/Drw8
ynxE1cWHgZghF7pLZZZ2IULr+ERbjbDh4kaV71n9EQv1VmufeLPr6OXnGncWalPj2huvLsLBCSal
9PcJPJYMU7S00mZGLiDFp675F8TzukFUJzMYoBIcg8lTYhUtdnipxB2w2VqwAA5DtvXGFgipKBEm
qoxnifaZZNuuuNT1McB6EEXcdnH+SLH+W5jvKskV/EuK/lHJ1qQuA4ARSbEkxso6uNIibwZqUZ8j
dbv0WNsDgXKhD8bXyiuVXJWu31ahW8G7ick1R0fak4SEJcyd/X/TSFjxFwXBN6hCGNvm0PaJkzb3
rGId41Q0NXcM3BjMdojK1QDdiOOBvKTEoUmWix25Wkw9M9HEPsa/wS9RzGCCCTyDA7Gfj/Por00d
1QoIRtxyhrHj4G2ySfFdcRYTR6d/WVWymdTfSKfTi8srJDpKndx6girRZ5wvIC4Ozsoclk+dIlSL
OPyxTgGhjmQo6HhgKXvx5LgBNEM6Wxyxka1j5F35+F7kqjfHtzGCV+XiSND/YDBAXI11TNZsWcKW
nyyS2O6NbNAzMrOdqlgIMFP0rc235JN3UDfJCroijrdZOGwny20WU/4jmP4684rBCnfl1a85B2Fu
ySZT86slvAT/KzMP5Cza4/To/WsqvdTqVROax3Ywn/L8FMafsnwtiY0PeOFqbr1phIKEXGEcIaGA
yOCBDNoZzLCSM67cdzzTNEu/ieldbT/n+EOyjg002mQ+RdQ6UJ4xVLdW+TYVXlhCwKllzseQeyvw
MQvpQC7zbJ6ysdqEoF5Rc1z896WIiqv+S2LzPi0q2TDeE0D8Y5XMjOQT5mzVpCWsauks1iiYr0Pa
rYZhucGI9SCeM2nPoVnu/RoF4EeMWJ62m/MshHYY8jswG/RZ7KVghj0+sRbDCknKJIzJro79otQU
gkWWL3R4inj6rZ57Ri7WI7Hy8Aq2T7ZHrdM3p7K3VKrnI4Dt0Z/oxk9fQ5E1bcCJrRyKoYK4rf61
hMwZPBXElHFRqzCCEfFV1brqak+UuVQRKo49Q03kI830tPo4xGqFiuMu1T8xCcdpUzh1/V61wSYq
b6aw01pvGHd+Xp4jgrVbvhURcqpSWF77ae2TKxzVn8XyV18+jKZbT5bOXZDDhesWitVlrSK0hYRk
S96VssYX0RII2/b/MiU+NZr0J6BmCglwRqBid2CXgvmm6OcqNYii4YIhL0RTWoSnIz7qzklRI4Ca
6tRomy7XXtjivoP4iAmNkqNfnBGrcpmZQvTpW1XbyzAHSFJ99eobH2Z/UGOO22GjNum++pCZbWaI
5ALTa2todpB8Gv3/Zi0v4eaMGMI42ZEQ9o3ilETsGAmJ2UxugxASCt7YM8EA9ALwQNyzhAvCy0DT
dBO+cJ5BFBn+oDUPjbTshldVv0QDXaUgYDDsybCx0ND0mZ2pP0XxO4sJzv+Z/EG3hlluym/UjCch
/ghRnwsvk5GO+aw23Q6NL/rPKEBYBCm6lWoes33ZEgek7MTWETT5KAZfInw11eaGaAPSXUpFO1NG
8Myh6lhE1HzXBZyXyPFmiazl5KCFxNUDeopoAk1sO0bxY5ST243/iJhJMEfUCNSAY+D1jT89VE6C
uunFHaXB+yQ3MFwNTO4KX/aSDEZoADOZWZNWOd4k/UcpSA4ArIq2+F+a9psGMVI7R6j6HaEtCtDh
ONxjeYlgXbUK4JvmpIEXQNyFeH8cXoL2Ooc/xnRhQJaF99jESAQEYqKKSftHWZH0ID6KhKJ3bqua
nFx6JgMQAD87ZMObJScY8xjNEaLITsHT1PAlSNFHZXKdTItgGaGsSVKoG6ffiJ+D7taXV7UiuI+f
ObVN5ABY5FatgRUerbYKYw4e6SjSmrrRwfpAThDniqPAiG4C/2EKBAbKjsj5LZi0ziNrjAG3yFAJ
ISs4shLKCkihCreJtA01ncjj5+gjPiOhE9YKOuZX5Vmv8CMURuNqWCQ/TYM/aYqdDORvTO6WzvY5
8GndUb/W/L/K91TxIk77rN6N/zLi+sxJsCvkIssuC8smNZfyK0f9oanWocjRoF/mGUkHvJqPpObE
0hT3noRhqAf4GyNQg5ZywV9VqwgixjiwN2SVt4G/7U9RwksvmWUpE+vg1oBaajYSEecQH4kZytCM
VYB5KhXntWH2m0RintqEc0bGIGrKZj2V0CfYA5YUkV7zkL9lSAMDsdga8iNCuk/xubP8LhlgStHi
Y4rvLQmBwaZqj1O3E0zwpG32yIX3LvhePAb8p0LQpaxrf5eRl9UQCzO/CZGLlDOA+1F4BK74dMzy
ZkRoJ8eMUM8IoB7MgkgthZArGSvHhBypEMQr5s6jj1qFXgRuGNYgNt48qE5zshC6ZJk2k+iihnJD
LPcp3oPJMr8mloC277atleJSB2uSAGPDdMs7JUyIETF1XYKi2yC6THk0gvtc7UFxJ3WTmAT44xJd
gPGoPWNaChU3l9eUe1aYPJJtOq719JKmByM4sEAExJtBo2MUD0wP5QQ809C9gtREkwmGOTo0TRgt
oZpvXbkh70VLNqQ1YRuZIGBKb5Jdme5N+Sngcr/L1bmQ7RJvT05TpR8nZPbcuUK7GVXEN39O38Qv
EfY1EN0RogUOGN8LygyrZAZXvgtcpGV71rttnd9bNAHjX8OsXVdcRs37RIEq22IZO6kGDlf+9CDs
Yz1zW7R22BbHFCK/4cAWjf+jRSflNYvnpoGnkDcyDa1s0yB0KmfFHG5UNXKqet6gV8fdoIwCCpmn
zAqUxO9T3LtFfQ1SWKRgW1YiwyXevOieif5m1JgczoGMZX/gKhlBdfC6tjcR2lktXwIfoMwHRg9o
AzOeARc/yv7fTLxtQz44jndHI+VwXLfavULk35pPU6wZvy9JcGijo8EcKAsWA/YhVM5We9EM6BVx
b+XP0UidiU1aL1/0bW1mcdv5mFtxQlYF0Ypp4C6hK2N6zJRrrfwLoSUE6VmGiLOHnYXlUcu+1C4D
g8sRcB+lcOMjD1HYxPgVjbwKStoZbnjA0pZx6WSK1zRxC+zb0XuReB0ES5si5PWmuNyB0kn+pUAP
kWKnEoxfi0NiYpmsm3vduQqxwjhACDJHcUOqGPGNdAe5XRPQjpvcC0pxpcsYHcP5hWggshZEvdXq
lUpYeWC49NR/dNM10E4VUzgZ8u6ce2SxYGZSNBx6SFUXhZ6Pbz1787X3GYyj48UDU8dLHchEcqwF
vXVRb/YkEUSg4H7OcIx3C5WZJCP5IMda/kfvjRsPJu7NjVRuoxB2Pgh2YnQJh58E1b9c0vM0xBtT
g0EQ3lsOcglLqx4sXk6kAEv+NMxHF5/FlMHXxWm27aPT7N/M+m4kSFQoD+YRkYozgBmpySg8WWdb
KO7vQF1wJDLTkXj8RbKTzlvff9eHY58jHUIQpC2NVijVY/UmfFiW7ljBK9aBPXhXVBqpQe4tNmJs
m3YF4ZfDUoReZuwMUncLSd4HAgS2xmLBux1fTektIbKBFB23FWZ3Qg6aNoR21RIYMgGTCPAMgFlJ
qTdVXEOx/ZosQrj0VwaiBb7rpMWDygdO5UuLmYE7Cc3tmqAdHY2q/lKJ74nGra/vKv99HPdqJfzB
n9/zJoeK1vHZc4kUpi2KhRNwFDRm4ummz/lC+leBDF7gh5bxa4vbMPmVolcHhTYa07Ybdnk9sIT2
rpGJm16Gl2CWj/BdDACDZVm4RUYid5c1n7EQYX6ynDS6lJZJ2qBmIE0HoZL03jNla7s8veVnAzYw
Sjla5RJ0bH6IJou3SLk0cYgz3LCcfHUIa0osPBkqGDVn3kCKkfoo3krrz+yP8djBEmJik0IoHGuN
uPMrAobzpfDQKujKAgA+n+Tfuj/O7YSyhEB+EPEOY0Wg6bZKMI1vcVMpY7Mf9P+31W1XsosFvu4Y
7INd17pCXiOux0fTjM2mQn+iy/jUuXl7eF7GrkRtPnIyk/AHjFuzI+JBUoklwNEx8teY9VWq1pty
furgvIzLwduMLMZSBuJvyblmRETeGIPjKzIuOJ60VGl2CGAco9HpmyYPiWS7qjXQSy/YyCOaiekO
jXWg+baM/1vunVq8a2O4tmKTVf458vjLoIN995WIHG36HwkMhHVExzzp8O/D1mT58A8THHBa499D
P3PKUafKKcV+YkxuoCufGo5W2uRL8y4UYLLUM2M1zTg8EhT3fkA2Jk6fdgR/JN5YQfAfmbzaxpZ1
jOkc2hXjis/HjBnONlqOoqb+ENCk1VjDO39ndN/cWwHilwIDQ5rHjmWIzwj+i1A0XBXGevYReQl3
v4GLUctrPit2JlXvOGuzqf2pdJL9x4I0gwJ7UmYPiCKTyHeE9msSCdpQlUPA25mbi3o42KYcNIWW
sRlieuCRrSr6Z1rwebiKmOu856EpajziwbYFQx/ar6y7JGp+7mbBjrn8DEzfFjIrrZ5Ouf5cQhZE
65CiIxhmH9NuZ5spQrc2IevJolxCReoRWOFJh90wqh9+4bUrlK04f/YFhk7wqTpzWzrHrGJ6YDSA
1smXJOM1hbjoeIEscSIntbU3s71IfJleWZsujc5VD9aW0U5eT/KqJ7DW+AqhRwO8mBkAVqzYCpG1
dPjQKFW4CaZ0q/f0/NCjqBizrRJ3jsmrLM5egG57Ko4C0hEL8E4mxjkffko29wmNjdTj9CYcnMuc
n11dd/KZ7D13rjH40sJgkPZcp0RfF/eWnHd/+XhH/ogEZbpGq5o/dcjHTyWC9FyYVtQ+7WIxc1SG
zFzOdukMuoJWFP1U0T34GLYNqOESpW6hLlCkYCNkhwS2VxDJMS+rGUvMksjZ0aAtHao6PNPExTyI
AJiUTp3udGkA/dWoZu3rS8oWLS92Xjm9ZcbolRhEVESNBcSt3N50rkdLYtnt2e6rkJ7SQbCD7l82
pdOq7vpzFCbrmQw5S7RY4TZkFjlWkzlsFhtBYUpiE/Xhi5it+g56LGSS1B4+1kK/4RSNzN6RKuXA
/v+WhKD1JskOx45kaoYox0L8kHdU7LCmClgKMiUnl4XkWjLdKEvDrWY6gkJmO4YrQpc68q0VRdgK
bL4dB8hTGTadbH0PLKk+z3KsSv9muDHuDthW1TZlzYEzx3xji1i4C4X1QEk+Yq18hiyZEsRum8lg
Fr3bYsVBebnq+z+D/L65YnAOK9IiwPUD/SxRsD0i+04R6pDg7C7ObHA8VwkGuE/mB2nTZruu0Nda
/GYA6wsNE+H0q0Uk8yo/U4Xu40sziaPpSLxW4qOFqlkw0seoj69JOCLsG2W0j2a61gsSJPtNLpZP
GkWQtQ8DTkY1+CmmhIYda9HHOnlZvunGW1toJOM0BGMXAUkYZPy0V6t+GObRUArkW59Wna3KEc9h
QE53a17LdrhqiL19ruyGe1hBa9c9GzRWlKEkZF1nj8Ew9lFgeZnSIAvgVMumcyhYv1MVkZyHNHls
DuJ/HJ3JcqNIFEW/iIhkhq01S5ZsS57KG8IjMwkkkMDX96F3HVFdVS4JMt9w77ktUYHq1oeYNclf
QggbNXfCcpFLWouV6iYHEp9895h2/l5nEZt0lA0N6DhSHjDvoszvcOqltD3OD6zWlcxoXRdRA9cj
HGpnyXIs3y37PWc6ZeVfvc+oPXN/h4oSazQB27DsjDH1pWqfT8ld0iUrWE30Dw8mz33fA1/A3SHj
zxkxbxT3ExuaFn85aKSkvloVlhvDXaMYwc9fVd/MyscmROv704bBN/FkSLgIbDH12mGZyKqAfW24
kQzXJixsWqGoxoHm9aQ3kQTkt3zXewO1r83LYzOmkLq6FqTmWBHlmrmaBv1ac1Q2A2fwA2tMwfot
sW8g5ZvwvnapXNqXEHdQRveSnOweYQxhANJh/vwvwx5uxxHxI/TBbL/TPmYddg79Zau96Is0quff
qflqHZCq8WOZIwbWWIE5r5dYDDmBqe7BgxAEZDKpG/0tnHva/YzOF4hGkwYbbdk3Az7GjIAKRvd6
YFtb4lfzuJejEqRnlO5nttnJsvzlwVB8Zy1IP5GKlwhTQG8JqOoaYa+zzyrQ2I1/P6fZEV7hWiPp
MiaXvXYgH0pF8EfEUZmhqXdw7MUhiDOukjAetuYisUWUw57d/lV2f4djtAnbzSyDfwOpa4yz/B2V
30qDE0cyMHjzTnpwptGohu7TSAphy+B39lEF8TBaGGXH5KrYrvMbeS6/wtE8pB0ccJ5rJrIY5o8B
BKK2A3Au3h36QmWtNWpvt3lPhgp2zq0lh0RhNawxIjXdAPfSv6urr9nF1cp4l2wy3G7GJqnV1sO7
4JfQ9YNjhgPRZD00ls22xRMtyvYwuRkta7oxWGzX1qmYnqK4OynHZLUizjb2DKLCVqV7jopyn1bs
883xwx66YxnYQDD6dYSNtcQ/5l5rYbEKRJfKgIZsxD+DrWIuDG4eaOjlsAn0SfGeNS4iL+RIFo4Y
zdgxzZ29jqtDO6Cft6ddiWSSzJhNTr3nIWm0gnRXk0gWtc3HNPhvhTch0vqWTCBNwLV+RBBf96+U
9jlzWT9zWBVhd80GZ22z9e4JQQyZcQN0u0sZUDQCFoKWl0UVnwPYkwwcwNVdIX4QgvMcuDTJHdvE
zlxzma50YJ+soN9O7amVj6PVL5kjP5ll7kfq2VZcx6x/NKl5qtmnqOt2begdGgjeTtG8dImmr3jD
uwd6tdj4VC2yaTamMxwmipOwiyCnvS5SM4OqkODVO4vqbsC2ltfxQXvTyRHBjtjEXbN0PTDrKOdJ
iCE/IODtYEeexqcMxHqVi3e6LVQpYpshLBQ6fU7j17g0H9wQGTAzvW4iYempQAvQUB+W0zUSxOTg
ocLneggNcGecXRMHWobrr4qsVwubLfuJtG8OGfsyy8ErGs3bKpfb6H9eqLuh6OVFH3YOuWs6ko/h
LB8yBltOuwl4xWrjsy8fHS8DGs2WKrAuOgUMgjNwEpdGMQ5sy78xn7c1zVJnRqcwSXdBUT3otjo2
wBkIFeU4RWIH5qhq31Gc0g10Vz78DI2Ug2hu6OerI+8HhxIkSNldU1QZUMgCRa1YhZcujs6Rnz8s
UaXFSN9mwKLE7Mq2J8vb3UgqdRbNu8LKtg6i1TAXW8v0j3EKRo02WDAQMLlJMMH7wjoDm5Xq2aGQ
CF+yFPto5CEhIsehpulp+TF/WOYEVrrS+PAVsi1WiKuxkQ8ap2YMkKeKSGtgaxg5rAYoin22GweP
5UFdj2gF8e/TrgtfEFcid5U6BuhZC0xWNcwsF7c7kA8ox7sILo3nw2Op3hIa1LTNueoZFXE/VXV+
Ckil8tv4TCGJoi66pJhdnKHaJCn7KiPem5O/V129qanLAe0j11XXLjJeWty3HVuBEQP0zKhkKjmL
o37Dol8PzEJI1rNKcxPBTxGV5h1mK7ux+RUiwVa+XewTh7kKIdk1WUeeB6mJH8pzsJK9eh35DUg/
+Qxyk3cE312NjjzAjOp8R83H0P2LsjeTiUMVi3UIiqECLhXKPZXRLo3mt9Aj2ypZ4gTLdYzV27W/
WkBhCdt8LZ7Lap0LdH7wCQeHtNiZ4jDyHmfXYERALI0L/AcFx6IV8SeGXBU4LhsQcai3PYPXaIj/
dQrNb4musWx5FZA6w4aIgH+0CCuQG+ydGSF7QSmGX8fJipPrhT+285VLqurYuJHGedbmuNP2iDnd
3EyU/mNiPBshoRRdd+6iv376KdN1x+WYxUt9ZJ78kEzT5EO5L9kcbmLxq71fEnKvgv5imder5s/2
9CpGJjEWgnmsfWwC+pyi3YDgW9s4TQRzgpJ/qmU/WXDJx5LNMe1kzhGBjddghwvVDchejy5OQR9m
34f1x2mAaiJNauc9zdCzl4QYwrDuMiVWYUEnH61zBbQi0PO7j9xpwDTam+l5wglTJ+MuMRhsNs7R
tLtDXSQnl73q2L446tKPbH4EY8AocnBks0bF7uBBGsJjdcGBtzeFgXQjfIIVCGMbcyWlOIqGfekM
9zG74yDHs5BinLUCzEQV+SjRwUfrYQoko33FbyrUpi3az3kaDz6TlWBodt6MJs3vuS74tCdyFQAh
AEO/n4bm1Q+KYxbMT7HFDM1PDw42cAmBeRDMK+f0NKCbFtO8tjyQDF6+g8O8G8e3OJieKfqYkIpN
HkKrtZFCOBIOROpW6BcKHOjBMYQ1IzC/x1gw+4jsDNmCWRwZBMWoUlnOIki2chPovbpO3qWnZy4G
Xp+o+lNQ0+9kZj/FLPl6gksUk85ibnZVLR5zJA59aK3G/DuNX9iS73wDuwRkR9W0qH+X3QOsmcGD
JmefWv5vQ2EdBSfGmvPUsXJxOCM0Il89QllJTCTl+UXV6TMv/WWak7fAzbknLK9ajearyVTeal4Z
Nu19CXgVQVTNjqpErGU0P5LAn4D+DXDv71Tv4G9vE0R+SfePTpDqNb6j0MdYhMz0QSeU2raHIqYC
ZYSnFpdRAe0+80/S/G7iQ8vdyDN3cqfg2SzjfQscuhz5BJYoQ7qEaJ5PQzj+dDkDe+xtOdksCZmU
ZswpCb53om4J3I+uTneSzfAkcbaOLJbMuyUOR/ncRuj5kqz5qUayOz2arkIV2wnfgWBIPSTUIxw/
ATA50/vTjI+MKT5HcBFaSAekzd6EuVA8aamBxrnODVkuntJ8ZYGZ73q6U7QELvrgTPy4CL5iIbBa
Nlg74K869uMo2t0yha0sr9/ZlGi4scDWxbAvnsfuTeCtTeEBRdPRbKh3BZd9DbuFzeZ9wpvaNO4r
ySAviDifog5vjlcuh3YKTY9gcNk/+hksPBZ/nb32KVQNQntYkd2ZgrmVxcigYrgZJfZOGOZ55DxO
JzCR2v8j5ZlDmT/MxQLhsHYGlvEvZiYwIuwjqd5BJz5MxnYs5bUJmS8l0yFj/Rpi4i2z6hg7bOa6
ll1zueqIBiNgGIVWcyhNkvnwmE6a3jrxv61Kv7YcN6VhUXAR71vY/mvRIHCkvpZ5vLBeWIA1Jzu+
VnBOqnh4LGZnE6jkPQbqGMjiRKz8dWBjIKbiYLQ8bUv+Q4Nexs5f+GNuyv9s5vGctD4DoXoFYH8j
Na9qJ1YSHp81ThvN9t9aDEJ+8OYkNK5jfawARTQF8hQ7/O0KN0Wz2gPb8a9EEKZ42syofG05bogi
QFCezvdODtaPz1DGguCvalPr8NzjFRPz8JxQeM8Tvqkc/E8NJE9ueWUO/hjjW+jmXV7WFOxMv01P
bIX92jlUcGaM/6DggfAUejmrFW9Z+4TRLMy9Q60lenVKwsIsHkhxeHT0V1286mE+NQ7nY+Peh7bg
7vlawlxcoHy1szZHLH9gnUUXnuZxOvh1A0wuNDe6Y6yUYNmPh5CsAHSKooNKVF46KAthEWJ7oGxu
mptVIWip0p0gYk/lSCMC5qddf7J9jyskJsmkp1CjaXBRrHpZ9txO3t4TCH49AEQkeCflq4iQoiwp
IkQh9H54k+CSGj3hIVgWfS0WRCZSKLhi293m1lnP3mvcdntl25chDXY2O0e3SlamqI+NP26dtjuV
nUQGhMSMkeVfE5Un3fAcLpegVniHi61DqJU9sRDxva2u21edf8bl19wBN2nkFsA3xxBbpmrY2nN8
LIU+pPn8GNX1JkT3zBaIyXe+cmZsXzib7fneZgYW9f6Gixl9UwnbiJhL86MLtyEKggA6aSP8i6XY
k+Ri3yNXKYtzGnGZxAP5vT88FBh6SM+DYjzOtFDQGYvC5w52L3EGphKS+xC7Bx3CUmQJIyGGNKaP
Noex4ZRbnLH6GrDz12SzJGm6s8hawizh+EvXsLhcvSPpVwDAWYmwAExIsxVS4y4LzyBpukE+RYgH
uWtvk+rXusJO4MbsRih9W4BBs/FV0pVayDCduLkvkmCXZd53rNFsCLU3nZkDcRNkt6UHyYR6p99i
jVCwbOtRknzUKONGxN6z0Mc6bZEY/8Ydinwfr+YiRejQvpj18FAK7CmmeLD9YOe2NU6u8Ti6IPfz
hCQItt+Gb57bMDpEtr9xB3U1TA/jHOQOJqr+FGNIu3jGRczBrjfB2v2rzGFT1BymKBULJoaDiaVW
7mOFEpaS223ar1J/tEikq/DTZbTdy/k5nFlv+3JHeBwpzkXxkXMjJ+mEKWdMTolmQJt1X56X3GrW
7+vC67H4RCzgHVMvNqQcA7RwX/3hIaircxzmq7G8+YulHlNikN6LpjiWOIQHNkBAEJiw8a5pzfno
3RbSSQXnL8/2snkv5uzkd08OBJk0n86YPXYNnobQGx+KbMbSiRMA0bjtaEzfapWNlH8LWEAH/2ok
A3avn6epPPnaulnEbIm4fnUSZmSjt+nQA91NAp4gUFdPo4aksIzccnH8z9ckmYFplFfTb9Ay1r9G
E7Hs08yJsm9TSco/zUPX9y7YnGx8R2VHGlLMXEilAcMOp42IoYp2WUqQEmmWPvAKWec7gRZlbi7N
VD3ZJhlXqE+qrHwMLTgE/jmPU/BVqiT+LjcoRpz7Ov2JK59uFlFfwpamcYstE7zjiENykIBcGvMt
KZliTmpRGwPBgHjr5CUhGEj5x5/eYZoOrW4jov4oJo/pT73LpxhDPCDwzjo3Cr9QKNeRji10NFRp
c3hOquHqIAHOONoM0V3iwHuq8/Tii2lr5e5eVz33Z4/Dwie+5sGVL3P0aEyUM6P/0AUm1n9cBGX9
lEn7NCXqEODemtEYK8t4NAIfqySDYaIu7aF/yCFOtwlM/nAOD1OMrNEGbL3MnMleyA0smHRTRtuf
Y8jK6UILBJIHMZqLujzlo1i1w3tYdLvY5YqEHqf9dtWRiphyDPH3sWRCxJ0Up8WI3tQCsq+1oz5f
EN8mR1e8y/vy4BruxeCy1nHMU+/tDDBSaQlQkowgd6QzXPTqXPKZjZ5XMJhEK0E+PA+vu1LloiVH
O2dnjBc7zOwc4GZ8aMTPRGiExV6tyMQhhIKSAyyGP0N6t33orWnfGPyRpYXJAv2ZC/8i8gH2Tgno
Lw0WVyZP89T+IcLbq9R9SZpUMV2gF8OUiz5Vo3CE2ttb8jVYYr0zxJo9Mqps6YNxL3WhfqDyQ2uB
ucwNObv4WD8L+jS1uF0M9hqF6XxYRnc/RNGzIdUvR8nD1LqXKZN/jo8qqEKbKegVvRmCVM7eVHrB
ZghCi0GPxbCyp28suSFAqYK29Wfu7SC1eaH7L7kIsFWJ/dGKPELnawC7Ac7FpEleGCSvYxnjzQIW
fMeddtfXGIfSj8F8b6dbU8+7IcrZ0xGUquVhiW6ip7yz7WTr+9NvF7ecepSqTdsQ6QkV3ayojrlP
BkjokMjRwCh6wDklbCYrD2ZdPLf+m2XzxLQUD7bjA1SGjxRBZfKRiIyKhFpN52oEbMPTNrjmBqA8
KzsOnFUTbAdfxyensC8lgTtgmhzU7PzkKSC+IW7+TbX16oTEYdPuG6V/KDoHBAnsysh0d2Vg7Blg
rqix9y5UqiwQO4NCmPHeVlv6OausZb2HgwFDFyeuUahjmk0sMDyGTdW6i9lnFt1NseDbJrz5ldbb
iaM0RnowKeeiAOJ3vvzsO300PVrt0l3PRX0u4ebZLH8r4y+SzzlReIxn8Wlj0rEqYn5nBD7EHtF8
MTDEze+g9jQ6sI24OasMR2edPffk+LhSEtZaHfNE74PmS1Pn92peDcPNo7ahW8FZjvCty681/i08
qYBoXgM5vssZLZAm8ty90fX+k3j6UtPa2ViTjaJm2qPgHuPuieFKcl8bC1CBDmtI7+MOKVm2CD/W
GlBn5JAH5nX3Kq6veaZvXmVejQrq8GwDJQH3KLznsdCfbtzv62kfYI9sWmNd99SALukbRvSvVt5q
ZjcbMHAQGrMnY6psMpElTHzTncm0ofhJjYBYpMUnINIfgsivw4T/vDeDF10PHwpu2V2iFkC6eYLF
SasUwzWaK/uKcPbqZ0jijRFHn0uJYqJXq20PfFWAe0t8NDikCz7AEj+sNEeYbzMenKZ+VF5+NEk3
svzoGwL8PYt4uL/xNcQc0jt8m5V+amz/sbGJWyHTyEJUjULkiYthZJLFRMtA+ZqWD6UrryZzvWxS
BpPyaOe08uRWpH3WtIcSaTQyE9cIP1obbbUQz0ZnngMbB5uOOwKO0p2NJma2nYtTBbs4yXYqREqE
XMfVVFqZ9QzEH5IRbDImNpdRMNmsPA6HPmH3IVJqCJg3lmpvWeNsTRG8yIbGpsvHbdvH1IgOqjKy
Vkr3I0QRgLfrN6U8IX7kyesTDxPthPsZ5nqZmS61AhKW2CDsPQJQHS+5Q30qluRtaCPURrR/snsx
VfzohMNN04Qy0AS9aAGGGyUydshpfPY7BaSpY3BHL/xQIgQRecIUU92HfNW1Uc53Y0ggXhBLusNi
Z3bdxqOmVZnxxNSCiMABtjBWwEm/SUXPjDF8oMFPrQHIEmVf7nIodllCz6Lf6DV/6VDxCaEwa2qG
Yw3EfBTyTB6Z0fvOa8O6osB3WYzqxxrYfVrkqDTzaixQksfjvcWu04BfzIdDs1wepmTcelW4EY6L
x9DfJGFAMDWwCiizJu0KIun1DAHA6K21h/fHh/LqIFXxGHf1qX/TQzGsy2CJBUOrUofv0gYXSNnh
KcX+qf3khvVWZRIcerOhv8Apno5hhn99QVLTFi8gbRWL21Cg2a29C048wm8j/GQSMMaf6mFkVe9V
V1Oy2fetM51U7Z1qNV/qsngqh3wXlXDHrNY5pPZzAgvI7hDCegwukKA7bGNXU2shUPAtb89k5FEl
9kouc8awPrPw/i1qMLg+2C2ZkgxXzv0ZJSca+zK7NAkI9YoAgMII2FMhfJWcnZtZOTefczaJJLLK
Gs8olmQMd2UGoUqihs789mS03dMg1YWgu21NKQE0yn6vC+QSddazoTfylWwD/LgefA1rI4eGPtWu
bp5m2qrrB6ZiF/wuGAXM19bqBZosjnW/p3eSmUcvWX52tleTcRGwrxXN0TWGNzlVX2Gm13PlnTo7
vTLiZqYEnoWESeC+8Rb3+/cQsrbvGsIYFa8hZm3+w4eI4Pry3arnY9znv1VcEmZmnHK06W7t8Sik
T86A9J9fZHnBRKpT0db0GRWV8cmlJMoCZImNwQIiYfiu8CVyQBIzYkF1m8kKVjkLJ4ElLU4oaQNK
MYkr22yir76s7tH371tyDGIbOayV/IpcP9YW4F9pzDszR8EcTs5zElifgws+M0PONVGmJYOPSpFK
GtT41DKPIUfKn73wbuyZdFawYiq3z9aBmA/a1kRQYypzFYuGED4xfp4Iq1rTVRcrqs/eWP7l/kDW
N/hYGdeb3OoI9nObbaWJFzOyY0ksMdeNPFKn4mpA+mEGh4qexmv/FWgD1Rw/tAK+tQ8Ji/mWWZBa
X4Qrx8+em1zsCPqlwIf27JDW3aj2mdXhxoLhTbgSrqREPJbsEmenXxsm8iDTu1iC+lJOWEqs5sCH
h4jM2OjFGZX3ast46aRn6xKlyGUoWNtqOFvCvsmUA7+szkkebstK/OUGup4GNVDgEbJuqRhXeL0N
oRkiucErarJbo0bRAToiH40q0ywLEVvx5CIsIxswQQTCoo1pHgJEvPfz/Dz6kANVbGDEF8F2proe
EUqZWXryfdZROZs/YTYIisdb2naXLLyZVnGIxXBKU+ebvLCN9LJTLbiQG3G2OlbfNkFWPvo44JRx
Ha3GoP6XhMlzE0+o0tz7PGRPP7FQJ/YWzQmAAsThTvVe+vPz8lFJDfxNyC2vAfZYrD2srXJGl3E8
YrSN/9oI0EJtyIfeGB4STJZGyBWR2WcXinM2zLssCelgLEwvyd8gwW1bjm1j8Bup2dDiJPIyGu6z
Yo9l9CxLLJyFYwB5BA3FnSwKZt0BfdJgoUeg0AK9Zp0mU+zsHsXQRACcw02SdO5TP+VcU8BSRnEl
pPeuGtw1e/O9V5DSRp18VxHVWZk9wHSqGBTkQ2++RSECffbJRFSHeO1wK0EaLr32IlwGGxKzW+TS
347U6ZiuiVLs3HVSY0aZ0vJeCYzQnYs6rxswQlaLAFYlxznwX8qMQDssmovHCZHKQeHwaYX53pjj
c+8tyhUZ7UQ4bwY9fPiewd+d7Hw/uRTwdtEtmusWVxe8nqvRs3xXnnOrombfzfC3zPjo9epp5nOX
LqqUEhh04iRINL4DF/RVOt1cO6DusioWe8VLXzNy9UJKNv1QhIoTsHrq6dU8wHB2VN36OHsWXnKc
+vmlnA0WUfhv6vxWgk2QDvALVtdsYRgpg60TAO+Jm8POCYAB64iODwQT0uDCkkGfNVxd7P50Xdsg
Xqjuch9k7sbWxdklNNoKgeaJPvwI6EEMDvmkd0MIcKg0R/2tgjfOjHcz6m9mwICYgBDXvDmzt0ol
Xbg2rj1QpInS1PXapwAHk1dZ794UPiaM3EpCwRu6FBQAB6t9AjOLfaLd2M5LDj6FqwdOFesitIHW
ZFzmETHFwBNTl/5LyvLIw5riOc0vEq23xM/wbb642nrCpfNrcxLL9Ma2+tJk7sEd4fqn/9yC9xM5
iHS5eRvIwY6+N0v0L2mlTqY9ngkxxF364pgFG84UfVnu9feZv8S8oBKPU/IESC8LBcN2BxGonL6a
iA0Q3lYbWouBKZAN8OM48VD53mqUr4arcN0V9NLg4hrrMFjRITZ+JHzArpP7yQOKbvWKYhUKxKz4
djtYbUPw0sj3MecjiqfXdEAdzZTUBMQiCxKUMZeODoMtmZAzQnDTxC3ezzjqwhI6EbyQvAKEASp6
2TXM/9IMuUfk/bomZ2UFwCoHFUigIGD0wMENJj5bumGNxz3XE7HT/b3MQY134RnD4yXS3ofNtVBr
6z1oqrsWjoMOspfJdEhr/9atfPFjANe6g5WJHJhdkVkNO2PxOan7yWUjZmEls0MUEHkhmZkWR2ka
jKjChS62qQnGCgoCQTzCYcbsnAmQEUYr9obXg1pklZESFDpGkKBmKlW41A9ZixrNDdInHauLGyMh
NXuXdOSeaE528OxgULXsrFSdUty1vvM9L8sWz3vAt0F99tWM3k8edA+zXMbUKAyKxA3piPA6NcxT
tP6eEDfPPhHnqeE81UHLNn1aR5AhbNYkMKYVu1cbb1DXpD+qrpBK8pWH/XQhdWM7Ildj2n+YkF53
KckJPCKiC95Axb8bLblY+MIk8s7SDZfUReOuUtwX5eTdzwNa265iT99VO9RTYt1OrE4yNtEVIu67
1pYV/g0w03mZch5WIG9gtxvGVxFPSA/DaO9P/V6k3SkUHMyWQXp0OY8PxliAO1JUauW3EXjivqrZ
mHkaM7Cs0IvmMfmBQ6jIHKyxbgg1v3fCvraFOtQ9DlqLArdVf5g2rknNmpWZO0FPIVqeoh2IYZAh
cpZhhyUUz1Rh/ToThrXJNz5aFPGUgF55tzwcAX0OigdkCyMwkWpguGnazA84Jq9zpYgN9O8RleA/
SNKHdkGKmQ0bMKEvzlBf7Z5RO2MB0A7dSY+QQ3RpHblt6FMmRNTaY8+grfwCdMwHIAG6fS7nL0PW
D1YVXOuMwXzT8DOj/nvKyvreiqu9UxNu7asnx02OBlnqbpe/KpAMGitRSdQa0oDwn8s0rKVkV9oA
+JXSJwcOZODC87Ca4bwn22+JajBhvtkdn3vWQAeYRH2YC0Tohi+R5dvnVJS3MG4+Q1Ty2heYImw8
dWC4PABexGl5NtnBRUqTYRY/YIjXc/4XKL5SIzgCKLuOuvpkevBIEMQ+K7ich+wbJpK97X0HuRlg
P3ZIjLa5T0IWFWnhHjIu7zsdfjpAml1IBS0mLd+tfzzHfO/z+cgk8skd613cJc91MG9DayRR1WDe
FQ8B9rT4mBeCisjAqQ6iijCRVZR1z26jbrZbPjQSCCXVKqoUQotRjmUzUeyYAkb0HiHXZ245H9kQ
r5vCvWUtyueJSmECC5XlGmUdytTRJDsvIPvQxCIaWM2zlYYvhQWdOqjDZ0fYL0Q8/GpGHaMKIKdC
i/CTAxCPe28a4JgF/bF1xWHk5Y+L8j6u2zOrqU0g8Ln6xkVHwSowcZ+Lbh+lcO8yzm8KayyptNGe
8144wE66iXA0Dvk6KhlAuxi50dyZXgoRL8M2bUNAjGry2I1on8vkZIn8YbLMt7wiHk6ZW+IPIFIt
OEQwrrbPFNhDZlAP7SXsMaqCD0zNbK39BxMe4sj8x7WWIAbRPvWh3HHlb5PRO7T2UbuuCWikcM6e
CbGtSh6Jjp5WA1lVXdVvrbEgU4upJspUc0KD5qLA1WNLpsSUbSfbJYBGbcaiubdz1t78M0loTR77
ApZlZIsN5s+cCC8Yl9ZI5xBrENpzv2C7CEErmTHPGgxMIxh8Uq9MCM4naTzbKHwmM7tvFdjiKkZs
YVAL1mQju3SAa2uC3pcb83FozaubzYfKJHlnMlHbqLwlJtP9Hvrg0rX982iCYFWV+Gcp+z0o6QOb
BRKuUZZ6Es9XqHKO1BrF95jKvarmbStZ2FppuY8wE45l7Gx1683rMkleusDC8cYxb8FpiMaXbCpe
bEWeCLt6DqHAWGgznFJK9gc3sT90Rk8G8vchpSrfmjrczhxEnuFQBUB0Yi4hNxJ/wZ0y8y8Ze9//
T/mt+T21yYyNZ+MvDr3nWoRqIw2spcRgHoJiPBHTd87T+TMQESKXOXgJSrzqXZscyVfdjZBJufkw
QY1QzmTiv/XB9FHP8RMzvl1BamSj+31Cr4awsr9BOorAmEbrvqpGWPQwjwSmZWnXV8crX4xyMFEj
Dh9Mc8v9kjQ/tFqgutKHuOUw1cHSW2dIO7qRmRbkYjYvjHLLvMSkKGo0cwu9rppXtRVtOkc/yzLD
PJ7Bihg69k5OhaEwKe0rNfGSM1ffSs9lb4ucSdmnVAdvw4TFMcpzvUSrcbZ15q1VHV9gAkusjquz
lwcXp9DuioKCqI5Rs6yY8MmA1hSCDa0/0EVkiwm2sc1rElbtvQ6AjPM3f2ub3W4TeK/ewH7S1NSv
HZ3+nRHK1xIGRaghCqiRD0EYRrs1SWcN84IwZN39GCV2bI0DBkAPIJugb75QiTynYnLWRjNCcbSu
xqA/qqxGA2bSbztxso91zjCpOrUJsosUlftMRmH50EfNt+NQwuQWzu9Q6rMy3X88qF9UuYrFTwMa
iR+NloKvdQwmHAgukME6ZfoHCeE5dXr/4iKFxz9VGFz/BTg0P4tQlaVAnazCh+Dci0Hoh9JMqN3H
KGF3yBg9LcGlVNWuYtqbpvnfAGrOIM+r7HuyGMgNApQpahZMPsTngCzucyxfSX7cuEF4VMNXy/Qi
YnCLnTaNqP+yDyD2bJsylpQfIGaeYnK5w4r+deboNeje+16xxKl4TOJ4W9VYmAt5Fv306ZOAlvs1
gPmePd1DaIrLqPRW9PLByHCvoD+K+cL4c26h6h5F495Byq/VtFKD+TRNw8nzNZTpT8hZa7FIN1hi
z5b/6cTlPfHBuxpT/EC2gEZ4u3ZJmziqxCx3DVo6Uke7r1Y1vxTFOPxsMlkG/GSbPoVVqRJVHcfG
Yz0KkCkI++Y04uZ8HEwEJo4CT8ZMCQEEcPG29qaj3xXZtfGaGgOxRJNVkF8aP+YzeFxw/l3NtJZQ
Ao/w2H6Bd4wcMB2uFY+GMxHhVVQRHmBp/ZUzO68ctkcLGQXIFZ6j6WojOUOpxWqVj/R+pJsJLvUi
uf/g9BHlrgQ40757et03l26+mN0iP6GJcPcZwec5KqUVWL0h2/mFsYFkusqGG0j/hE26xTaleZn9
g6ve7eDQSGIXSrkJ2modyU8Zwx81thYA7ZEkKD/eA5tcm3m5iRR8gHCNcFhjBSbhp/cfA5ZcqBTU
B65MdiVsfe5q/YoplQFk2m3ho9X9GaSVLUG872fWcUt0xsL+5xlC8Lq38AiwOk2qmz2xQEWluqQk
XMphR9OO5zdHFVLFbzE07MhDj30d1Sbo4aDB7pkBLcDzkQWeWWSc6YWCsaDft93zVH+meKuSKKTd
/DOATxIowDjoN8ZLNAzlKkNf59npA6NNXlm6fk5Tnz1fyONrx9kqa1mTG1wTHe+u0V0KZH8ejsOU
vzPFJgASBTUbQ1+wm58Duy3SCbt7+z/Szmw7buRa06/iVdcNHyCAABC9jn3BzGQmR5GUREq6wWJJ
FOZ5xjv1U/SL9Yeyj02CWJldct2pNGxGIIYde/9DhVpxflEq5gP16W+BedloT3TqsQTTvCvzHuLo
lu419Xe8V2ndb4SzT1E8tQJUgSEF+hc5kuZo4IRPo20fhgog2pn4xucxSgyQ3V0O4JInHFj4q4HK
uMUlSouPl1Yefpib/2X5WOAcENCZpsuYY9mbkx9iloHQO722iyTbhRboJPIVHt6wW7h0urnwvMlA
+erpI5rOBnsByzK3+hoElyzjttlTOcH5THaXQ3cO5uesooMWnGnkSlnxMs9tfVVk19KYxbTy4msW
XZjNXY1KSAt9I6TCtSkH2iPFxsluuuQuMIYNGCzjpaKgi/SBMD9gcqG3vw8TmI/bur+PzXNL7KWv
41C255FxZvxweMTbFIUN55BX5x04nmju8gBRjm+d7AGem0JQkCdtgO5rhuFFzT/9FINnaMLLuU8P
eRX4bCYfy+ZhLF+KGDLJ8FLgeuDysFDUe7AWq/iEcXHRRLe8zCpoCZ4CeICUPtKXWXZmUX/hvQPs
JL2Kxv7BQIcxD7VLm0cBDBmuQcgJVy4/0fSxTK4yBZSUJwPiQSXjQJ/AgS9sP0Gmn6yHykXj4LGG
BqntCnWhtRdV871NPkz1w2ReQf8AHsqu8MneHhB7wk4hpeamlVtj5Az20B6d0ExMPgkMKJD6oIFI
9Qjij4O4xTPkhjp4JCOe6+DTobd2ob8dcgDfh6nZDz6ZTAc6+6wv9DNIKrxSwbvvZ2AWXY/E5m5g
9WUhdWXgi2Iramr5D2hAmKiXd89e9NF2rlJDwFe0DtksmWFlsGDanUvnsr7toq9akuynWZTfaM8w
6gArI+o/aK2zLS+v71S7KdCBKtVNNS8/6in21sh/mvp9mD/ow1c4kimMVZAIiLHtOdQx+YiD57g8
lOZn6oKSg2SwWEtIBMR3/GprO/BfcoCOPOCgdsQ3eohCbHWdevivb3XaSgUvZbtzz1UNGmVngDDV
nmXnfUzFvpX8A1D8RguBa7IOWHc0ns7C8XakKcUzbFcHgOg65NKLj/Btt6UOA8OiiRTiNeXg4biX
w1eUSM4RDNi4sN98SQJj85a8q+R9Hu58tY8QYZjEvTlcdFQ9ptmprf7sgZJtpor782Brc9PjKxdv
ED8H7nk5oC9YPNbWYw7AS/uUxrOaBByHTeoWZ6Vv8wz+HTW0sDuPEP60myubO2ZWNMNWFryDeUDh
A/8aoe0E+mACkQjejmOIzAr6/O6hyW9D8RRSTxBoy8TJLW0xECaX2oSWqf6h5UIeWpyurG3XfEcu
1GquhuCGBnacg1LatT0A+JDmzKZhhab3AbhrrkehflTDdTD+qM1nJFNLsLk5lZZ4uE7yh74XIGsP
0cyEHS7LEbG94HZoq3u/uC76aYOj2z6OENNHi9G7acInP/ih4DQM0VefbcWx1SE2oRfXrdgjNtAF
n8HzWB8ieYfLjWLkiACp/NyAX+gzP5X5ZBo/dTKZaavMLzxhLVSzxZU+fEBZEsxBOpyPCRyZux5E
YM9xxBbD2nKMn4RPuRDnt+HOychpmZH4ouRZhatIUqNg81TNFwaVX2qjZzHrO/fOyfEuJFZDwaEA
ojPelv1ng3K8/F2DoBW0+JZ+RAH/zKxm8YIEwYZC3fv1XTaeSzJ2D+E69IPNLzX2TTTIKwHSExC5
vITlklbXFQhADQFAxEjb5pBATU4nxbF+GRhXjfxead8c7aLDDiPC305adF52xrcaZowOurG+MMIf
BjIybXqv1Y+TZsJ+QrhGcnnAdqH3mrErLIwzg+aixh9W09RTPGK2gVhmNB0cG9loirSkzoG/NazH
KEeH4LJy611vPiaaAFx2kdlfmvquwKtE/5IBsfF4nleYr4FJ67DSGWc9iOsBECRs+Uzg4PIgw3hr
om5pe5camxetIB5qW5MLJmlvPQEmimIXR0t6LlS1r7NPNtDVLnyYoRUsT+GbEBMOs5ZUi44jZUDo
6UUPpBmuA0LH6WXJm1wEX7FXy5NLB0HOKHqI1OfCAMWlfxbdXLKiehsoLFfudSQeaKOjX3Cgj8TB
+03qCWJaJij+myr8NKRfHPXYVrSFDiZNOZeDTPbcu/03SSU9RXofagevnYKk8sZOCgBI7RZTuPPG
rTaAETkZULUcr9uxoxtT7JuYbui5rvyL2hzPRyq3vEp56n/JWYfVcECyfT/V6b7Pbi0L8rB562by
UGuIgJuHxgK4g9h8dLCcL7PefoR6HfixyvlixOEO+OKmBg0LG3fCTNHN6Vm23w33VkKBAZ5OwQnU
PBRf7j8YUhWiB8igte5HzX9uBIwtiJgqRIFjgAFcIVAI83oGQ9n9o4OOUx84B5GXD7kRfPNwzHFL
weKZiWZgm8ARGEDGXRcTJHrBXp7Djxdndatu6HJibzFcaqX2sekolCvYHMnM1wjt8ALdi32A85wR
gixGJAVF3q8gdnn6peiD6hnytrknObvlVtLb0LGBD7h6kj7ZVfZMSsP6arD14iavcoE6pQeeRcWf
wIcgxIsYVKqLTeioQzPDi7Ig+Ahmmb4pWA8zhAGrnP2ITgO88/pKl4jSDbPugUbDeFN65l56zj5x
PQzNvOglcCgA5iwgt0n8i1aWn8YSqJuiKnzXytq7EAG6wKOvMLQvhnSrhW3xFDUlhK0RdXbArSO5
lmrD3wf1RwUE9ZFyVNe9ci4Gs5j1DycI1pIdYFrs6AL/iFpOAWrwrbzwM+3Ocfz44KVtedk6gNbG
OgNIKvWbvLSfXMMYkCxiyfVpQYnNtw1OcfTLURyob11+3LO4t5+wSqbJ6PTWuT1I7xGYA40Fs0FC
daAniwIi9RvnckpR9QcnST43DbdKg7CTFqYzz+Zdn1vtla755caxsJ9yemj0tjBuKfLynppuErgO
yqzINvrxKiTRS1IBWcb9YCoKiQGp1UZU8KlpLB4KqMRNpD+bJizKlvsD4AAv1GKjV8LepiWNmpzu
R2qxZUXY9hTyURdBx22wMU9BZiDOx8vMRaZzlN9dDZw6Yplcsw1c8bo094OQ5qHyq8MQztZE0aWU
DkJEaoBaYTGeMu1uBzN+CimewPV1LyYeOyMA/dEo6eHBDBtn1UOu2poOee4iPFm1s5dBTJOqQKVR
t218LPAlgCDlQloZEY33gugnaFxcgXFxbeWDwIlTi1BiDhskzDJc1kYA5bKleJJ/DS33oQP7F0BB
2NZdt28K5yWb4u9+SX+En42OzoD6Sa09DwH0PosmQdboz00z08O1HyLyXwJT+5xL5FAUqb2p3ST4
frVgBWpRIXiX30RWeNEEfHEtvU3dAGmNADdKzrjJvGhI7BPLfQS8A/RRZTf0twQddhg9TXoB4/C8
c3iWu/4hQh44jOBT48xm2TWkzvrSdOq9qeuPaQ9WEvgP4LNwG1UIOzYQKCYbbomd3fI4RhHOju7T
CgfzuPkU1ryXaoXGCoqDWs0DRnxLPK1BGsWAjd54joljsB25o8Iqi05R9dNrqZE/TJLaPW2eyOco
8xsd6i/6j6YMkBnHfpZnvdXIsOeuqNwfY2pU40Us9dj6Ysvea65dI3T0j36RCqRp3LJFPNmIRvj7
WQadwUZxrweIBjslyK/zyZxsFnUAudKybJwUIws5E06jAc671rfor8VZDHXGj0a00YQGLXN2scWN
RhMSpU7K+C4ita2dmfWWN1oX7vo+hlwTCdKL3Vg3aU+SMdbf62QGJEW1q9QhSJADZr3QNdqj5CF6
VINcrEdUmBRQ3ycxYwMiGwKirFORHpIuGtHeEh4MRUNGznTDuW02WJl5GDH24VDKTzmxeUmigRWR
ItOHn7TnAkIdpj5D1LNfEm4yptITgyEf9FAGsMW6mNeMonGe37hGZyrEaPNGgBVwLYQMQQeTHTvU
2QI789ijuolqxT4xAsu66VyeGGQXU0pXdmMpVZY/HANsOGDivAyvUk8F0wEs3pR9Gy1h8UKnbD7E
9yj+4r6phaNEsi8c7d64S6OEXh2YZ68lWQJm3oDSonvfXwWeDYyDEqATlB946XeoqIpcH1m2sadX
V66dRArseBMnJmrIUejqEBF0TRa3ZUte9cW1KXju/boZ0zt0V3lP1TKZzNssNaYQ7brJoF5W1yCX
ntxEuBqawn0YC3GWd7Rzr/o47bJkW49NPj5Su0yxmOp7HMxQXGYnhtIU2nXqgqF9oTTNcwc0jFls
atvH6aMPlHWZ8Y+i7d1wroff63w0nQ7Fx9jmfeyAV0IFKEENe9qYMPSDLwC22+w6aXWTqwxNXrgP
qebyJnQVvfPnIKMhcg8b3Gi+ZZ2hHgYP6ltxbtfA5XRWMNA33QemVoy+JXg+BjqfzdJp3D5klec0
PyynybOvbZX77gdDy8f63M/7ln6vKVi7sncsCZKyKsR9oaPEicCHGfVqH5ZNj/+1VmdIX5a0IfB7
GFNLwKYpZXvZ2RDDeh5mgs2El5X0HcG7ErVLVTJXCLZP8Jll6BThl9bOZz1Us1We/JnVhh58yHzR
KiSktCTqrvMQ3A/15HLGIxdOPmDnUdpBxA1ONyvzfvfroQHeM/IB8wchnY6zE7m2ggZXDBYDS9fe
4wlJbt5qXMjCcwoqImwL86kqC7CaQ+1bn2uZZi33RJpQL+R90HpxNBbnQ++NrQNA0u14Rm9/+8t/
/f2/vw//23/J7/Jk9PPsL1mb3gF7a+q//Wb/9pfiH//34ge/cmFa64Ztuwpgt3SFY/L7358fwszn
Dxv/q/VCU7Qt+HMv3RsolZX55xpNtzDRro8HkiuBTNNwhbClUsp03gZK+nBK/AAZ0bwv3HMy5H4z
Fi0KRLV99Z9Fct9GCiTkaXPgXvGaP55NuQsgAmk7Eeve5ngoY31Urk22pTu2vZw+N5ThCDAX+1Z1
Vl3nt3BLtuGLv8ceco939aG71w/u7njQtU9m2so2XNMRhnLnn+nVJ/PD0B3MClBQ3Wq3YePu0452
7Rj9IEW7Ox5qnqrl6rAMS9BXNwUDVG9DkeXmMeV96hujvHVtKnmU/0D3eHAa4ja6LKucl09/OB51
ZYCGBQHH0KUwhbkcYAxQBkQR7fMxtDaddQ0VjVKvteFeOzseyXo/PsMyHKl0UwlLiOVUammVGTpl
bb38QTcS0nh4IoJhrIUQBixf07aFVIsNNsrUcAyfEJDkzh33DKz/9XhOqiA22jY6sR5XlqMhLUO4
0pK6tJbL0QzHTB8EbVEvRH7INCUllRB9fD2JixOrcP70i6VBKIsVyE1putY87lersG4yR4QBwEI0
iQ9y0r/rYq6zmQelpSjpk3ILyH61bp04R9YWh6StbtNUUY5pLOZTmdLLch/9lUFYj7LJ6caMu1F0
D/i03h5fHSur33gdal49r4ZYdiQhU0OoTtwJ3CILobCj/Di1yY0VYw7l3h+PtzY027R0aTsWu05f
7Da9sgLHg9OKVRfY26C1+o9TZNqkwS1FAhBM578QT1q2I6RLP89YHMluWCggrJiR0ro500DHauS9
5VBeODS8jodaW5iOrmzLNWxXsjbfTuVgJgxihqGmPY5bNVZHHu5iU9f+PB5n/pEXqxJorK3b0nZN
sotFHLPpHUThGVKh8VJVs1atHtHdidLmsyroLitpDSemceUQEYQyHeJaEk2Kt2NzQ68eJrR8z2jE
VjlH5aCuQTIo+8QcriwP4lD5AgLjmu9uUM3l/g7Nih03Ns15amfjXkfsOZpZcrmFTt3xqVz5ZIJ3
pHIVu1w6zmJ1CPZw1ZktKhqoAO2wH4ruDc+NqM940YkZXB0ZsCEhLY4Tw1p8NdXEqnQVHJC5FC9n
j9Nmk0yfUjC4x8e0+qkcR3BwUGWnLPT2U4HEA0dn8alKummVjSCm9eF4hLUFCGVFCMMwTdtYHvem
LSyJoCTw29S4noIEVEfgFxO609QPobpl1zkeIyeGtTZ/BgxuHUKdxZG4+FRpCvW6jmiRWihj6nS1
NGoATUgCgnDY8fGthnJNl8qXdHXhLha7NJQalA8+ys1uO0T1y9i9CLoPFv4SxwOtfSpDcZfplqMk
y/3tpxKZ4cTwpSGnd/7nFqQJafvl8RCGWDktXseYf4ZXB7yZ24KilU5qjfyTcsV90Hc2krr2lTOL
lGBhrOLp96ksvZ3Mae4jzlxSIjv+U6zO6KuBLha/7VLhSoP5h4gxLvXkPox/HyqPsli8Ox5pbUe/
Hu78k7wabhyMbVChLnjGC57XBNIk05NAuup4lPXxOByEljRBUy72WEceGXk6mM4IdbgIsA4v1K2L
KnN66rD/44JanvYkAf8KNX/fVwOaZJX2mc8ayavRv0RFa7oYnAzm8oAJM6gWtZNJXe9xIqkgIFvw
5HUvfjCkjhT1pHzUk22LXElyVUxdAe9lBItuw3g9Pz4l6xP/759zsZbNiWwdYOqcs1zHwt2WWnKe
Dj+PB1nfMP8OsljMwxQFJvgwDgH/RoDMiKjyH4+wcrbZrmMqrnBLCnuZn0D9RlLD5pjJzBxs0TQM
+tfecK3PujuAmRv8HKp5WgWBfmJJrcyf7bq647qOEspc3g/e1HgV6R1JShs+hX0Zbzs3OwQ1aP7j
IzwVaLFDWtoU0CkJ1I02wKIa6hoEZNql/1mYxXnt1V1c2yFhmGRwAM8jXSkA7r8QRLEHBXMn3GV2
R9Y36W3G1+pF8Sl0zR++DozQgavzn8VZPLcNTSusITBx+6KBmTif8hzqnTqR9a9+mFeDWVw7lI7K
JpiXHlyZ2g4OWVlsVXfq+bS2wGFAuOCWdcVSWxxdgQyLii/Oc1C/SWb+bfBzsj/Bgt1X/afjs7ay
W8lA/h1KvD26SPXjMAYFS5+52kX1XRSFJ3bragRDGhYsHMPUl2/brJoUahRMmVQUnJkz2ZqPvzCI
VyEW2yWnhZUpY/70nfNjqoOD2yLSfjzG2pdXnDq80F3DdeTi7IQ95BUlUD4Y0/kXLcy+lfQrjco6
UTRamS1HR/0EeTryw3eVACljqFEx32Nwg+xgoCkM6xXB7OODmSdkcWERxVFUbQSmAcu7MVV2nAUW
UWjj4jkZbhBNbs64x3DkAz57PNjK8xWbGpB+vNBNMqjF14GeYEa2DwHaBPS+r9IhuC09GOleoUwM
x9F/QbjDOXj1yRTgVOTF+dbloWoRPyy5ZJPmc5AE4qaTVKgdD9gEgnP9ud9C3asRezgx5pXP6EIZ
UNKVtg5dYBE5RbGhyf6QXu+bxyiazpu6OPENVxbkvAzN+TQylVo+ZSnr1oFr0I03axjAUYxM2djV
zxlaRtvjH3DlOFKGoTumdNnAxvIFpkFFhzWA9UJXG6i8F5N1lw7IKSPkPlyVTm3QQwvoUh+PujI+
olIVM2ijzIWktydTlgIWzxMdmeAhR6Dhs3IxmUe/4niUlQ+lDMHLUvFqYZEujtpakjzoMVFslC5d
UEUeilLHQ6xsNiVQQKK6jd4g1O+3AxkQR6ulIBHtZn0QTeY6+HRUjhGeovamiT+/Lt6Em0f8KhkN
I8N1u5Akr8PqHt1pOKchtJDDLwyKaTPnVMiWYnERThRNQTQQhVdgA8kMa8/MfiKD3cW9+3g8lrE2
g+wYzl0OLeddZQPWTqf8nBS53hnIgAA/2tjPybm9haqzmR7ho2C459Ybf3vqEbG2PF5FdvS3k2k1
dq0BCOM4hsXd6+6Z0Rv746NbW+evQyxWYGcL1RnZHKIEjlMjTOlV4JT9Ex/s1EgWF71JMRs5DO5I
kU4/Yo940dj9+TuSuqdFF0dJaZnLI6mTrdZrPtdKEWe3mnFXqekaUt6Js3V1wl5FmVfLqwXe9llT
jQVR/MEBTv1Yj9ku8X8e/yqr0/UqyOIAz2qPR11CEAMdK4R5omsRt3/+rn8zXfP19WogsdHWeTB/
CTRmZ8mJ6jpsxo+/MA6uCV06iteSsTh8nN4klZx7/GH10/Weu/zhP/v3F6cNyiVhCtQK/2Kz/awa
fOtmtOvxGCvXOFXGf49hcRPEY8nJ4DEG1JNxFmmMDzoKkKOB6J2JIR53H+LZIKmPR11bZrbiAiJl
MSzqdG+/jtHYCq1/onqQS4wYYw0d+kVzKszaQnsVZnnCuF5TpVbBBObjs4ETk+6dWGUnxuEszhct
6FPNpusPkxOpKOtKIk7Vlc/HJ+vUKBanSx7COtHnl3HlPpdOsCUhP7EIVi8B+psua5j7xlmmVLwe
MruYDxeq5969vtNfYCvRXdI2QHdnaYOz8Rpt7A3iLLraHh/eWgZEf9oRdI6FetfPEh0kuiScuxOz
i2SIYnP1u4tZ+OR/CqMTldu1qXQoNxLJtCwK3m/XXdDWQxsPPuxGMnHagvDC0xPDWVsSNFu4ShmN
Sy3/bYi2HItICxR3QVVc1ZN+7o3I7nftiUxk7dp+FUYuL09jAjSaEsYPvAvInUwXng3peKHF4S8s
cjRCDPzjbEoMy3TEmZRnWSUfyK2cT7WZ4cqKoG/3C+0j9SqMuRhR29hmM0aECZtwB8rk3PDUbmj1
EynBH6fy4n32Js5izzZaO4p8Xm9BvSt/VteAlzbYp2w6eaX2+RZm+4mIq4sO9pnkpSbogCwC+hnc
DSiMwJe1T1U/0xDT3fEtNK+pd0N6FWFxQkRTYauiJYIj089Dm94gffTUllilVBCNpeZ8LfvcmfWR
T+yntVVI3YkXBNuJZstisft+7EZ5FqDsNuH3WenxpWiNA5AvpAiwODk+yvfBXN7uIBBoLdp0dxYL
pBBTbNshSm8cYvq3xkTfrQpngUP2QpSBd525esdDvt/MhJS0yJB91mnKLc6LHtSaJI9ACtXx710H
swR7mrYZkNITgd6vEZciDp1ohy1AV3gRyFL+2HgQBc8Apn4YAvUTkSl5IoZxKsgiJ8qTaFR51JWk
+talnRxCSCk75Ls+tvhkIFeCr+IWCt+JxHUFHTGPjQc73VNwBMt+rd1ruR60EIS4iR1eFRAdzDMt
9fQ7C1OsB1kZze95YUQRMmDo5EDDy2LUrFDeOAulik7Vf9eWES0sqiUAG+x3jUjAXH7sZ0x1bqoL
bM/ODPhdfaAjMXMKeLU24a9DzT/KqyQ0mIrE6hJC9dgFApYwn1CbO3G6GO83P+tG2JSzLEGzbtnv
lBW0UuQ0EEDcR3fWcGYhp4XWqo9zaqyu0721HTbGBjvm7kM/XdeyOeuxmken8cR3XtsrM6qBWpTO
QbdcwsDZnNpBwRWatysAEpftZij8a+1kWrwaaO6DzlsSXNv8+69mFf+LqQaeR3bieYiZgc4/i7E+
P6Nbm50Y07zt3h6szC19UIqGRHqHjQK/Ka20l2zLXl6SE9tnTZDcRbX/ACwGi/HkRF78Phuf44Ez
4HxDTMFc7FAXOKIWlmgrNZOnX7kzk8Krbl0NYhNHVPthqHFcTE0n2R0/59bH+e+4i3O8hXMY8tU4
GcIGulc56DTUwFaMfrPXoXzX22hoENH9hajKAnvgUiESy4txGg0Nf1rg8JqvvnWx86HCA3AkA9m2
eXgLiOZwPN5KLxhoCocsOL4Ze7bMzeB9aFHuNKhpxI64BUnlQxIrg0ukI5BeLIJ818sk/Gam3biZ
Wy4bwODko4NTY/nVZCcmfW0dv/pplilcOpkxIqT8NHp8iNRXNB3Q1j4xxSvZzpshL2twRlOj7mjU
rCgom2ctctIbqZ+BTBXGNkBIcBPDoduRR56Y6jmpWe6c14MTbzcpBnwyChziIuH33dohIP6lemw2
8TnCjCc+69op+zrU4hkOJs0PDJtQRoHsco0vSkZb7MSA1m4NqkUz3mius4vFeKRWU6wCjY8ArB1C
cZ26TdTiPpbUD34Vn+rCri4NoCUOSjEmQKfFOZBOXVr481lqVy42hFp51QeoyQNYN37hhOO4+Vek
xc6voMVXYUmNNlFxv9W9Mtk1pT5sNTSfokF88lu73B5fG6vfi1bFDC+hP7ZsWtHImnykeCiu58xn
P7o35TR9PR5jdQJJOWZkCbjF5Zul0pMsaKuZlNzOwPXkWUcMLMubE/nvu6Fw6dJ4mU9sC6juso7h
tH5LsZ4iVuVZmr9rEzt6aJOsS05c8qtxTB3dD9A4kvv17W4iQ3JAmCNrC/rMQ7vCxLIR1nrRljfH
582Yk+g3+5YROWRHnI+KkvCyo+z7ueHaPWWASPfq83rMK7Rqu/h7bpvRVWxDB21lCGl4HJFStmHH
9xkUyBM/xLvDY/4hhJhzYUB+78DB2GBFwIKZ1tLAnrjNsCkMqwzS/TRYBzo/M1W6szZebaAPNc3C
e3Yn0dvSxKntsT4fc+8Ct2sdHPZiJxq6IWo3S3HHamwTsfhJw7UkwIS2Ccxd3uHBgkYLapBY6xwk
+e9jihbyia//bjELSZZj0t2Y0WYkI2+/ftKZIaAyspC6gyVuuP1lLbMLS7qnMGbzYBYf/02gxSHX
x6pOhCIQCAJ/Y2XmbYlUlm33cKRCLGxC95N0kJU5/rnXh8f3ZnzyfQfCKyxoobZZnokuxhYh4nFl
J/6sVuOEu/8o1LIgmAWaHyUWoSqEYYq03cO/vsTI58QJ9/7W/eOL/WtIy7pgWbQt/CryKQ8DQFkO
0XWNot1DddUWY48z95arX2ycWFS7gkULiFXHRTEYU3SFS//TLwwayTSWqmu+7xxMDQJAvkNSqXX6
514OG9nHu7E174+HWTmjIEfwdAXOT0dzmc151uAMZuqismLgANk/T+EpSM16BIvn8YyRfYedxvrV
LOLORrMEs7bEIGmZoubl+CjWNvzcTKQzauCqAbTi7WbjYNFqp5iDoImBybDZP8RZ99mKpuAB5KB7
50Nywn4Vn7576mXIMBhD0xUncpp3j7p5AdFUIKuHvaPcxYE/DnWHDCTXclXZ/r409qn2GF9lrKiq
VcWt36jxDHlM7dvx0a9uxVdh53fCq6dVYeZw2XTC5qAHi5n0j+birFh5PIwxHyTvDppXcRanqtV4
sHFnIqyrF6ShGboU043M1W3ixTuU89BlSbAMHsR578mt0eoXSVGdKGuuTTF1ZxAadNTmpO7tWK0s
zqJGkoHUxicUs8or8iBkNvkPna4MkSUX8Q4RoDsCgv4Us+JdOsn3dXTABYLw8133NrhI/aSrGz7n
lBpPjWlY+OVkDy2ukxs1ZKfgp2sbh2IxBX7eshbwurfRUuGNdTqfsGWVXiu3+TgV6anO4Xua1Dwk
E/dROEQrz3IvdacxhJeH7GUVwQi3ZXEzGjoyFVacX/egYZ5tuMtftCAfbhDm0h+ssS4+tDbyLHEE
r9zxuN1Fm6qbMlHZw/Elt7ayX/90iw2V9lYeNCE/3dgjHzM0ICirz4GvTuRPq9/11SQsNpD0JTQZ
l7O2n9WAKMNSl5dbII1A9IZh+wtjskkKOQ0BgC1RHAHOAmE7cuK2uoOkX7ULkTIAR/UrYRxqoDYL
1QRptFg9udJLkNoc7IgPZeNwnqE7Gjl/Gjc1r59XYeYv+Prs6cNswhAIJEw8V7J7PKJGkGfgzvKX
QTNPlatW9wRlAAlAxRb6smzmGIYtmlGVZ2Ec3OrduEuiMDhxzq2uBiAw8404PxoXiVsZ4UtTakEF
GDsy9rIIPsLuvY4Tcqk2zMSJ77QeDUmI+ZEg3sH2wygSpWZpjAgboLPACJ60Ln6MTPmt+fNvODpc
YHqEmp8JFMgXIwvKqUzVFOGz0SHw5OBk0RhtuTu+vlc+EfkEZwkNO+B0y66kgfgn2DZePe4wtZdx
g8wWkirFCdjpqSiLuyiC+uKlWcJHGuq7KR84jKI/PxBgGyQUNAVd3tqLUyFqU6zZA7c6G9E1sT2f
1qNz4h2/Mgq+BY0Rk/Pdeofo8opMm/rem8WRv5vOJ0+c6lCsHKAEAAw3i44IEJ9vt6em960eVIwh
ix6SGGE3D800LTixht8Pw6bPSJGFaiuQ1uWlTDJcciPGuGmFD2X03ZLJiS35fhi85XSb3cFsUXhc
XLwjCHrkVkecI0PHvG01zdpao27tIn9ozo8v35VQvF2pvTuUNiWF8bczhvMUTSWThgbOM0p+kEj1
CuTHjwd5v+lRcZ4PFwl7V1BOeRuk1cNabxzF6q3MCU0gsuYc9FGFQUQkM8gswxQEf7ZKLYg5HwC8
BaEbqPkjvjqptTSa8sJlKQRo15ypysQKwnDjM0hDe8Oo4/mSeJhOIupX1oYtecQo5FMApSyHiuG0
UfgWS7ztkuhLEtBbz9pAnfhqa1FsepkUjViA7267AXqa7fpEGYfizgvjTwiXnnrIzPv9bfo7J/cS
MjlwLo6DxXkQRz6SxnaE/RfWVkGC85b6orL0ehq/TtqP4wtkJRYntQs+iTG9pwgUIsL51EhnvdC0
vZZYraOHkmO/RPUEOzLap3EYNdvjQVcmkZObm8F0WSccSG9XiMjaWqsqVMW0pEcUypwMUJIyvTge
ZfGMcE1EBjjy2Mc8a6FEL+cRj6eS+4F3Zu60F42D9kxAdQJvgXvA6mcRKr8DoobhOF1Umn7uYt/z
T+Tff73RVqj/0Fr4nhdjFWJ5s/jl32/C71Ve5z+b/57/2r/+2Nu/9PcPxUv2saleXpqb52L5J9/8
Rf79f8bfPjfPb36xy1DkH+/bl2p8eKnbpPkfFYj5T/7//uZfXv74Vz6NxcvffnvGKz3bhnVThd+b
3/75W7NshOBW5yr8l87EHOGfv337nPI3756r5//7f35/XvlLL89187ffNNP6K98eGivfSPDqmMuj
/cs/fsv9K7VtCUSea9GYkWC//SXLqybgr9l/pSasWD461FTJ3+eMRgb7j99z/wrLAR0Lqq50x8h9
1W//MwV3/9hh//g668IYS9zTfFUS255PTyDYoIjfrlOqqQkt1RG/611xEf3wrzgrx2/IxGwQCDtH
hod6mzIO+uFUTr1sipPSKNsFODjLBQBHWsI5k2EcmTEiyw/VhXEWX3YH62za5HcIGu5ffZZ/jvq1
/MeypDHHcmi7WzbvXBqLS0bCFBVRXEwoN42X/iE77w7GXttjvrg7FWnxpEaKi5zQ5EyDxmXb9Fvf
TqeIMV8YM/nT2jcX6WVz6M/R5T04J7Y9Pfq35ydxFJRlloak74O8yeLSi73JCbMEE0+/6pwX0TTG
I05ZxQer7T0Hp210di/A3HuPOWbB34wc2nvQa9o+FRF4bbPwmiu/GPKfTpH5l1MBCex8wAf4trWQ
7tE0bH5goTWVRQPUdc89z5usM9sPucqzUmBGH/TGoU8Q0muNsXkAeTM8pIkq9LMWbDH6fEl6qNpG
3VZuS/FGOt1LO2H6FnSecSmHoHHP7NoMf9cKGCJBXVQHmWiGzmjaBB260Su/xpXRcvP0xZXBQT3g
9xZYFz50gINkRaeIyWBFL4Ox/FgZOLMbSOnumk6gdFko7bZLBvdGTzp3Twpd4A05Gzbi3YVqWzQ7
ZoUlLjNV3M4zaLa4JsRVF9zrdu3u9VRX17oDvV03+X+unlufDTPBM61LK4RNc2pz9zFyT3QUw3q8
VjUSZHYT2fuy1+tnsw70g6jMDlsJRjQYHiZAjYt53awHalooTe7dyGt+1zIdayQNtuoWNr/4pryq
28dGM6EJa8too9Ku3btmou2rvAoP4VA7506cF/tC5s5TOiLbsFW9q4FJHIzq4DqjeScmpfYWFcLH
Xm+8r/+Pu/NIlhtZuvSK8AxaTAGkvFrwUkxglNBaYzf/Wnpj/YF8RebFzZd4Vf+ou6zMakBjeUbA
w8PD/fg5hjYWm7Rq3yklrQy6NG12a/ZN+VRbWY+mdFrpXy0ztd43ljQe5CxBnrkbOYWTqbhTOozP
ra+Exxo2lG9UCorAyRUUXcjfvTt5gvlT6kY0eHzIvhQ3L1PzaPV+70NhwtgszOcRdJFpUUZIbda+
fOinuH0AxStfGdkwPuVTIn5GSwHq+DGGCUnplfGhTvLyTjXqCGlrLVUGmKnFSeGnmn3nxHo7bFBj
La+QvOyOScOEaSxkIdRgWgmTudWkYK6maPCRF5nK7mOF/stdqQRG6/hKlqoOOnrpLZKfaElUUj64
Xm2i4GtQmRHjsBdgBGrr63qEhs+GsytFDDJGSckRBTW3bLGdyFRqIfedyMgy1wgy8YqCQXeXqnUX
OvVgQCpUdQJiLHIEVW+vVdkOUq6MEqLud3dloLaoaeSpJdM08VvzBaEJ/aG1mm7rA+H6qOax8NIW
RvFebHx6802WIS5WFtBXC706Cyv1zSeS4aY9yMhtf0Qnq7g2UlF66KMphfJSb1rHEKLhnQ/hHnSm
stRKCHg3kBxrUpdZW0VXIXX0a8v7NHVRLG68TAtUlIi8KneSoa3fF0ocfZPgL0QJxrO8L8UIo2pr
oI2Uern8ThsmyDHRoC23KFHluyTKUbQMktDft4mvXRVNNn2pOTR7aZDm2Z0whu5gNGTzyRzhO0zI
bJ/7ZuRGkeMJbK1XQO4fGM2OnBANjBgOfXFjKmH5Q8pFiBslf9SFqzE3Bd8upJDIhBRlWB0CpSu1
nVaZQ+kmWdrtS2gZbwq1z0QbXuL0E0xrlrKTWxM60hq978BR/QTyVzERYY4DuQe4u6AIey3VavMo
MMCV2nqjwUzdwfN6E2mh98Ews/FHQa9Rg8Y8TY2N5XkKpChpEj8YZVV8l2QUOG242mBsIwc7DnIi
BE6Fwl6MWuQAqyKSD9XNhJTRh9o0mx28EnAUp33sX0XQQXwTEsQXbTD07FLc12Jqe5NsvShZV6MF
HCLB0POGo+ptWgniWx2ktH3JHLIZ0g6H5VXYl6pWI9Gjw0znSAyl7SvJnPZTFnZH+pPKVVbLyKLo
o4nMcSqX8Op2UBNSzhJtWSvDLwXD5/dRXsdIkmtyxesCMBUs2IUqPAaBN92JwYhSTG6hGQMyZxua
Xn4U6zDb5bnaI5WWGyP8jcjU7WIY+FSICjtv3wopWg190MRbKxelbxWZMjHQN4+tIlENVVT/cQgj
8ymRC9BSaiZZd0pEQyqcfPUbnPQiaoUEn8yqG6fTp/Ix1Or6axvI0QdfaTZIqyClaIXIQ4ZBK+zE
YeqZ8y/vklzK930+zqSqOkTxZVk8kRMIdpVDoO+TCz+UlZ5fAzWS3b6Lqv1PyjYY25qtHMJz5kbB
1O8iY9SfuzFE8DeIh29w8paHeOqaJ0WphF05Kj14bU+2bgNLqHlM4znHsOjVg8cvRFozNIUfCHAE
Vz7NcIYwNFF4Vw6S/6zGVbFBx3D8lkHBt0faprgW9Q44RWf4/hF2Vz5MTohCLMvP7uPGmGzD05rv
Vh2gCp2JCGNO8OA3RSE91KPu35ukN3ZfVQIhs+z3ZaQEezWEAcHKPOZjQkoyopNZVgRsw0iUXSgb
AdqhkT5s0DXKHrPWz0Cbq/DKi20dPqQ5dNupkQyOMXHEaYVMybdE7tFwmQyrQHMnkzaKVcjHMpw1
200DLVLIiiTkSX1BtjW/QkZCjJttVEVIs4gNI9m+p/pfdbNODoqvGw+FGqFBBp8jGKvU67ZaGTEa
B3wOta3O4CtOlnQbjL3IVhZIJTot44A3YoCWjYxY1nZC6+055gJvod1PvR0FGWmf09D/DPicwjMw
poSkVtf8QyJP5rbtheq51sziR1qW3XPoTWKzSaROvzVasXS1GolpUffld31FJVRty5kjUZhITwu4
FRE5Q8tjVpNs1du2avO92qThjvii3etiJ1zJ6hh/860++2apqNHkRW9dhQVfLh4kwy4KugLHRjLr
q6TTckemNbAdosq/CXQaZ4iDdO/MoNK283gkxfl0NN3R6hCE7EIgmsZY6IQIKxbe0zCwEMCz1Nux
8IRbZCHNDU4oPdIdD2DnHpudp6vtBw/iV8Qhu/ghkpVqm8gdAplMl/uOrsca9MBG6V0FgzpdZ4mp
vR9TpqdNwsiD2giKU49JcxBNT/+SQ97JlZY3gCYVKdD3JgywH4RcaPVt4TeeHUZ5uu19VUBzxUrv
1NTv35FWQG6fFYFk2n056df8bX/rm7k6OkjIGm4N1+JnQfTGZz9TuweD5uxnreyyhz5Ee1mF5R7Z
60quEC8bi69JaMjvQhVNZD1VUUoM87p9HIJUN9H5KBNUuPL2W51IKYQJilE6gVgipWgZ4Qe5gVfR
9uRsRIO3lmHLqBt00j2jlq/iDpb7zKyy5y7RpHjL5d1+NcQ4PaoJIkmJVEuZ0wpo0DA6N2hXaHzT
KTPZmm0/pMNTVGTJPpM9FAX6pkXQrph1xfrS/MjMYvzOj0XFNbzG8+4qweiqg+nB6mlLQyxtNXmw
sl1XiBHCvlE2ceEUiuykTWJu1KlCrkvKURhI42PP/NNVyqn4YYZ1fgOoR9hG06xzl8Pj0k9N8ciI
KXTIuacyryRDlLmZQqKIYoUSt3JpfQwiqfko+6hLDnKushulmsKOG4qG2xL0D2kueVe0remtTor/
RAW32ZZWBRNzXMnlF3R2vRdJH9SXWmzDz5WWKzu9Dsp7oamtl0pQletxEpVHk7NHzhoF6tMYxgL6
lWg/Rlqt3pRZHHxnCrdFUMjo0eD5+bb7W/WH/9cqCxQ9Zxjif64sPH2v/LD4flpY+Pff+auwoP+L
0WyqdPMkAO0HhQfin8ICDZ35eQgPJW38+Un/V2HB+hft/JmXkp4vgHTG3v4UFiTpX9CJMQcHrxOF
TZi+/k5h4Wdn56TCx++itjFXN+DlALQzV1JOS6SFDFIh1TpYJo4oEbTO6KSPiYuIHvJoDmqW7gy8
HLINMzuOvzWdzi3fn2zZf/Pqh7mP4QWJ2sZcgmFy5/VPGFEFMmN0puzo4EPGCgRTg0nelm5Cd62X
Nq/mZLV8gtemFuW+0mC8Vk1zmNdM/Z4sehv5beF0in5Eg/E5a4WrupSHlY7HovpHfYGnLjQLM3cZ
zTrKN68X6PNGtjhY9FodaYuSFW+jK8shSXBSF9rXwdhc3lFZXdRSlxbVRfNAzSYpS2rqthAKS89N
UFSotIm5Kxf1uOnGCViNX4W7zGhEJ+rRxyM5ij+aWS8goJN0mzItYBdsmuEgjGFxVQoj4pYCHLVf
oNkauS5iWREOI+Lwg+0JnQyFfxjFj1MyNtMmrPtSuO4Gq9Q3ZkYOZIt6WjEVOFrZl8jsILrl1ry1
UkmwW7Ftu+/UYypkT3rIqOW4FNKtX8+Ppanzu+pjWk0SdPKeEkKK5EE3nTgwzWXjXZaktNzSSiwf
0ymzzKNBHHv2x35g9LCOE3ds2+ymInt4GKIOtvPYEp59bXpvVlrkDiQA2zgetR4poga1z0YqI94Y
kvKke1B72KYaAmLV9NK4H4a+D5yyFLQJ0UzNQl84n8zbetDG94JAmpwkKMmh2DchfBFWFuJxSqQ+
Un2Ck0wq+29prJVfFJSrRa6mNnkXy1nBmSqN5rYO0tJwwPH4V5kOd5rbJDDgop7lWc9ikufoZEtt
5ZD8Cu/TmjzfGfupK/dmwN4iRSw0VP66FEXqIB5pprVC3fGc7yy5BqMlT9WNOkTNR0RL0HWaIAoe
kVsRVVRto9G70dKpRMumSJFWFCOeihK+ICfFDc+ftEJLwjJdfQhMOAQkDynpIbnvh2jcj0g0Hrlk
O9drgrTeiFPeU+Eo6gK0rC9PtlIn0W1b1wFsW9CnbuSCjMblMewScMS9nybKx65I011kMUhgZ0JE
dUdhwdMxEnJGMipDblU7a4vqaepTBhlyhcExR1b9eFY/L+SNZlaosEzIWoniELmFUdXHkMI4b8Sw
DbYBgpFPcFQ370vP6FEESGsnKZDtKT2KACChEJAfqDHYklJm6VGOh1b4ElphdmPFpYiOZKKVLrQo
zS3koRSgxKqTn7oJdi+HPM17rktrelQyzfqgTNr4HBW9+XEgmCHzmfEGaVPzJRSE4ckHhOI7vdSL
z6nETgxRZhwSFK2uh0wUb80iLl8sNG8/+dqYfAPNmh+UzGxueaB7d2GCACPALSZGkLiAiJNcIHpA
vTm4TVVB/Wy2Q3ztI0Z856Oc8Mmvq+qhjRHcCy0tuQlCod4bQ4V8kjUEzjT2xb6bsuqQxrGxbbSp
2TL5Ij6Ihdb0iD3FcyFMAzNG2r03zLQ8CF2XX8mmgUwJIs9IgWrTVoNZC09KByecDHiJJORHEqtr
XWgmv/lABR0T7OJGNDPBAWCDZFDVmA9mKVnU38po50Vyhxhrb+y1vpY/a15Hqt0H6Z6AMR7yNIR4
HbLwTaP5CCwamr+JUiXe613u7fO25tWQhBSGLDgnr8LSDHj5WDmCy1Dg7w34Dg+WliJD31U5MhnV
sJFzLzmGUZ1uyxTVIKrM4svlgPsm3kIUCSOQCaEuvauZ4ON1hPeGsi6ljoE1HR08PUP9jDrKLMqk
aZo7ZsjjhvLHDJ2lsH32U9EutUMpQvro3+ucRLU3XK9jFCl7kuKrwIo2TYV8ZXodxI8JgiOIJOZs
HtrhaS9uq4pQZO48ETk4iM/qlIonj4Gc8hC84KEx7MRA2FjKXYMkRFMjcRDcm3lHUcF050qdNT4k
8urI3lwxP71Z2QF1zkZmHiFGR5dDVTDGKP2occchnOpGittoG4RgmOnSLVuZaPc6xc5bueekNaOL
i1UwO88MDYwO2+RZLx2qoXuO9qabNpFd/ReUxnOb5T+vkk724junuVyXMd9ZQaWkSYWDKbyMQXed
NGsTeStr08RFqpIlUJQX86Bl4/Yb3UncoNwgPnItObIdP4EEXsuNfkL5lovDf3UaSXPKuez0lEMX
iLpHKtg7wl2fUw10Bld1aiR+bG5PtOZsn3bspnYJEcpm3EulQ1q4W2vOkNy+2eTT37HoddGLhi4u
oG6j9U+ykjxH2jta7T8uH9mz+3tqZU6hTrABak2NcRR+rnZAnlzbqptpPy8TfamtT9Lru9qvftDf
egP9/9mDnccwgFmcfIKzXdjs//zP6Vvp99/692tJNWmomjP2E/5/Y36R/H4taeq/mCgAiQDtojjH
Wf7or9eSLPNcosPOK0oEp0qT8s9rSdb/ZdAeBjhrSnRqJfPvPJYWjgmr/twL5ZECrpspGmNx+qXY
UoRCkgMX5oTDmDXbmip3IexPtuX+14E77YK+tWLh4LxTaCmDg3gD/BFiRWlTPXBBOGfccpOG2pVF
pW/8tz++ggSsWeIJyagYuF3egIuDNurIuARyivQY4m5JTvPOex9Wa03dN+uRAPvQvBbB2oMzX04P
DpOpxiV1QBe16K2OfkW8C9z+vtmIbihTdt8huVU4FstdQRydMww4AODKjG2ie/76hPtNhO5IZQWu
Gqc7FD0ZHp/W2uOLBu8M/8K1UD8ADCbBLrp4aDFm06tQQIauxK3eyt9lfW375v/DSVT+ZWEuA8Cw
BWxKXdxxCLhkukFG6wbc5PKzss226S65EvJvvZu7wWZtRfOuXLK3SGWqEu3vYf5cdTfZfqcAo0N7
WKfXI08rnv7WFK1VoOVAJFgYT+DXHwhFkSH2VcrdSXTto5jIvJJT5g+BvMYTvXgOs4cYgkcOOBa8
IKQprw35ilgaCjVwt6YuPTXcZy1Se/PIgmhPejq62do89lvfAy0yA0oIZPCi6Qu/sJJQiysjo4LR
izLWtGtkWw/5VFvO5WjxBhkyrw1E9U+8owZIY7GJKJ41ak/32pUfmAXGO7yP4bvianD8+4/JPnb3
3mPy4bLNc4ubMSiKNP8L/vH1dvaSQENBIkJJsXc1yvJjW2ZXgBeeLps599VOzSy+Wl2IWRuPeH7v
dUdkrB0O4l1thff0iQ8qaPXL5s55I302dpNICOnqwlyqUgYIW5xkEDrX0L/r9Dgq2HfiYG1o9m3Q
QOBAnXkBCB6gahafbCCXHpRivkeQqZS+CdKav68Y+InpOcltLJUchnGc0KWC4jBe6g7lyvzNku36
55GiCslFCB7p7VxIqUK3itpk4OqfhKfBLR/Lh/Bo3U6oljrhMxzWCEgfBRdFwcfLn2lZTftpGZgQ
pwusKhMci1uYd12X05Xn1rLDq2J68mjgAx61Rd8tDwxsuNOaMMsZf4ewAqA6sz4S8gPzdp9sp2bp
nVKY3JMAoZ4b33SbqqcjzhDc5aWdtaPM4y8gsEl2FqE3KqQaxAV20Drco/3sxvq0tbw1JrUzjk6S
9NuMvgAlhWmbBV0OIlpK82tNrx8y+Xsp3vrDCl79vB0+kIj4HyIECzfP8sJAxY4DVcriIUZ71ZOC
r62F0nynIIZ1ee+WUKvZLRjomc/uzIMqG4vN4/4t43BkVd6nXultR7ShC0ACeUcL9nu0U3fpXb2/
bHOxQIMvBMh8vps1jYHQJW46SuUapTozgpTmK/V9eMjqTWcYmyo0/15semNpEZukToSWn86YK1ch
9YTEibKt7uebybRW1rScjnpjao7KJ86uim3RR4oSumYmH5UcYfZpQMOw6Pre0eQQwVXBb68aWTAo
Ghv9tVr1TOA1GlqUgultjLygAhVKaMibhbG9vOGLuAZWT+TypmrJqKE887C9/m1R6wF+9+rQjavP
yOfZQaSubPR5C8xwzFoPNCOWXqRXdS9OLYKrBr14j07i3+R7/LUGS2H0gTkR+c38g2o11LBSpDYV
aYDe46YUV67NN145b9KJgYWvoF47RGUdRm7ZeFslm17UNKL86rmNvEaEfna3eK3wtiK5h4p/8T2S
LgGLxFo64SgBah5QJ778xRch8eduKUj08FSc8w1jkUfBviAxr4s6skgNdJsm4kMtjeZGCM37y4bO
7RqD67As8b6T3pzltBHjuNQ71KmD7kGZrjzva1IgrSSqK0F+kdX8XNGcXQCSIloBQX29Z02ZeP3o
kRmiDw7xkG7sxaYK4JccnLLT70wpWrswz1pEkWUGN9OKWtJY+Cj55hmSd65md25MEedFP6abVLXB
MEiPwAhHW9+m22ywo5s1Evvlbf1ruSfGFy6im0FLSR3jvaN8HTeZ6x9Rb21sYye7MMr8zdrRL3Oc
XBiQdMbY9NljT6IXbbhBMCP8pU2eYsE4toO3G7S1OHTOWeCw+m1lkQArFOLFUmRRkVRuexGaGsFw
pnra1IBYL/vluSN2amqxf7hLoI4FpgIpex8CUUsZ0l85ZG9jPiGDeXumyWdENEzOr3ctqSKOXyWF
rvFkPijbdEPZsdt3Tu8qTrcrnwnwztqXOrswRqc0yFWoOS5L5kIqMUgHHJMwNaUvyES3214x8pUc
5Lz/sSpuaSKutpxsbIshQQ4YMw0uYYf7ucanPITPAAU3nlOu3J7yfAOdvJ5/+d+JuUW8UnVhqDMR
c8j3eDYoUrA0CbA59M0/h5vuamxt5di85DzXtuK1tUPpVaKIGrvJbo21+lzoZGdlg7g506Uu2upl
E8eWgQ6z29F7jYPKMfKRkZPVQvW5D3lqZ7FkUK4adDIcOXl0JJXxhHSDJsKjxnT610S3xevKIdh9
uXwszp1AbgXyZCpk1huqz1xXp04POBaI0zGievR4xBsi/JjDiizT+dX9NrTkcszDQkiLidU1ROiN
52vCQS/6dnt5OUsYxk+/4SNJYEQZ+WNhr09gbQyJOJXcpPFLcShv6WZt280gM7VqdwdkoA/VJr5v
bvEbyXSYD4D+cO39u/obFvl623louet+5ApVlLS0uzuNnDbXu8DWjbYGmmwWmesJ1jdZ9tNrNajb
26lTum2V6OGO8FE4Ep3Iz/1kGk4bqvW9nmWm0yJNvEPemAJZpnqJW4Lql+AbkVZLZecO3+kmLq5W
RWtQdx/YxMptfxSH8dN0FbjZfnAUureBva5wKc9PpeVx/2MR7r3Xnw2st+YnGRalJx0u0223HR2m
vABHuvEnyHacsTmagY3EZminbnTMdtJK3nLWP387DjCa179AFVDhLit+QUFrryq/Nms53rxpl5a4
ON5TG436GGBAPHq7lOkfmGBu/4vZn/mHXrIzf9yTm1vMYDkZa+x02/4l3XiHxm42xlG2o83au+1s
ZDzZs3lPT0zFcQUkop7mM42ItGeRGcM86Rv25UN99u5hOA1eN3nmg10+VxoxL43U1+e7p7ruX4yr
4aqxkX3+0d9x1bqXrZ1d1ImxxaLELJ9KOswkCrq6pTO6M6ZnRV6je5ljwJuvBIwNNBtNwjfj9GGq
VQnK67xe6NyrpewMVrgNowKMuWnngnyo+uzp8sL+wzb+sbnwQC8U26bMsFlvfnVC0/4gf2y304Yj
VWzHtUbosjX4KxjDmkgCSdsI6rfX/jFNVQdOspkNervMla6mmkG7wYF1eRuBN35aa8ScPcR/DL5h
ewpDoQCNS5JsPVUFrFJrFDL/YQ9/L2nJ86SmQRpZMRbyH6Lj7+tds5dh0wVXyk2ib1a+2Nnb+WQ9
iy/WxUXUNyIHrHKnrf6CAsl9uEkdnP/Os1H724V3/t3aATibxcIv+9dnW7bn0ogHXIqUGU+Njr51
5lLn978rt5iVKA2m22SXGzaMAJdXe/7g/TG7OHjlWDdWURqhqzZTDMit349NsGlab4WxZVnhWrrl
suweh9ngAY2K3Oi6uU73IKjdxvYPpq3+7FcLFEQvr2zNLRdvDz1MmFhsKIbItWLL5k1frLASrm3d
IuvpvDixRjhnXGZtDlLg7+rS2yEjsJKVn73CThxjkdgAWUf+omLj1J2/V/bw3+3Urbg6vnp2u2aR
yVkrnCbxvNqTa0VRUAqHf4Z2VlF/HpPoObRWr5SzJ+vExuKTiH5PRamnAhYdysAxnpPD5GJRew+s
HPkQbTdt+qcG19/+k/caJArcMEiG0fRZ3M+qnktlEc+rUyEXx1wvrPBcLXsKvxz8xMTiJBkqLVuG
H0JXQCT8SLlnw8hg+anZlz7U0PK2OlYP4j5xtEO7xvB79l47Mb34dkLbG57vc3vGSS3cydpggpIE
ydaXo3iVdjI850y2XAtGG335+4eMZhAF61lTwvgZ1U68psgMvVdKLCv+PaJaABqtzWULZ/f11MTC
aYpWFhK0NOZG2mb4oB8Vlyq5KxW7cue5tJQ5Dep+lBxGM9fu0nMn/NT04oTnE0NBYsrqmj7aq0yV
yWHzA3jy4+Ulnjt6bJ1pwDxKu385Z22WqMkatcYm5nc5SoypsNYDOmsBpk8VSpFZiGyxkDJSDcar
k8gNGQDs6ntv7fVybqegV/ttYBGkGLqFiQKmIreLk2MgaJseXVit+5sclj/P2KmZRW6jj6kxAe+M
XFm/EuNbCd4A3ViTaTkXpU6MLCEfba/DG5SJkZug/GH7EdNhgqB9EhCBboVk5V5c2bglcbQ2errp
qXz7NP0+yZWbFgcl+AevrNMFLRKalEmgGCEV2vmD6QbN9FyLa2MQKw62JBQaLGaFgpQ9m5hbHoyP
fv18+Yycfd9TKYGlYBYTgGHl9f2UqugJ9D6L6B3RqQ5wakMupxEJzGs1ccDJUuXz3fhZdisnvTN9
2/wUrhIqnruLDRX+VIBAKGkue6mTQG6tdFnkas1ujkUtYCAU46+9wM6vjV262zGYeq3vx71i/6Ni
9Knx2ZVOYm2m6HqqzWdslpCDbGTT7cXeDp1xK23EvTe6l3f8bMYGkHJGWMEXC9/Ba3v1JKs0JVXO
9LZ+ka7njO1r5+SH+gARM3udrKSiZ33oxN7CTbsB6Dz09Rzu7F7P682sLfi/XNIiDdDFNNH7kDj4
G5ZqPcfR1/E+PYhueWcq+zq50cKV87e6k/PKT76cnuY5ZRZWpjGqLqMldJPftrtuH18n9VZEsXiX
bPytsL282rX9XPhLLg5GWrRgbZVQdCamZRN9haHq7Fvz1EUWd7OQIZmmRgqfbKemGxm07fSloUww
HbXjoNvr6NrVrVzcZNyVMUJnWKxcaWuWDkDfIbO9g+AoO+otFHmQFlpb59kgfeKZi9stD/xqakUZ
t/HetcI33fzird46Z0PLiY3F1VabUhmW4MlI82ccVAerC6Qcq/DklU8GIc9rX2y0HOFLhQ3sneB5
oMq/A4x98HfWTXEbIEC2X9NlWrW4iCO+AXuYNXI3UF0kiDCrzQs+cEMn0K+CfXOT8BL4J55PPNTB
hirgbl+vUYoFLWJQAWiDVDhTUWzTPPlHh+uPiYVLMJYiWl6JCbUPt53g3bSVvvKiOH9+/5hYeEQ1
dkXYK8T71pDsSL5JKWVf3qfzfv3bwhJLI+TmaIZtzPGttmGe2KMEI0+frmzVvNvLqhutsr++xrKV
05i+KtUyVrxSP8R1d5u3EyAL3cnVeMPgx7vLi1ozt7hGxGxokKviy4j9BD3n12Y8dMrWDK80eU1+
Y23/FteJHAnVr6zXFGCEjHzXkJ/NIlhp4qwtaHF7xMU49lbC/o0i5PvVuzCDg2EoHV19UYLhcHn3
Vpxu2UyV1EzPYp8bUoX3W2p/yPoaleKahcWdkWSGaijzyel6ywX0BIFivvvfLWLe0ZP7Ni2DAfAZ
JpI4s0kcbbNY+SZrX35x/Mempe1dF5Gbxx7juF/7Tt713ffLyzhvBPAvMEU4epbQh7aqByYXCABK
kLhFol/1ZXULj8kaT+LZ2iNYRMhRAJHAQLy4E5hXKcewJ1PQxlutdWQHFpvcoZXmqM/aTlE++s6c
XK9ltGc94cTs4mKQMjOA2hCzVgVHgYkEsjmtxJ4lwPjXi/HExiIaFPBfBJLF4VF33XUt3ogO+qs6
DZO9sQluIWisxH2bOsJxvSm0trxFdBB91KyEnqMEYdIHqU5d+G9f/oGHnKxu/gknjt4MgT7qJYmJ
YXzJKsaemAy2/pc2Zi89sVFVqKBo/XyYEnau+Iy2nQ2hzUpqfjbInaxkERUCvZ+Esp/Tn7iXd4I6
1U+tmYWwlTdZaGuFz0BTZ/Tu5f1bcva9cY9FpBByvTcGwO0ksN6OPGHnH6zd/JRcq+KePcsn61sE
DBVNAUCm88tDUB2rhC+LmdXCWpXEmM/Mm8v2xM4iach81JmalDPl3UB4uBcecwFMs3acJ97iNanI
cx5Oi4keMqotsPwuDnDkA8UdTSt0s8bnkRjWGiT+mbZSZ58//XJJDCNoOoBpA5zPIjoVJTf6NOOV
IEtyfBhGM1nbl4P+JEJ8dtkfzn0lE8YL6HahrHyjcw97kWwBjMWU/iiEz015FWcrF+zZZhbUdID0
9JlbY5mAe2Q8tdixacyDh/tyN3eWAqiteIFGG5o8m8tLOrt7P6WnQGYz8rCIQozvFtOo0FcaQ+HY
ooxpw+l4rZfpnZRO/yShRH4VNPMvY4t41KZekSYTBdPeGu4gZoNdq+XJW3krAP6zjvdT2QE2EWr6
C8frE1j9qpDv1JZfSVfsVcXVs45wYmBxbQiRyRz8bGAqPooEuzRDM6b/fvnTnF2FwRQCJ2gWdVgE
H6VtokocqWzDyO/AjnWf+vWPyybOrWOeHuNFh1rkG3aSTiiQexCJbz2sAa3CsDVcWLr05bKVOXgt
T6glAxQAgcpw4xIVqhlJUmkoVLlWpjhFcjeaNf/pt6b6jSOUSNvL5s4uim2bSet53C11NmqrhKdQ
4K7z0uqTqWZfEs8a7Fw0Hi/b+ZlgvVnXH0NL+JRh9NKgZnO5z1a+6u/MG6b8mm2/mdweoNNc7sh3
3RUcaOiKfA1e6tweK1d0IaNz1/BNK2uep0RPb2G/6cUErjtuetX4ZIzKjdgBvQvLwb685rO5IEQA
f23uzAp8ashoIV7qSwDY8yh8/2j8Wu6udKovtTu6VebmT8G7y0bPLg6aoXmQDmagNzFKCGPg3rBg
GL4GQcjo03CBWK1s0pUvei4Yzio0EHWbVLyX2IhGQIh2jDkOIEbtMIw3k/TcWtSS+3olnzkb5k9M
LVERqZohNZOyjz2sRHNGPV0xegOYStkUuzUIxtl1GQrBcF7UG8mmIA11/2eJJS+mTeAp+0wNH8xK
/KhZ/cvlb3XeQf7YWj4WgClYXliRUc+A7O4gx5sSCdzvxftqI2+lG+k71BBB7khr/fzzO3pieHEE
zDA29LwfZ89UICKKtmm36ZzJ+bmhH+vVbvXs6W9O/4m9xUkg8EypX5FKdVsRJkN7Tg8bu/2g/Eg2
4dM/qTFaCLOgpAi2nn9enzsGpSG4M3HNQY8PJsy2QvMlM1Yq0WcPGjo2jL3N4g/LmZ/C9BWfkiC1
EXQnJ+Mm523cjt9XPGT+qW827sTK7K0nL4ZS8rSokti4Efhwsh0+NFT79tR60EzZzaOd5PFRcz26
wHdWkWTnLlXrxPhiH6NoatBmYIntPO1T3yIu/o+O9omJRS6P3LTXgP6Y35SUat0J+s8dxLxusK92
srJKYj6n7G+3E4kLcAvoC/ysr55s5+BZNXIdbKdUeVcT/Cl11bkNox0IEjitl+2LSYhtzRv3K9/x
vLf8MbzI5tTCT7s+SecQJiIJY0uuslcaW3DkA6qUL/lHWbQTJ10pe56xirAKQgPkojNWZHHskrFI
GiuB46quYheq8Y0iiE4JG+bK6s7ETPpa1DsoMTAyM1Pjn3qpmYhZZpXYgbhtD1sxQSVwpPe6YqtP
OqikGXEVFm76ZcXunHAvPidcDJKlAf9mJGxZ1ekSH5xjO6+PNp7vb2sn2AJImdnqikfIGoPjKrbs
TH6GSeZdYcCXVT7o66V6KYRnsPzOH1KeuekFt5GcYq89apvB6Tu7obzTNnaxq680wdaeL6/43AfV
0cZAxYiv+ZYXPx0YazF42hfRoz/Ue5gxbTLJ3WUrZ4KOyggIZTcC2Ewx+HqNGRJyRtqZMTX/TrUL
ZTxqielYlSTbSpJ9NRPYXy5bPLuuE4uL4xFpgR/VmRG7BuDwvhXsqa22RTmtDIGc81Pu9ZnNnDcj
nPyvF4YiaJAlBpUCdRqcrMxgRPqqRLDc9P8A7sIW/rb0Ey9+EmgaT63DQoR6rko7OzRuy8J0YnG0
L2/bmQD9ysri3KGdoKaKIhCgo9G2iu/h8O2ygZUNW4r+WVKQMS6EgaJ5X4jJJu6ekzpxYLvYXja0
tpKFy8UWMihqgSG0GOqsdWptTVHwrFOjbMagOghsUAevv70HnxE8xTh1JAwbVM7gqAvtYJKvxOZD
NXz8B8s5MTbv68nnZ6Sf1yjS7a4fNeL1/yXtypbj1pHlFzGCO4lXrr1I6pZkWbJeGJYsE9xJgBv4
9TfpmXvcojnNGM/bRMhzqgEWCoWqrExdEGvXE1vxrltZ/TqzFiPoRuDMSwgF9N3jMRZYEotzZAH3
E4g7dUmAS3FLSmstU4UYx29Ti93T+gniER3JPO3Ue7JfBtJdfGv45BbPGEfdYeL+qGxVd9Z8YpZa
Ab8pxLv+qCAVbToYUJ6AT3Tu4HdYG4Qa/DRAKd0pCw9hLy8xSrGFb1yLRZdm5591+e3AZ48pIOxo
rFl+lWcPkqo7cbk1FA/GoT8vr0s7iy1tAYaTplrKMJme9k6RuPZPdXrKfMlHZuxZNXp7jvlGvjZo
LJ+zTRjnlvmFi/I+n8aOYHftCToREp+bSBAwJDZ4QRVUOyPlOCjZf9/rAaXB70+6uD0H5AgNaDRy
b+y1wwQifnOofYVu5CPrXxDRF4Ab5CTLosYodAhUpGj08OqsT1+iaPShXbpxZa21Q7CWf6wsKxpD
KUAMmuIyGdwpYGf7dgrQ4MPkWWB7+okbYMo1d9ImO9taHLs0u4j5oHJvaVVhcXim3tvKru5+jlEf
qnHkalBcuB5h1hCjM6cHBmhVpFgYsPt8GIzCjmNJwBp4M30okADSfBgrr/tW7GciYMmz3SRg/W7W
W9jY4JXjD+00HXhU8BLPROqfTfed1BVZHgF50IEIPJo6B4lJs7HAFVf5ZGQ+JReHvVWNWJ8M3NOJ
Pfisj3+WTNkpUvn9+j5umVkkHhb6FXwQWYaWRXvHwBzrdBoYUqq++bhu6FcKs0iJLxdkLyr8XdqC
epXDEqbxbtLa6cDkbzjkrXmlXo/MGHQMptNyh3wVYD39SB63MuQ1dOGnX7BwUCWzpNgo8d2iV+nU
fa8DHL3UdvpjDo6lcOaRxmBL9DbsWgg6OeLmF8rIv74N6/uNEgAB4xJAuovgRs00LcQUg7C6f9Yz
NKFS4qKEft3IL/ac5V7rc4MDYOOZ+mvhPDaYXZtM4C0gC3dueVGoHDi1n/zQQIb4F10v49LYwoVi
RTA2zmAjpvvg1d9FqG1U8UZGsbZvF0aWgoWEojYKXQP04sddTDWo4NwR8C9u7NtK3nK5lCUastP7
XgAlOaOY5vkc7sa+mjr1G6qH0Jz9NekXn8bSLTbrUCvB85Nl9fNx78QYZT10jlBuABLA66vTDKCS
/ObdwpEEAvoFT5uZ6Hw7bq+lUHiIo1yEihNIUJfNKqVUe5b0sB09TQEu2X19IncJeFs9K8csFOYp
MOuLTub1zV7da1Oeeed/XVXzF78IcIkJakGTKplXjK9afBxicz9FmLpt6V+Ea7yM/zG0PHKppRTa
jCdXWh/JA3h9p43ztnYh4OWG1ggudtzrixOgG4VBCwNJdSG0b2bNbzAAsHXhrR2ACxvLBqk1ibbM
CuS5vM3Bc/6WUuaM2vP1b7JlZBEhO73W8rbHQhgmFSAcLYbuAE2ROlREujXPslbqNS5XtHD5COx0
vW7jaT3f4PNhy6B07kLbYa8jO9G+XV/axjcyF++4moxoOoPD25O0D1mAE148XDewtXfzD7jwZ6bX
HYuAQvE6lrttHe3SHMJNGIH638wsjk0JTFKrEBCVa0mKOT6lfi3trAxpxDY2bHU9MxR9bpOjqbz4
PFUioh7s3JlnAKzhddS+7+qp9rJCfr++orXQh04y9G/nhjkI5z5vnArZHNPQYaiuob8FSat4AhRp
7m+gfl0bNLhubm1dqJOpqIwjbUQh/rO5gtoDVHJwk4BOHdGGAyt0xzZbQ2vuZmqYlSEYm8K43SJH
LM0MMr4xYmoMqSlNAXeNVW08Wdb27dLE4pLP8Ugz1flKNEbiRKA+hoKwG3cnOSa+jf7M9W3bWtDi
K9kZhiXSzMjATQ+dhPHdnrYQauvrQVoExgzrT73qpE8NCCAB56SjF58WP9TEcuYyH9dea5C4X1/O
qhcA0fL/xhanteRKUlUFlmPW0S0d8+9KNHzVMmnDzNqugUILI/aoc6vasmAZqxDgiZQo8+zskVHm
m+kWPGdtIVAkBXvKfEYx9P7ZnZM8I32S4uFqFKBuMF4THWBv+jf8O6CP+21mEQ1Ygbl6VUPeSh6z
u8lDg/g2ue0wnFfv7Ecld6Yn/oa0+fpHWhsEgFVU0efnMiiNF05nxjxq+PzIs5/gcUhkx93E3BYy
D3NL0AWr0a35N/Hhwuby9Uwox6tzpszDoS58O7VsLzPy9mCBu2CjC7KGmodsrQaK0vktgOTr88eL
G8KVArMq/3Q7sw9yRzDHP08F2JZjPlzf0FVnubC3+IpAXzE1NrCfo3YjqU+szsF9Ym34/Oo7Cw9y
TQEfsCEDFf55VYMi886gFG9KjG9kx/ho35POGb14Z2DAqHKJn0GLDVKnwEMV6MQcW90ptuLVL8bc
5Rvo8lcsTnhrZ1RvZbz28N7cQ8ghsN6ic3awMVOV+cjr96MrPEjbzHt9Dwhx5WVeqWOiqw20jY7s
aqpz+Vvm73KRG1ABNcBpwm8pb0aPutozhWXTsR3pUDxuvcdWEmvcb6CmAg05sHTLVuJUd0A79DBG
y9tROpISMO+AVn+Tv8EO6IpliFABvLxw3gZNTAE2/vnJMi+qpU4MQaZiX53Tg9gcXV+rH3wyt/Dd
arA6qLDB3L+4E7jDb0dIyTUhFG657oGy04+cJqhf28wfnmvd41vDciun59MvWPh1oxaTUaQ4rVAk
CwyThhCUfCdK9OX6IV25Mz6ZWThuXYyKUHiKwjkHGYRaQgRGBQ7ofzOy8EgkDlk8zbvJlX1uFpAR
NTeCtz5vx+IAflrH4t2lVSC6jjSYQIGsBcuG4s3nLnPZXK5DDUj6VZK0Hvjt5Jlu8133E5SYZ/Ep
UPZ6oHu/s4Pc53t7V5ygHm47wsnDdMdcdlv+TU3v049d5GuU43ajDapTutk+pan8LJfs3wJz/5HM
fvXDmuChtIAZIkADfo4CDFSR6jA3+QCB/tFJybmM2VYhYY3vyZQvjCwWYkKNFvPGMCLtOn/uh0yy
k4CYQHZabQ+9XYiDgtaehY3sMLRQkaCCpPSjrjay7K21LpJTSC7idmjxM5CD83tZL9uHXC26DS9e
PZEXi13kB6QH+eUU57lXUiswueZlVHYj3NjXD8vaPX25qcvHd1FxxWptrGZWY0/86S1PguyXPBrK
I6fcRAd14/Ss1bcxo4G1YaYK/bplajDYRl6z+cqY+1pGkPlWuW/Ng128ZbdaKLzcN4Y9y8JchIVx
u8XMt3aHXFpfBFur0pnSUyRBEBl+yOoHXf1pTqqvi96/vrVrfnJpaBFTc4AzLCOFIWE1fge+6j5N
dtdNrNW3Pm3l/Bsubt+s0EpFnyzQzf40KVrEjnIzI8ugzOWgAgslqvxB322HlDXnvFzaIsRag5Wj
248vyGgfRM3gy03jDdO0sYNbZhZRRUhlBDl2+GYVj1DvZGgdFxAYZxsOuWVmEVdAsjY7BVZj5Iaj
y/xHzqebhJcbQIgtf1jEjbHqGluM+FZQ2zrKAtLgW3UNdcvEImhoRSx1XYWgMaenDbBxT9Ob9lyf
KXzC9EbQ70AOG53c3le9/lZtHQP/uw6k/VZDYu15c+mYS/rxGmQ1sZ5iT9N9soPEbQSY5fiFZu6s
azlCzsJJp0MyvTcb746NHViqPU5xFNls/paRBbiBEsuPlfoXfCcmGJe1mXxcne+7z4eu7CEQk3Ls
ssV3cgzVztLcCP5rXY5LE0v0rQqFDMgywsTU8CBJ7oR9pyDNTSCb3BOI0XU/4nYMUBl2x7rduN/+
DJBz3x/gdGiDoIq5rO9wpYJgWVQB1h/bzoiRf4LRttiWgnazcbZuCmBR9ItXagi1WbSDATl2L/la
fR09flcGuN3vFKwUED0wcYT9a327xRO78maZV/jb7CJqSoA/IkWE2Zztyy+Kx8F8oX4RIoCOubvd
9f8zvnw2N//9IkhD9o1KBYE5Sf/I85dEPZN0g8ngF/L1c0b62cYiVNYtiEIJeuOoMirQKsPkXj9A
nW6slV1vcsnRWjLi/SfLOd6MIul8M0tltzPVOkCVj+7svFA8085St7al/lEqm7pzeA55P3nCLFtl
Tv0rSEViH1QQOkbp6tZtaj6+pExMkOoWHujKvDgevG5U7uwoJmFLFdMtdUs64mVO93HRWr4hGYmb
DZ11GnWzPpQMaMW0z9IQOs6aXyYlOxia2oTwf9PhAN8IaO+Jfic1inxODFtszOGs4EHmpySKWGi2
2+C1X4R+E0qHmZy34G3s3OrnLOHShfp3bQfK/Z31hAmQF/nGrsCZt03OtBIiP9te3AemDtbGiTZz
2V6TbqRIDC7RG/rEZcnYaVJhjBhm140PTByMj3pTKE7JDHEUtpXEfgMekBCKNnGoY24mvJ5WrDjs
p11ZBLg05rmQY7CNoa6XOamenDA2cyQQTLxuZ+0gXhpaNs7Rr0uidvxFqBYd5vjm214PMhyIH7Ew
9rZSv411Lef9yiSxIGiOr12UADaNvatpX5r/fur502ddKoiNvOi7VJ2pVHXqFMajmT7x8v76xi3V
AtHO/GxkkVvGdCQQS8BKQH0bJrsOEqe+6c8lmLnbhCnNY4yhBpe/yAGF2CweloCMbPIJre+nPcu7
zbjVJRyfFGY2aG0/q1X8EPGp0qhLbP/6Uv+80OeV/raxCGxmDsYFYcFGmdmOhakaPdmwsHLZfjax
CAL5YHdgQMeIoZ1rt6OIHwotPWgT8WqR77TYhMKlot7L06C5lCcUxAXk+foiV/L4zz9hEQti22yL
fibqz74md6NnBUJ3ojPxdSf/nt/1d0UgfSs2jG7t7OKUN1YDmccB1JmTObgZ/arZLxur2rCwZCLL
azBYqjPDZJJj1qYrUR1Jg19MpOVp8FRP7CAJ/b+t6o/SXa+CYI3BX9Su2JMWujN8i9Biw+2NxQtS
QLuScYGPVXRvGaVOj1eJam8c8RWo2yeXWJaaKbAnUtPDih6aB/V74Zel00K5fK6tjt+hLOWjvJEf
ut31j/YfQss/B24JcJUmxWqAQZ9zsrZybCUknau8W+8kDlniz8ElCaPHonBZthc4EfG9jvTQbW+H
4xYabaVS8HkP5i9xkTlRynMZ5x+/pfDyL7qrOMobAXhj8MyA3Fu+FRquusvDLQ7dlbz0Mugsy1lN
ha3vMHLqMcaR1SSOyg5l/qiKH9c3e6Xy+3mBi9DD5Vwehh6G5AN5qXvHoJ72YgTJIXNLAHV+QojY
HUAskTjNY+1GD1uDd1uuvIw7mqg6iJgjBlDxqOjDS2lkfmHU++vr3AoEi1BjkdYUHYS/PbO1D1Xa
eU29WVWaf+oiA778ZstCFotaWeQzgX6OyVbqFsD4dl76iBI6mG0x+Sn2HToh4DZ9Q33Q0pwturKV
Stqnb7lsV04Wt/uR48CmN9V3I0EJOEY6o9xHp7nQC4a7jXtrw0n/QDGMWVlZ87U1JDQEVBwDcY+a
onqYst0okMxeeG1rF9kGJERHXc4w8q8Zils1kpOxnYi+Ve1LKuqtp+/sC9eMzb50ceYrvNtoo8JX
hgNH479xC+7kHYqTeQACv0m4tjPcFNRXfjLTMYGC38oS/0NW+k8EXHIIEa6Dt4rj2rIeoSEeAJft
RoH6orkFIGpbMW7jaCyFD9uxTDNSYbkGLxWfgqsNGvVxHVw/gFtfcBFn4iixI1piST0R54hOjmg0
X2/bc9n2L8PENhL7LXOLsFLKuVbhOQp5GTRIdPZo2G82yO76vnBMe9rwzi2HWQSXsozziszBWg/B
qxlmoQYe5m06nK0cbVmTkQu5aKyZxwPaZyb80dqJj/xEAx6YDkHAOZs76mOU6vqX27oDl+TxUhKR
XpqwvD4g75NHX8YvaCa5gLxGTpk7xZfZK5Uf9LCVea/0Wz4FtKX8lzmmIk1nVa7BrW/i6K5XPdUf
njARizQku1HAGVY5TTdzsxzNIHWSYGuia+NwLAFNitRZfYcJCY+grT6V7Z3GrQ2o0X94hv9z2q1F
vNFBzlJFOlbJPFDI9WB5A3k9mjsz6XXntt81f5vOe9OXFolNBzW4GZg6f1S5Ok69QxJH86qQuMle
7tzSdIyfkokhn60O+saFby2eU33SkKqSTYSb6LYGmYrVv6qGsnEzbRz/ZVUFEFFMOI5Y3cSrG1oQ
tyaaPxDFN6ODMWxF0K0lLYKNKFLTxGg9CGko6txA2jfNPe+2wImrrkgA1oHStAFV64WbpB2h8dBg
TeP4KPcQVcAgzfWTvrqOCwvz3y8uvoKlaCvP+UNb9Q60NJ1J/dIP/6XM6b8qBxdWFg4wqqmSpwUk
lQR5iRs71IAlQEN3Yy1bu7W4b5I4tXk2MjTIp+6O8PRgyGKDeXrLxOKzS/L/Py5VYAPram911UYq
svVBFheLpGVyonX45NVk2U49WV9I20Cbcvx+/cOvP/V+f5Pl4GqXlXUtz5In4DTFsw7o+AJIomEM
clQk0RAdw9otXXqbS+F1y2sHVcMkBUQFZlWBX3CnC5erBB0qyD7iJTv0nUNydFwhVTKGVS/M25Ea
7yrm9v3rNtd29dKm+tnNGwxOSagboXRlTZ5avZmiRFzYap+vvqw0CBXrGrEwUr3k9NHTxrZ4PGfj
iWPFfiwcSXHIe4zIipH1GaxBB08owBb6Oni3zyUYjLd4XNcydKSrBnYXAx6Y1v+81DaK9RiTMHAg
/UvMO78WO2aUjgJ2h7/YU6CVFGPm37eXM/lcxREbB7SaG+MoJzt7Vmdtt3jlVz/chZFF5Minhk6j
gBGTnK16n4FSKPl2fR2rl7GGmXRDgZAMSAaWLw1OWj5a+Gp0j+JD9YtqN3YeWoejzea1KGJupRjr
q/ptcRHXI73qCTTv8QIXtWdFL43NcYFsnLMtI/PfL85ZXtdSY6YC5wxVRIdEUhSQNFJ9Q++3gtZa
WARDAviBbBMD18tXaBUL1egI1tNnA9TeHtp83HC2VQsYnAZ21bYA4VgsJp7sZjIL3LcRT53IyhxL
+rnhBnMMWL4BARmdNWfNWQp44QZJPehRleP9wH3Z5Q9lkIG5ZnKR1nvqcavitbaeS2Pz3y8+DkCq
Y89rHWRsJT+CHMgHC9jGdbgWCC5NLLYM9wibWAQTTG39nJ5LUwnj2naa4e92DoqQgEca8h+w26LN
udFM/5YZmDzulo/j0XKtsJnFs7bGtlfzWB0NNKixokgP3dfPexcnVI1T5Zc5O5zxbe3k5RA2wMfS
3NzvWuh15QC+bOznWq3nwuzyKSYZBtxcHYADraPUgVxYf0xEC6TrFA3ZfVEq3b5rMrVxhpYaWyDg
1SB1aX2BDpVQ+4UwDRZtPY4emDBnuVYtnLW1qhs9YG4Zjn/xnr60uLgzuzqWuJLBf3orRu3qoeEd
LrUy0JqbQt2KIGvB6tLY4vARIF86WsGYpuELKsInw3trKE/Xz/iWlcWpq4gi06ZCFBFgxIxaEDmV
tXhQzXZj69ZP9z8eai2O3sBKkjQyVmOI1h/QFUNtdyMT3VrK4mK00ZWqh9KCP1S9aygpdD2Ybw27
6xu2lqtdfpZFMhGlmabUKrwubf1SD/XssSug4mxiJLzdYCxVt2wtcusKMT7qZ1WX1gNV0778Nspe
0ntNSIPsnj4CQuRNs2bJTXnXzvK57njuzukrvLI75a/YgetLX4HdIyn4HWasRZipp9Rs01kBZhYh
NAL2qEHTBtT/1a0EzK0UDkBuxBBLLs6pD0Lup61+wIYTLfvUUWW0aTMLKYkEuCqZf6UR3zgPq+Xj
izUum9MpBshKMkfumZdu5mbUnudWmQV9KDR7DvoGYmTesj+v2H/OxbJN3cYMgp8mzMmHZKcd212x
7/ZZwDfwWKs3H6a0FVzmMvKSRTCJOLXGmiWoyjOWW2i45+JWjJl0o3ZtvK+THvQX151l9VtdWFwE
FkBzNXCy4FsxcL/Iueomxt80APULE4uYUsgRm6gN4tMpOqVy6oztU6K13vV1rEaVCyOLqBJFg8Xy
BndcgpNXlG+2lu6UYuPpufV5FkElqTF3+4teXAJlUqW8UfKegJ89nTbsbC1mEVBUSySWWfbAPrI+
D9ouk/dx2pXQ6wDGKNrYuS0PWESLqh6VcZoV18ZI8YBMfyITOE7/4usgJoH0U9PAg7ZwAbNM/q15
BhhP2BTTnd1npx5j7ht2VtdyYWfhBXKbYPwuwjEFxUNglcWZSNbj9aWs5zMXNhZOUEaFnVVzQq+c
+FfdzT36aPlKOGF8CH1d4HA2JVVWV4U3sQydRh1DpIsv1KjaGKeFhAN0qr7y79Yu8SMAfxThyO+K
n/rE24rgq/UA/bfJZcpY2kqr9f+6Qth+sh3tWfILX5o8yU9mbVmvAazyKQ9bF+/A+K+emZfmFzkj
JB3QZqX4jl0jHC22MDWpOzb2/Pq33NjYZck+JfKUkV8XN+vOapK6iZ59u25i3V0udnIR0gEwTpSx
wVLU0MoD1Vd2xFfuxXvvMwwplYfyduuNvn43Xpicl33xREtyDFe38yn4pZr0fbitqRP9mnATHrBi
+ehuNT9WA+OFxcX57osWiKCRA79c2TdgtbuJc+OVtMNrFW1OB68GxwtbizPeVkyZiMDqMnGfZVBL
L2+77r8fQUYKdWFkccjluE57sIzgyE0lEMvfQaLepF+TDMyY1ehed5GtBS2ivT0wWR3mVJWJR7uM
waaeeYk6bXRu/khSZ83OuXIJqiIDdb6FU0yZFbPKAu1Bw8zWp6UcVi0tHdOI01nocHQ60m7k4H8c
r4XJxcJAsDPolpVjmrKuHaOMd5Kl+tf3DqQaf6RmCyuL6NiqTSJnLe29TDZBT2GRnRFLY6BpieEz
xVAO8dDxc9tWaum1MgcIHZNd4SBGds/UjruWZaOQHBuTk0VV5LZVPu7NWKeHpLSHXdFB17WPm2pv
dHJ1JoCa70voDAdDyaODOdIo6Ke4P8ZyHX2dFDV6wv+fep1iDjv0kCFYGJfKsaIAVqh6W/uV0Zen
SWmUoNapebLteLhlpLcDfVRsX4J4K8iwO0cp9An0LxH92QDGcezGqNEcO24x+sxTvXBalWnQxIz0
17oxe4yuRJrbjHVxozURhJalOH7OJYrlyEWXvVv5ECGbTMfmXdCG3ygQcriFEg3b01wrThbGmnIH
+laFpypd9zqZSffVoIoaUK6b5yIdONKd0rYLFyKf1XNZQizeTfM4faow7PrQCcofMttqLafUJEC8
GpQXGneYKtwSXdMo37KegahiiHLjzYIYAmS1tSkJGyMmDskk/ayashoYdcT2cq8y6mQYKs5dWZRN
4xiQ9QHJ3dj4kRFPGAUBFy6lcuNOtJrL1IrpAxcP9ibWTWGWaXUAgZn6UWpt5TGlmG3oddAjO21f
ljetLOm3eS9ZzqiLkTo61DJddMSY2zWAfRu9orpQhYD+TsN1V+47bLUEhEjnEt6Bi4C2xjfwTXZH
kO/X+yQv0/2Q19WrqU99SDGlPjkDz6fB7fRJ8+RM/ialEeoqlNMwkQwRJqyYHkuVdB8W7fWnrmH9
cy/yyWuAXgsSeFfiSubETo3ObD9qsyHQY2GeOMYrBgdjvvpbI7Hsua1qccJqmg9w/teuQUsuHHts
u0NcJ9kTPlAeGhPevn1qme4o2+YJ1Ez0VqvL2FdkS7phIuKnQlK6M+5Y86aW7MKPm64PpFp+zYu4
3LXtpDzk0jAeoCpg7zqN5Ls6S8VOmTio4rWMhL3dQ8tAI6Pb1TSfx1MLvqNRpZxZ1fLbIZeUI+JR
9CREyqA4Zo4Qgep5ekqjLAq7PhodxezbAKxHlg/xqdjXp05Dm1UenRTF+9Bqe5DVopEYKlmPp53J
23062mCFgSmoCKFRAai+tRsNdbyFdmsa5no+BapRAy+ZSwCjp3oZBXoBHEVJdDXUagoW504pdqIe
Kicxch5GQ2sg4mbMq3lu3eI/2O2yqVfdKTLoDSOV5vFcg1tCoQnSQVADdMtWaKCcBU1YRurSVRVK
XJt1tm+SUtnJmWHsMhYnNwa4YM693I/f7KnpHsxY0g5dnVRwkB71goTVN2AnGc49lywIQzSGO6bU
CEcoGT02ESY7QDpKbsrQEmMoCuqNfDwkqnpiihnYffs1alt8RJBtA77JI37EaLTfRRDSMZJ7TX0f
I3tf6j96BaUptdsrDf2aRcMdb6MbkkdBTgVq0jbZgWxl12ogrKxbP53G50ECVAMsSarIDnKdO7Nm
TqtPfmnvNaMP0pHhcTX6rTXs1Ug7cM7vxqINe1ZrjhZZAUDIO4Ba/BwjChAzu1E17WtC1DDDmFg3
mdTR5GrHefXGcuh5aEbzERkjuF5U+STZVtBmFvHaQo2ccQKLeNI/RaZxbgU/ykgKHcw8BJCXPw8t
ILG9dT+S+qhPpoeegQLJtOyd0AHjGRX5xsvpvqq0g5LIY5AxNWhZdUzt4SFO6z3rTfAPxKesq59l
lu8g7247RBS34Nt7rLIR4lvRsyqjB2aWFAE+B1EB9AzBstY4VO9vZPlBNChydKRwBKDr2tjJgdyp
J0km39SW3pmDrnu13p8nNcPEs9btk5Z9SFT2CDd35VQCUg96m9CUBqeqSzBgyaNBMqdgkUhukzhL
vwCOmzmqBRKXEYIcbmMY98TiisMs7VVXJ9wJsvq1aCtIfppm69itQOdTCKh+jJLuKJPyTO2ughfx
xolxJekpiCDlNBiZfSflBsJafVJz8t4b43erbm7bGuuvQWGEMJOhEG1jxsXL2g80B4+kIKdRiU4Q
5HyZiGR6FaDuDo21B9aSnW1NzMEL/Hag7MzB7uM2nFVhO9amaypGKIve6VJod0e6r8rZKSbaoTYi
L4q4T5C/dbQAh+lgzg2/WnfMBHlWUg7vFKAod+JZKIn0Sxqn3zpzPEwzP6FpZDeWsMM0J60fd9MN
m8YnjfHbWq3vcyEqL5Hxn8slhqtRsl2zyI+50I4Nz73egCJEZ1N/lOITJk3DLI4+xgbKvpqOnh0v
oDQK/QWf9FCLZa3lgXkycSspC4YiAYZZLZjbmzIkB3vVLyvpFl2El2IoXvMpcXXcpqxq7qu6Av8T
qGGlTAMnApgt8la8EFbtyhRQ9VxGUxcQ/ZqOT9WI75zHTeoU5vQR12YF8hvi97X80ctgObHbCmpc
uhuBCyTuxI3RF+otXkmPSpK/YNxo8Coz6p2RJA+8yJgDTY+AaMkuZ9nOGnC5g8HUqPlBEhr8izTE
g+MUjqJb360yuRGSJrstOBmdSabvMkXryIL4rzS+TZOshdUodX7WZXek1udkO+0cQ3BFhCjrp3h9
dhL6Cmar1SeZk+o9Bxn/j9gkxRF8cqonUfWZYYLZhYcwp8S/cEHDdtNy2+976TDV2eRydJVec10w
P8NlCQSvCBIjO0yYa2ZwkDS2H1okCbtuqpkXSwMPWGdCgUZinVPZHAAAJT42BNDyyo7vFPyjTKlC
vIJOGJUqDqUYXbOiYUoyv05VuHEFF1NZqOliV2UF1MszU3HqJL8bWjUgdX/LBkTRkj0Ivfdrqtzl
cnG2Skw3VOPMsSNz5hK0rN2Oaxz/QANiX+kbT05piJiUOYQTHHP1rFSqT/MkvaMxQabNkwM38qAD
GTFpdrxKDlFZ+VkS4/CklatWMxVlD7ZdkeSHicQ3embrDgS9garOk2e54C4yhdpJJD2gE1LTnL3w
zgxAJxAQM5ehxGO8xyV3k1p41qQ9lwnfkWmC58jfFFkE+UCfNImDXjNN/XQuvfdTAF0B1x7Ea5uC
ei1upHthmkHBzS+kUp8qK64cKwGFsgpscBX5Qv9F1R/okn5XIgd18qj5oUT0LTbUrwaEiB2mMDSl
a8Wxh5I61mifo856VrTprk0N4LYTPdBa/pgNykOB1EiS4Kla/GRV4luh3pk91A4kfrZzcjOBWBpd
gnqf2vUNusKZIwzyyrP+ftApOma6F0PmPEMkHFN1Z88Nwzo9CmkQDhOFcBI5fhzl/JucJIbTRCqy
rV4HdC36FovyPCnTXoIKTaQO9wXRzjQeIf4zjEA7qK9pat8ZefVKuA1aI63sQbGcnA0WfUQVVOp0
ob7aSjq6DSVewqRzaTPcayzZ23LvIMP/jj+GpWiccvxmYNaviXAd2EZxY2jT00TZXqqBPGir8Q4D
23uUHk4SBlWHHu6r3NZW7skS9VIVGaBAlOgiyc9SmCAir92sUw54oPqxCsnLSj+XTRWQwtgRPfoJ
Kp6QTmzwbBXGQd/8UcjJW0Nwqi3SPUEJ4TmOhHDMQj1NVf5hqHwCzRaDYpztkarzbIbtNIoZucxT
fHVMJrJJzZ1SUiQnV6DqMXRg5xuoxyXwLuk6arqGflBTNQ0yXYZukjiqqW7vmETuRFaEVCqPKTgf
sM2PAGeGWg/BaJV7EIr1DROMq41NHDH1x8lmHzI3IoRVGuhJ9WhU8jmPWbEjefKjlkrqQjW58jEg
+jhYzWEy8gfBrQ9p5PcgVHfjiPiNVB+HIgZmV3Ia8Ta2tj9a5mM1SK+Qy4NQdRlGZb3Dwdkziuub
zwNhQCpnnccS8DwxXHtdZT0UcuxpuLzy/yPt25YjxbVtf2VFv7O2QNwUsdd64JLkxZm20/d6Iewq
l0AgQOIi4Hf2p5wfOyOr+6yodle0T5zz1m47i0SIqTnHHHMMpF5TYOcoFvyNZXm7wfgpVWPqBuqL
hMZpFPjVefFoOtf2AVl96uXs1Pjddl6LpHMaZPDlcXZczHKvCOGNGHSUU7OZRlBdrOUpxPRgAkMv
B1AGNkvux7LVqVoNSk4RVbMPW60cI4xiWwvYNrAHhnNrqMmtztl5kYOTrESj8TFXTwyipfj0+DT4
eBn6dd9yXkdCqbha1js43Vex0cNt1wIzWcGIbU0xo+rxMSdGTRLYFGEDc0eYBa/bexR/Z0WDiORN
1HP9XFGc9gZ458Iiq+CARTR0xsi9nhVmv0pkwt/9gSVjxRPO9Kkt6c5typSH/YnOAexhLhDzGHXy
HS9AOlEarf4cFY66Ehbq35JGpBRZWEKOtxhv26m6sVr8vjjO3rovZHXnyTptmzWyLBIVrDu2gY46
fe+jTUnMfG/KL4J8UfZdTZestbrHYQg3LVrsYxlGLXv0ui+kf+tFhcXz4tJgQsRxH8oR0lMB3NLH
SNnPDozaQQUKG3kqZb4fLbBcFARnahXZ7ak1J6u9Z0WIXbP88HTkUwN04yviXUbpumtQZhDrwZr4
thBm7w3giaHGukKygygAkqwmydS/uxgmDqoyatoObeMbGKtHmtQnt4UahX9VkNdROSkZ7XiY/fOk
11Nv52mlsEH7MiZOhdcDNb96rus8pdzZK1kBvnnnKImM36e8OxfEu0JhdR3yR3u9Qf8tYg2/Lnmb
hs1jWyyIljr1kNqi9bOZPaiIuFC/sJzYgukZB7O3bl9oXx19S+FZQ9favnVxLlfwJC4lSg2+gyku
EgTrINm04ePXFWdotWLmql7x1sEmjeCwYzmaF01GsbawxYtnxjcFNFJCeCGKS1GvyV7QW3fYWFQC
5p0SasPBcmeLh7F8qeFHEbI2FarYLNWNrRD6/Y09eYnFv0nAzt6KYtXdtd3Jro9utWchPqAxbk0b
GTHVJoxa8Rx+uUyW9iSPFgh+GNjTdfyBu9eWE56b4WmQmUcp+gWbcHjGHG/UFygatRvuFiTj0ejO
KpLB11DczvUE1+d6a9C1QLF40jXZeLxI/VLtxXQipdkralIqg4N2g6t+4HirpiUZ2+E+WDCJht0F
mqqGQsH8MnndSfrmsQ/fKDWR9su0FDmNlmLcNwj9dJFpJR+YWna5X956jXu3cHT+RfNkO0h5mEqL
ckWHXkdWXmFMYISli7V3fZjSLW3UeGNcNDg56mrroKKowqNRu9Ua0lYum9UsOw9K5dHiTOkM2mxv
pwG/D837QptUuned97wSN6HVTevf8HG/his45Vba5/7RKjPfLQ89wUhbhzDaGjwPvDFtHgXgJcIP
YUPDbt8qk9Easygk3AeePjh4CHkheVK6mG+YHsYJ31qaXTGCbVi/NUChRgyr5OUVxWauFL21DJAE
gB6qe/cdEQsqNh5y8LLWcBBeMURnDlANvu+7cW+U3Kipv2rRMwVBKfIYuGLhN2T9duS7843q2Ovk
A4ILqLop7e61Ju1Zq/lltYvLXXSRY1l1zBZxLkPvFfFgC+hCxnY+3Lp6ADBLke6XEHjoWySlVfm9
WFoEcQe2BGU93bc2/pjkakrgvXl0cn8bhvUV/ht5U20di8aCLtAxVM22NwMyYByesr3RxILLixON
fgBC+0nNqbEDPI/yO61NgrZsrAEj2ON8yhe+Ua2X5nh4Qpc4bBDuS8xl+VM6NCJua7Evy+5KK6h7
592UND6kgrqXqrnJeXk/NtPbnEPgICy2DMgKhIlTnLQYn/tOZ8yOk+cph6RWLlKAiU4ClYPDmCPZ
xb40LnJnvXM7eayZczUsHoA+s2lqbO7OZxFR8xjLuowG/6W3/UOxlkiwwaCq/YTmF0NxERfWOyCt
s8XqtMZhby9zmhtUGIamfKLQLcK1XXHVtThW8YJQdW9X3wTiCMrKjY1PLDkIvaN3HvS8tywnKsKv
yrEjQIhHZm78KYD0QgK1tKgzGHm0bgOJ/Ncd8fCdcExy0aW6LTYjWMmiwZHhUejUDfPdxIN944T3
c6D3SMTvPPpY2TCfqvgeIGUykyJ12d0aFomDWSO/2VI82LWbUtjNx1ZrjtDGf6yDdlM3dMfaBygu
FJCWVjcuHQ9gm2AmkSUyd1+579zDtxnTochHMQxmieAS7qpDULIj0owtdbpnj1xknIsEhk7XDr+H
0ELMWLGTE42YZiDJpHMBdINhuiTIEUrHNAe7KSxBB67UpkCR3zRfnc7LrBBLDjc0xJR4CO40adPe
vnIGZ9e07Te7SWm+rQgMEvI3SNgFWMZhy4y9s0Oa1quToKSLektvczNHjVR4snkSWGMivateNqCn
MYO0sdm2eAN88eSOI7YO/EAQdtz1i5XTJDfyqumGq8ov0mZAFuYDSPB2Gs9MlS0OEbiK0UdWZpAr
jTmOSvzPGlY3K/eiVTdx73zjyDEIQhZF8Y/ye587zbMNaaM8X54dFmQ8fJAzRMlL8tUqhr1yik0A
4JDmj0QhlK7rQVk4teZ5R5Y+80u5afGqA9GPjKDj1p5DxHYHFXDZ+M8Db05CWVeVmmaU0MM38DB2
c97rVDNwnvvROaul/w7xiTxZSHWCKyOSKhTKcPz9Joj7SN3uHPjmjue42yUw150R95CKOVNICocd
e7M6+4zJXGiEzA9jASvDYcOCEyfj3eif0Y5IeHPtBM81jhPdv3j2gIIdDuJ2veMcJxxlqMuhuOoe
GHIBFkJi0TqSecEUnJtByWTDZb1d9PcxZ4nyragNytjLgR6UsQ8Z5aD+2k5rKk2bBvjR9UxkcC6E
FmCstyJ3Ntx7GSez9cOTj6IabrubElHUCr4PWE8QY8NWRT7OX79Q6MSqmDR5JjndA1EDvr+dJz/z
7XHPfCtrlQa4du1NxSvIwlFlCRBesXM6sQW3FpPBo9z6/rKcHN4DQbqA7t0Lm2+wkXfduiYeszaV
2ZrBSub1pUR/T5ARLZYnJgBjeTJDsb/zFdv6/Dlg+X6px8NF5VaMCvNV6NWFQSaqtwleI4FwgNgH
W4kq3ILwT7R6850s1vsVpjGTj1dQ7AunuXHbFaHw/mIn4/s3JboYenoHV4XNONKAP8I2MebLhqth
KwQCC4GxiYbWkBm3obAjQm8dpNKV40Ruc+znu4BDzFO85hi4DBhsc6bHQoF2Nt2VqNtbLGxZ7qkA
ZFHdYktHJdrrl8RDrohX6kk6Q6zRRB1oMo6oXoLELbY1NPyAMjYtUACM0dF7F4hPXs4HYBjR4OAf
0O8NWBv++r1p58zS4Jqt8nXwTOzJIBGulYBAlNYShr0VHZA/6N1MvO1Eb5r6Rgb3pm6zZnrKMaWm
Rg4xmVPjPXgt4I22iKc8Cyz2xQRdMtZ2unJw87WHsgI1LbAm6R3C6dGR6rRMgLnCOpEyT2eAsFHQ
btHbzMABTXskz6VrsrIc9tY0xbkQYwRWKnSSwnNu+qOSOEogppTldbGBbPbOC8ldPXhbRzTbyrfO
ud9m0sHoV9GjZyabs5ESPQBTkMgBiKBJj3hnoznkATlc7dQi0o6bzj0ArEztZtx7bHaACow+fBTd
fkNzREZKN7oA9Dysno5rJe9zD5GaD+53UJaKXaXcpJHDAxXwBZbhchXOy4CZ4crK+sBLS4P6MKy+
OWy506O5KgIST8QGoKn2ni0PLdpUCk0OS34bSwk983rT2Znxxruuxheov/BWIxDDbXq5D+s+Xezp
pCrxKOV8RtRM8GYBG9LPXIrDys25kOO+bW0UtO+r0ltnrO/9IcczEybzAP1Pq9j0PklUgfYbFIGQ
/ZSHQYYZGyaBteDI5nWFnkloP6PrfG3mOkMJeK1sdgWAdkNR7xBtRV0OI2cXSeXsY66uhbQ4nL43
sPSJp5kfoBN/N5d1kfGlP0KjG0a+/pvft+gv0O/GyWMbb2+HfG0Yvi+iB4zlA0KUO+EA9arGq5H7
R7K6CUSVrkqD+f1WZt08gTNpPc5zfwF266gIxI2XB5mzdHu/5xvo6kTr1O5zd0ll2KY5oDib4MFQ
SFENsVfqe6eaYj7Z+PMQmYuJ62ZIUdwmOniRvd4tBURU7TAJCg0Bpzzt4fYaka67AUyS1qGPmPve
WvWeS+/RtNVG4dYtNUd8VtfLEkSFCJ/F9GjKaROIdTvOU3Y55U0jMzWbtLUhKyOre2iab5QHIf5G
pCtjd8TGi7dM1z4K3GIqN3XVxjmsQwhkaDiymZGvHcBhZ0t7vEi9vyFu9W1g4AHgvXOWG5zHm7A0
VyNDh8juT9XSRyU/SB0kHetjopAcOBg0d8qsKNZ9SMqb2a0z5IIpXN2iGiAYW8pNb7FYC36VB+PG
tQEFrWjN0T0f0Fgq8qxsm5PPkMA5bbo6+Xlt5hOYh8hJ8MDcDkletWy9OU9b971TUN4d1JZhJmME
xORqeSJd8UarAcVXd2hoe6tKlkofoqPKjXnlpvAhfM4pnsdo70xV7vWcJy6XkGvo76EoCEDUSQiG
nht5a5d0axMkyrIM7scFi8PrvTVCy+1y50GOlmGZBkGTBA2Lh+ERclCwRE87TAg4dgemd5FAJenE
ahXbekXKwDa6NZkRoGYRjT0PXdlhva3XxyaASQ1ikatg4j1KtNGd+1w6kU95rPR3W5XxXAdoPXab
fgk2FAd1MBV7WQ+Z0/PzqL0NneQhFOSZUbPvZHMdaGPFJQmyFnhyMMBrRJoDRlevZD5uQZBDoxWI
eG5n1ohn4C4Zm92tM8PuRPOvanQhj43eD2/qfRsAT9A1cAi9NyUKAr+LaFClwpkOLSBkRbxkmrsz
lP+v7FVv0JWPHVkdWWBSsSwPdqVANMg3zUxPnQ8KEHr7WwTKAxhJr25XXTUcvSLPygZZxPP6pUB/
Ch7CSN2fPG1vhhKG4BX2J/PbdHCR0gfhZrX9q0HWT4G9bOkk9lAi2ldMPvLCh7ZJ4xwJxEk742fr
2MUAZlMyNcdJsFufDkgh+uUuL1BZjCiXGlFufNHcipDSXR0gKQXEA5r02u51ATkxC3ht23h7gQLK
rLOJFtc/5S3wPeYfS9FAZgxbBj2axJ7srSDlc8OWL9rAlACSabEhGP4mYUrbS5b4Iz0eaOyt9HER
BD3I5aYy4g1i9vfOSMeYdPrZXsUMS3cFtjgbnkSeIxGYeRdbNQsOdV2GCUBsO64u9aOvHldJ0Qew
7NOFqYmeHaAfVea7ZnH2/hzuwdd/xna7Aay594vh1rcghWR519DSQ2avrOemGr93Hn/heX30x6GP
XAFitg68yEDnLNJN+Do75qmU6h1PSkftiiX1m3PQFXshoQgy124HPTjH2lrcfmm66aEbUNT3zAcV
oFkeqqk98VqDUICNCkigfi1dF8+wJF1G6nbNysIcG+rqE/w1EHC7+WmV1pab6tGT/KyqAS0j3sPe
23qZ19KHNLuAdI8Z3zF92UXLhDaiIcAHG//RqsSuWObvAExZRG151iU6FrryEsBWCgvTdMAQ7SaS
xN6uLmgdLkEfTVlIAuwpNBGekB/N0pEJZWuT2N3AN93aHlsKUMkt1lvgKs+jC/8l04Q8aTBIGFkT
eRtg2LfJa/8Jz3jnd2TXrBREg4DxuCzRLbDHfu9i/mUboNScu9KOpy4/EWHtFm9Zs6GrdmXYJHoO
brjNZLwq4URVxb6hkwXwPMgxpqLFTg1WuJ3ROIsCr4PfwALQxsMpj8rTultUOB9tAfMwYjChFoJN
m4KE9b2i6Ee5QTVGK4gQkQoG1N42ut990NytTihQrNrmxIrmGWHtyVAIWbSl/4ADyt5Ssb4xomWU
r22Ywsfra63FLXqR144ul8hIQ7auUxyGvAMEmTc8qsR6G3DcEwO0qCo5pHaHxBRrOm/zbs7mHu+J
i1paUYKOoE+XaBoGsVWze2ayf6m4X6NTWgbpKjQ6yyHYCIWLlhKnIU0U4ddodkr0uzuIbqCnBwOz
G9BSka5ij0f1pK+5bKoY0xAWrFTyp4ICIgRAEIAtIZ5nTu7VEr52nFXxOsHDuqoqfhXkxgU2icQx
7+k59yha1xZPpqnqYoeAosNd/5Ws5YMdiCqGonYZ80LCOoAG6IdgbcAGCGE/WdXPbuOWMYhBPO4b
1LdNHjixs/L3buj7WFvjbmqUxu+ab1YfnGyM1kedg855I2wGPJKOkXEsisfk1egVo1id1+mVdOFZ
OrD363y85b3SOZoM0ItzQtBDFN40FlLUgf2Z5jYuI2HqNqGDZNWZBM9g13qFi1IFFW/QExo5EhJb
K6lxHuaTt3MNNsOKPtsutMGtLUub3NLJWXbDEAQZsQJsJmEFYH9wqPDMWOuXsL6kaqIddgSSrUAY
e9+8V6Q3MJe26wx+811sB3pdEqtl/Zeqx8/Yn5gE8XprFwbKbCobpqS+U1iPY5F3aY8ZgB0bXZF5
TvEYVg658bzWAXqL4w+d37JKnRGVwNrU5cFYHMAd/JbLTCKpyRD/9OPQmPFgr6q5WoIivBvmgG5s
1fFHTGGF8WpzDKT2uD+hqzp2BeKwMPV0K3STX4eFaOJSOl6iStB6eI/MaPEu9uN17iG+NKg5rMVG
4zecdkIwmOJC7HtbDEV5p3Npb3KUrKAJeeiClO2a2nRE4aQZai9C+Q6iuv5+AgvwoRtRxi2zkntN
Zoa330ebiATq2Hsz3q0uBPDVS2uD4rTJxrCu9gjKztVYrO0mD90eCunUzspRL5nRjpv13FsQYrxw
N/dec1RaFxlMdGGNWuRyW89oe5l89rZYOnoo6n6+1d2oYnQT1M5ApznyF5ukCx0spOoM2Fs4dnA0
afP5eghGmczguD2LQNvHET1lvOoLol5hhSkaC/6jj4C6U+1gpQsoLFitodEns076tNpsvBLw5s5a
stZZhdR0g6VdsM2X9lq49hux/A7vZWuQaWJ3hP4ChtFM66wNSXjUiwquEMrZFVKeDh0INFt0gLDm
zH2IfWLmx7Aw/kG5TCEqWEOX5b5ed5O72C4YahZaDVhvtGK1SmzLMu9TZxVftesupwV+5bciGMaz
cQOkNFgW/xvSPXGY1oInIc35u1wrtS/6UA3IPAac+6L16G04WPJWW4FBZWd0HwVjCM2/1vUYmkWW
i2bwxSsvXMut5Xj9Ia9qGI2SoUYnYwYqcjc5NbpXptfDOZdydaMRGrsC+8HiGTpRzZOqrAFR2BMp
MJvh3gmrAOrLBShza83aGxdg1AZwGZw3a1Xtq5II9E6QOjw1Dp+vyrmUVwbjOtlKkP3imkWNyDSA
TIlcqvpC7KLAdwSrN+0LUdwSeXkEECN/wDB+gXo7z4EFjwteeJfP5j1sIT2b4M0J0NfGi/ZSuRVa
PxXMSB9Gr0F/OceEG7wRGjWvW67BNgTJMDf31TqLV9PhOYZ2jtOHjzkQXlh1IZsDp3V+49RyXrq5
6g+D39voJPgt4kc3qbuQrviAmRf0C4jjr3ZsIOSYg+iKOwCPlIUntzHWoa9Q1aQtmlbnkGHEDpgW
GuyJ42q/33mBFCc2zxPKWps1WzVaM3Bq4zldXI4w3IsmWWE6fQUn7jEks9zgsCxwAkgm3iBDEmA4
zqmAf+Hk8khq1Xm4gnNgA/rsK2Z4IprFfgBfiKPn3FU5dE9t2jnZOiw+ujisBO+PLy2+WlV44EPl
he+fuV3V5x7JPfTKuzCEgyIR8HSoQOFtd65dTq9D05HvDSmRgzi2AJFG2kPg3bSInl3cDgHBsUbA
wUn6eezZHs57YJo1E6Mouy40snDla3DguTHtxthuhcqu5qjysRzFuXOq4ZFMA75JqDosVZ9zfBUQ
g/k3g3cMB53nVO8wi8A7QEnYH8HbGF81gHEU4Bi1RgUOr8Eg6vpVyUcFqora+I4D8sAIgwcwmCE7
DfxIW96YSmvkTdIRC6OFIR5c5BGnq3H+ywbeYKKuIVYsSzeRLqr43RgEw3oEZS4MoPZmMVPvVtwz
WiHOWt96wdC6ceWBKHmLrlfr3aqi6p24cuvwZoV56aYk7XivJdX5VlbNjJdNCTSEx4LsdGhBzcbX
07eJtYMdgX4LMMxzawGgbrAJfNAGegrbwWMxNJWrG1EBMFndIYg1becdhk/lhpCOfScD7zsw1Swr
cmeDEEDZog6CVuoYFAxzFDXMI1EsFvRuYmh8KHCJMJ0y2CwLyolsCxyc56oSjdwOaqyvmAmqIXXF
LNvINsAQKugsJ6iVwRGriwKoSWiPJK5de7x14fq+CcwqTdKNkmQs74MYQsLqSawMFasuxEFA3nkz
oDF9YPmEfpyRc+K5gEdZVZkMjC2IMQk+RhQWYI8DaAtRuSz1we2LddcvwtxStwx3xmopICmnONu1
lW85b02aVxpHrOyrRxsc4WyWOF7KoKFwg0ebAVrPfFehC3qwZwYI06EAFQL05WgNDmWbj+z73EzD
ngBWzlDbWzGoFTN6LmYFIXYotuDWAKtRVN0ick7RsBidMTVXWVVDfttvgTD0TW2lweAPb1XvujDF
lZN3mzuWvVkraJ0UozOjVRx2KR8gXOTYKBcm3rHDso7VPjcC8gAgXt/JGaFlIi6PXQ3YsQC+thEF
XP1Ebr44tQILqXVIQhdvzsrJt9Gl7iUI/Wj9WRTO7QJARGhAy60H1zuIwDjXQ+Xwb2ugahGZcdIP
BK/adQc+aRi3kiNA9s647wLS3ud6QBmbd6XGCVGQlwYxcuesZdCD9YXGroEiyVsgu/oFynLouOS4
W7Rc5k071RD9n32Pvfiyp37aOnnzdbLZkuQtqTIVDvDk8DoCoVsP/c8y1OJdcVZc56rtT9wNvGun
IngtIN8hoZZVIK2epAC/ZfCLsbm8AqoHgLjoh7UKO/DeKn+o0BzhgJ/6kg6vriTiCRrjPZaPYzwf
HJwSmfGklZ+SBhcBEjAcKqsIUBeK/M0ZfPBaNdJilC/9zgcYeNcPDQSYam/6BiOK+d5ShIBh705m
oxvMAfAVHQmGCYUtb53wyCeH8cihwXoM10Whkx4u1bMtpv6Mqe1Ax2vAkd+0Pg64RZvgGlzF9nmC
RlLmcmXgLrP0tyUzBFQGU90hOvJTjWT90ZcF+ja9J77QmYnbcizU2UMj8Yq1ZhoibRH3pmiZ9aVt
Jge0i0JYsH+efRsTS0MDjN4GCvaWly6o1jOyCeipBM43OLVPm7npgSyC1bJpWDicet2oO7svhgOI
gut+Kim6EDRfxMFMVRkrKX4fdPmvPxn69P/+b/z8FcR6XfJi+PDjv4/lV9327ffhvy8f+8+f/flD
/77u3ps7kHzfh+Nr9/Ev//RB/Pt/XD95HV7/9AOaZuWw3I7vejm/92M9/LgIf28vf/l/+8t/vP/4
V+6X7v1fv71+k2WTlP2gy6/Db3/8avftX7/ByNbB8N1//XyFP359epX45N3/+p/2HzevY93+4mPv
r/3wr98s1/2nfTEMvJgWBJS4lwFG8/7jVx79J6YNGAtgwOmEgX2Z7mlaPRT4mM3+CddxCsM/dvHc
oRSTXn07/vid4/2TegE+6FECp120/H77P1/x5ve57d+fDxblj5//0Yzypi2bof/Xbx/G1y6ewH4Y
EsiAUPhk4wv9eWBO2rLnzshIrIHyV61zwRGzEJzW3Hz9aXF+caWP+oR/XIpCAsQJCUxHP0zKEauv
eG9xdKZ24DDkHJZXUB0B7zxdNjBnOmOwmEuMsGME7FPxzA+DZn+59ofbLIWqZwcLimENES3m7BVP
CujY39/hr9aSwa039IMQM3T+h4usSCCdJsdauqQ9GklO+LtnOpkvlVafjLTZBM/lp6n8Hzf087U+
DJgVHPlviLWOS5DanLY+BqA/Icsv50ijbkMVX6LKpECZc7mhvHn5f7hVmCEA0fcCP7zsz5/nLPPO
1rpUuHxt28kA1eE15DhjQc71PlvVD6N0v98pnC9trCh4TKHz50sFnhlD7WNVS8WfZpCzFhySf383
v9od0DULGYGfJZSQPi4m2Ge8KbA7puHZl29mfC6rT5QyfrE3AhDl8cigVYUrfRjVowIQEwYeSByi
yVq4QFvnW7GKrIO569/fzC/W66crYeH+vF5+WWoKUBlySMZNnJyDa9R/Mrb5UYfu8kwCh4G4Bu8Z
z0EY+vM1Ri5tb+S1HZNsTJt7toGb5hN/+HoxPsRsTFxdgwH+iSvSr1aQEnZxy6Y+wuWHLQcUpbVN
VzigJol50y3I03pvkHE4VzPkbpDd/v06fhwE/3GTCNuIi4jeMHn8ML4coO9XT5ddYfZwRy5h3lkD
yc1g+5pVMUxn9n5SP8I2gUfsHW3ST+RofrEnL265/7n65TH/NMm8FHMzoLoBKQe8VntG7vVCQV78
+3v87CKX3/90kbnOiW1aHzhn3WMEB2VET9ULs8jvWcKfkoSfT5mPo+B/WcsPD68OZsuSK5rSF80S
UEhAdN0OkX9tx8UW9nEJ2302Cv6r1+Dn9fsQjG3ZVsQdcoIWQJ4BmgRXPPz/XL0PYUMXNsNgMQ60
fmC3K1mz0PEhwT5+5gf20Xfi99WjBGVwGGD80/nwus2erjBHM9uxDx7LWr1d+uDLhcET0BML8wsp
8AgZnk1HQGXorE9u83IbH46aAPvwP1f/8B7IadGzwB+g0byAxgbcYRJIT/s2mVAKxOVsxWMY3v/9
zvzl2+65DmyBGeTp2AcZhNqQCRkJdmYuQdZEu87MKmbt9xxgwN9fybv8Uz/dH9qvSL+oTW3bZgRn
5oe9qTlGDue8QmuD8cCgiF3hua0ZeVENis6eWtbZwvRFNo5EP1s2ikkL4NkmnF2xFV0Pc27frHXk
jvkKJpnVncTiNqnrj3laoP0Vo3WESLHCQMn1HW9bFjw4uyHlgEhA2mQdcY5uMSgvtYrKfRGiU4eh
6EFBxLGLSVegreG1sOoe3mvi6tBMNRxtBeFR0agJqDQTdWpZ2t8HrltsCNXWNfwggebUwr5CPbBg
ohoIno+R6RvHtTCi2UzztkVPdb/2pf3Jm/7htfuxmCGSApzWHra7/2GzgCVUrSCKUTAuwVTvvinv
kwv8VeIBj+vnK3wIjJg9cSbV1DTWSX7Mb2Eat/3hBQRJkMSJrOSzQPLpBT8ESao7zGyNuCXvutmF
e7nltxffS3nRcasS4HKfnK6fLeGH/YhMwWohVAwVeUy+eYWJnf4TraW/ulld1hCpCHXxXl+Kjz/H
fQdzGCPGHWl88RGerzo40bLIZPO2S9UVgnRmxxeTWfby2WJ+OHB+3x4/XfhDJDMYuizAeMeFu0eY
BmPYEPHyk5Pzl+v30zU+bEGXdgMhDNcYWgHK5h1Im38fMT7G47/cxYctaOVOP2uDK1wksby3i/pW
cfI3oCnefOqP+NfohEfkokBD8Ugh/fvhbng7oO/yv0k7jyXXrWXbfhEi4E2XAOiK5c02HcQ22vDe
4+vvQN33joooBnGl01CoURITy+XKlTlzznGAJPHk7Wbx9/Bk7QD9uf8HPYPPq3NuazGuqBvlGHIA
Zs5pXbqe+h2aY65h91vlqNhgZF2A6buVyVxcL0wmfF86bwjVUAyiycVeHKORZn4602z1UbRFV6F9
udrET3RbuNbTXDEmXY2Ig108NbZwyL/8G/OQB2hEeNxx8iIwV5WygYEc892vHtkh9ag4yj56fhcf
Qn8ScDG9KLb+hfz04brp95GdXzzvTGf/37SyiNS1pNTaoZ1Nb3uXLgbXPEbf6INxgNHY4eZFcCu3
4BuG0M5QEzdX/Myl1SbDQNZfQ7qciP7cCQgGaVMokVWb3LcGxXdKb5NYtXPrcfD0b4ZqqYQummzw
kFv4UBoXwYDpk2qPx/RNL+33cFp2p318C/PnYdb6jO4MtNa2VO239OGsetVFQPG+zSB/QYEMolgc
3+ILVPpBuqZogWShIqeY9WYqnvnP6Mz4x/TsGu9uqIll3aQHDMPn86qHUzWIMWhM1Tsp8fcAxLs/
jP988c6MLC4Jj1QN4BMWL1VfqvJLjXJM569ERp/1TRYjWewQcOCgMBpG0tvSdub7Ep6aTeMi2bjz
t/napTT/2uI4nA1pdhQfHiNGEmaT2M3ztjPaHSLFAGft3KZp4FX4ARMDFAa2yGH8S41szbm+QS/s
jjPbCy8wJcUUU5VW7UF6S5PiZpTB5dCVZZXFiqXZh34eJTkizgFh7VKta8gDUv3zSVDik5VFdMu/
Xh/KJQMyUSyJPV2Bg2axaDos930xzkdt1MnoAb+Wv/53FhYLFXdFOoUKFryp3UT1qetWnt7vTncx
STpJQo4rD30ZOqrzrZAbpWWFXa2zFSgFHYX7cJ8/CdvsUN6xLx4DGL1qB2o2NM70Q+nELxPdXXZz
l2+pljmFs3ZLzEf20/eQHdIgeOAdtFy0pvNrqakb6ByG9OTTJTdZzZOcvFyf1wtWuACxgKKuyY24
GLWgJCjvwNlu9zQ9U0raFZm5pd61cqznn1kMxpB0XZd5Wc2vuoUZ2atpcfd6jclt/p8MTrCvdv9Y
QETjOv+PGVLM52uo6V1QlMGg2V1ufZfK9ksWZLanySuO8EJ4fm5nET803YCM82xHvzXuW8OBXGfX
ESWJqlufRKfarXFZX/AVhmQQkSFFrIq8T88HVotggqHk0QAoPQfQ5UCkJRk3Eh7j+na4FB98NLRk
IhyDSu7rmIXqbTWAJ4IIYXDifbmz3FZyij20Qv0pctXT/75C/Dtxv8Zud8GZGHQ/zTIsjFZf5nlH
P1GawK/orB5amv4UWwj/XB/lMpc4X8xnJhb+qvc1atqQkbMdwye/3o5u91zeJtT2b0OLh4hwHJ+F
BzDrq9fbpcGpKlx33NZ4y/ed9eHCycGhhWHtoQy4q4/WffRAcc/xHKBflSPs6JPerkXz8hytL8/e
R5PzJ30wqWpTH5DjYbM+lj+Cl9Htd/UriHY3v9W2hH5bwf7Vf03u8of+PgA96EbHf7N9P37CIjwp
uiYGWMgnJEgWtn7zBBjhMYrK3K7VPF7Zw5dcGjGXbhLcw+u7vIwqFbbrKNI0m1ZV3R93UF/F+Zqg
3sV1NLBCokxTreULopyUYZwy1rEUYeTUUzo2fl7fpO8Ztk/r9sGEfL5urdpYSjFgotmitigcRTch
Dew9eC8RhxAB8vS5sb/IDwmvBes4i7CqT9c/4dJMkm43eAQSxkrLzTp1hlkEnaDZiqqD8KA/o0Wq
t3z+51aoOKqk3SQSA5/eBH7Yx7LHODMvBuhP7xQV7W7lyF9aL53ipsTJk9AaX0ymAdqI15ivg2b5
IZt/xd1KAmBZHHt3KR8NzKfwwykrYpHe0SrQeW3ox/bWO/ya7PhB3huH67N1IWI1SI1qXKU8bSD4
PbeTlB4dpP5ckkiEgxg9ZqW4ydv8HlDsJtb+KXk8fpLHC/gz1FuUTw8Y4E66UguDbIuC5RqQ7qgo
qtVF7lwf06XoYK60qUSOFlHI4tq2qjqq27aHDbsN6hslDbJdFvgzGhKKFFpY0FMNZKAukVE/0g0i
r6zdpcvVojzMM1GzNHE5pZFWJllfyNQFmiCGnFLow/tOkMdTKlHhSX15/HV9vJc240eD898/7BWV
njBtmDA4iOl+kK19I2S76yYuHF3go5StJMuYXdQiQgEGFExyYEq2mT+X7W2jHkVtRZ/+ognQAiIp
Imqy5iIk93OYSnzZkuy2K8ptXtAtBklh6IK0n+zro7kwYSauQadgqtA0sQwJYGmapj6DL8NSGtA/
dFH3365buDQYHJ0JUIAnNDXf8yVRBC0JfEkGbdcDFRDIm5fhbhzjlRr6/DMLn27KosqskPoxqfGd
mxmGLO2MiYF4JhA3GgD07jn5CUwKHD9Q/DX8w6VRyRKDUi3qGqq42GhBEFRkgiyw8zTwdCO0VPEr
ONF/sTqyrFqgRvCtJA7PB5VqXi0NEYOCqmzTm6+JsXJAlzCO2bmaCrPF60GyrE/hL74gztsMp1dW
m9YNvvVvqQvVzS1IKJec9Vbd1ifuw+3ae+JSNuKj4WU4XOIT4X/FsH47OJMjbRLHuMOzF3f/Bw3P
S7tcpYAhqpZiAY5ZRKV55vlTJBQyUSmCUvZwUhwG+TrdTbaGjqXwILxc3/QX7hIy8sBigOMYcy70
fOGETG300CspJsbg4OgRfAZaOm7KnPcfrWotLYPt/rrJC76W2hfaP6JOveZToioTK4uSGCZTv7fH
QN/JYbaJIeBA323z35maP+WDl41L0GcQvdEyCndb8yLRaK2HPxTg+9ftXDpkGtGtJqs607gUtfI1
NOPqsKdSOjfmdwgnRaMrUaK/bubCJWmSmiB+kTWymuL8GR+Gg0JMEvYtOHF1Zx7/V0kWPZ/d2gJd
KDQoZ3YW06ZnqW6I3bsd6+tcn6GdxAl/y5sCkb/rQ7p4rhHqwrfLIMHwi+djkjM0sSurlmzvNr4T
XQ71sdsnN9KuPORO4Hr2XKen6LDisC69/xjj33YXG7+2stgc6kYiWGu22Un+4yUbGI1c/Xm6m7UF
YihqNvG9tubHLp1w3SDE4MyR2FkmhNFTlsIoVah0HdSjgAi3cTNn3ju7d5o70UmO/8qBAflSSbdz
b5IcOZ/hustTLS90YptDeGcgF+3vvOdZ/2rWMfgX2f0Zh/YfYwsHpsIcJ9SQt9lt8iWBeUEJb5t+
xWdd3DMETwAlJQIbcZlKKkOoDybav97riM1BRy6RirlNfu5dho3mtPvwPrldq5Beurn/NistU0se
6Fo9VgFe+AkdPgkNT+ltapzisYDDDiK3eGWcl3zzR3uLAC7TuoocAsOMaSqspYMAV0CmeXDSch7/
RZyASzFMUSN5BmR0sXB5PPbA86lvF9BbqoOdBZ4bDSsvl0srh7wDby9KFFzmywxrUGWTbkmUMEeI
5JzmBBZzJznRve4Yt+O2PUlH0VHRTNdX1IQuG7Z0mVIbtpUldAy6j3roY4bX26It2zDTHLufxTba
qt/kl8YVHdosJQhMAH2sOO0LB57Ii3qXirPh34tVNOEZb6yWFtaA9tNce1DbL9dd6IX71OJW4Dzo
dF8RNpyfb5mGFEjBKZ9OVfRCuwRjkKu7coJpOoG7amU470+h8/iVm5vivcVjXacwvNgoWlsVtKhC
XFj+4cfpa0XU2Gn2oMNZVaZxHQrxeQaxyNBADyoaUMmFxQI0iQRaR7E7c25PHdM3tf7nAayqUoUF
cKcYvEGXNzgthMifEA1RvZfifVLIcJ4hjeBcX6oLtw5m5lSKIlu6+kmWZxIH2e8HzCj3wa75NZd9
4dT1N82R3lhP2mg7xS12yjdlxZXInzcJhinlE3mpKs/55S7UoCosyCbZ8ZvyKzvET8EB7rQf8X7W
8uI0uPhpsEQb0teUQp3CRgxgb34VT8Vqhv5zFHP+KYsbn02sZknFp0iFeZhoUqapeq+H1p0fezey
4s2ddnANIMF0ffIv253h9XgBAPALu4kFWX3YmYoN7naX6MmvuqT3eSTYTs12B/LlOUnpYk3jbnfd
8IX0KyMmZBIl9AIkvMD5CVX7Ts/biBF3W3pjnXaPukFij2/DgaQ6tNffW8c6Rj9Gp9y68pawY7tf
SwFfOENAxEWRh6Aofy5teVXglf0YqLYGGUKY0gzbr7jYzzEw4a8JXhVMG4dxeUppkwZkkaicIF2H
BACqASmzFeHX9bm8MA7OjcrrXBQ1oF6LfdyMwmRCDE1loE0gYIS9NVmxcMnBnZlY7hMRgp8BUmeu
it5V7drOX2N7sHk5bzJXOKzhMS7M25m5RSAKt0Ik1SXmqgaWCQnyh5rC/ZpE4WUrXLxgK5CIXyoE
9lKpl40Wg+k1BmfIhk1PM1bWrkXzn5eHRYHpcUZ38GJfRrek6BQFM7pdUzOi+7B8rF/RZGT6oG9q
7OJ7Zq9FZRfqVdjkKTkDNrknljGFZabTALOBCQVC+CeN6O8Xfsj0vdPM6ZTy78b43tPdVMam06sE
UHDCjfB+B8BbpJqEi3ofVcXPvrKOErDdPss2kCA513ftZ+8748clmXScxRHRFjcYJd6kSuZpaeJX
WW8dBWKvsmt3vjGtXM8XFuDM0iKJ1XXAg5FggT8afCaX6gHti5Wk35qJ2c9+eIXSZzioEH3obCX6
ZJX4K5n7lTO4Ml/LbHBc0+YYJJhQfLr1IDKAgeAgUwfkmni7vjQXQIlna7O8+YWxDIpawZa68/f5
sXuYtS1Dl6wzjdbbuchS2cWt+tTcrgala8NceJqxEvHZ+rwtnKjbkKJ7sX5GgiP9hOvh0Nwl2kZ6
9Wl7vl3bj5+9wfmYFz5nsHrLGAsMV8ULbzlof+710VvZihdibt4Shj7HpfjquWPsbKNUaMm3mhGa
7+h74xmAsC188Y8xkqjZXXAHGwEg/PXBXZhVQ+a2Jc6iLkdEfG5WKaWhHVPJsKXxLkx2XoB+XvVD
blZe8heOwZmZ+e8fjkE8wA0xRIkJP/rgeLwBk1WZ8c8RC11OuDVD1MF2fRpJm2W+0qcS7JMO3V23
6qP61NvZQXWRjfC/Wy6wWQKlZANp4DPqvs71kyHPSdvzSJ+GPxLHqsxFC/5/cdBhqRDBgI4m7Taw
OuSwvzxZG1RG7EN30x3Dl+IufLBc+ATf2oO8X8tCXdijWCedZmraPAWLZUSLB+kYmvPtRov2A4qE
YiwcJvrcr49y3oSfB/m3mcUypl6XwKvFHMfyt0580cQH3YdM+L6BIP+6pUue5mxE84g/7Bj4Dbyp
IkSzK6q5gyOiFYwKgRs42T56MzfeXnjMnXFf3qxF/xdCmnkl/x7kfGQ+WC7TrBInmZVstvpucGYh
9G6vH9Db2KlE+MIKkOri0kkUnkhwkeddwi5L1SisTsJcC9Kxj/6Yo+JowdpL9EJYzag+mFmMKgmb
ph0y/AtklxIwhvp1zqM1B2mvg1S+119apz1ptxC52cYPSFPwQ9krIjXXl/WSu4Gnn5QeevayukRK
D5WvJpD5QLsDX7emvcaSsWsblANWU5bzjv+0VUEaEPVavMC1xXXRhfAtdYZiEpiau7mLNf2LFvBN
+pK54021XQPhXAqsDCo6EvIVVM0JFs53DdRkUa+NomHDNt27OvlDxPAczRm2E1sIgpBoG+68fWag
Xb4pf4MLeJb+hZN970aWiJ5oWJ5d1IeNW5MDrJA4MuxQeJaTnx3sXNdX79Lxt7gtyJ7MD0Nt4eOk
aoyRmsaLo7ln18ndqD0UCipNWbOJpTWx3GU/2uzKTJ5fvF4kynFg7s6H09DKlIeFArSdp0X0jefn
O7Sezgfva4tGnx248c/rA/y8PVlAlb5FU+PNC2nJucksqWW1S6CdyHKKgMrYKBuSQhFeFRyXNMGR
d93e7C/PN+lsjzfGrJyrkCU6t9eRVxeVmCxlnOqenfs5bI5dK60s20UrDIkpJHjmYX1uJe+QxhsM
aLn9BBnggGqzOVRrQ/nsxhjKByOL82YgfZay/Zm6NnqIB4FNXqmAMfVOWJm0NUuLSYMWtUeJBEuK
7kG7kf/Qe6i+s3/+eGZABmVgHukm8dFiL8CYkSIXaUJmPrXI6STiNxH+o3+x/h9sLB4go+pLKj2P
ZKnrAu3b/lnOpn9cQJyHwRMTvBDF5mUZLJ3ygRSRwmy16EqagZU6zdjBHRh6p2QsV+PYi0fog73F
PVMn6EH7MSGC9jy6+R2UgbfwB78Yj3PPceAaB0dY7SO9tCPewz4ZJPJcDj7f4DKUMYKCwhjgjV9S
9rXVBIeKg3t9rS4NzIARgarQPJvLezosAQd4oi/AV4cSox5tFXDGsKtP/eN1Q5eOK815FL0MXaYI
NY/2gxsHxyRqvSXAEC5GTwL953mr/It999HEYpEMMZSk3sPEAHU3/CtbMw++/XejWByf1K9MxEmY
LjiDbtWsVuDWNOSVcGJtqpbnh5t4qgeMwAO0jyWUHwrxx383juXe6uk3lRLLQ2hpmxi6gzzGyiA+
36pABv9e7yUcBHK9TvZFFgNZyM1YT/aUw/5v7hIEbfXE2v5X41EXl4HgNxCa5UxZGKDbkKXWoxCq
/zi7OY+ICr82I0rl5YXTVnUitlooQL2pfPe15hcqID91w/hXS/O3mcWVkwqpLA8QRdqTmgPqQ49S
GaPD9em66Fo+DGVx2QS5lqZmFDGUKv+qS74j1MWPEhLP62Yu7gEiAdDb1Nk/gxXgkw09HTNqVJQb
ZcjvJSW/MwSJjuHgNipWNsGlUQEVBxQJ0onX/8LFBL6gh4GG/pBAFSFPv4QoISeivpLgnE/fMrr5
aGXhZbQuCdWiworqeb1TxZn6ZnbJnVSZtd1Wce6OLdTo3lQE7vXZvOQWrBlcIsrw5YBUPPegxhTF
qmCl78NLYLtHXEHtpnalGeqiFaCxIh3/4FiWL/5YkUfkHiHF01HIpYZyG40rnuFCCDzjt/5jYtl9
mHcWLemigIjxD/nP+KOmdo8qxYkshnGErGwvrEISLtS+zk0u/AMIToP0ro8S0pv2S6Ovn8c3XPXQ
dm1UW9r4LjS3AKwku34Y0k3ljk64K9zBtf6sd3FcgJOdf8zihA9BqfJq5WOMZwRY/H29S3f6qf9q
HeEv2a6h7lfNLQ77iLgNFVtWFB7Pu/KutlGwePmVg61Jvq9heebNvzgckLK8t+BrcLQs832xkEWR
JIS+M8EMtOn04ORn2jc1tr5Pibfijy+kNHSMUXGSgMt9zjHE5qh308jAOuNQ/mnfgD67+S60FVjT
HBnk0OpUXjj7ZxYXZ3+yigmVBoanZPeZsR+pDXX32hfzoN5DwV3dWbfBnRls0hMymc1q1fSCf+PW
4f0ImNf4jH9UY+SeKUwJNhkqCaUqBUmS1eD9QoqKWf3byhLsWPOs06MKK+icOtXLRDH2LT0G0RaF
zvq22o9b0UFnMW7saKBQvYYeuuB/zswvTqpmtlHWwGNpI4SCtnkPmjhdSxtdqMGfj3FxAlHU0qM2
Z4yob4BZJrfpal9SO+YV3ndI92y8G611mtgJjmsp1cuLSPJGM6hBUyQ99+LZVHcJLemCbSGqEGfw
Rijk/dGpvH5ZXOhEYIgK/2ga2ZNPtViLl54qFDhZ8Ti6M9ZFPYxbdC5u1g7FhRzRuaVFuBqXAZkx
mcmcMxpCuIkc/7F5Lp6DbbM5nXKYue1o09Dv7Lb7Gc+31gshXZzSD0NdXIxj3JuVkTHU/mg9Ry+o
pM14FMuVdtGP5g2Q7qbYrS3jkqOJPI41zystaqSkaI1crGMreVoEpyWyFw6L2CIHcwPft9scim26
y7u9+VJwi8DK0z/n2aZf7aH/PGqiKh6/OjhaHoifko5RLYRyD1jYqX7FoDVeoMJFFfVJP+n3kF8q
PyCnfV4vtb7nMs88/GyWzjWoahXQW0ssUyflw+Cbuu/IyEzfItqRPVmdLiBr3fhtu5PMSEtD+K1z
WUKKM03zL+SCEAUR40h3E1nIX5tak39kSS7+0ntxHHcAl5CvCVpl+q0CZCLyKJDshJEv9N4It6Nv
kBZmWxF+yq0wpv5jF8nfw1hT0W7xmF4x79LNTDv2WzMLdFAg7j4UitU+WlYd/BoMDe7062fr035j
Cqifk4CQAR6ay8eGWk5Q36FF4sD+iQAH7iOAKNNvdtfNfIqeF2YWTmpQmp7MJJo0nVkjNLJXhJdQ
/gKRHCKow0pM9snrzrasGVdMrU7+FKn7XZfC6N0AsjVSO81OLfQX10dzcdI+WFhcnZ4k6wIax76T
m7Q9Bn9y/efk/ePLg2FoEs1KZKrJ5L5HDB+SDGlvhaPcQ9peNic/BbDRpSt+9dIwqCjOFJ0qs7U8
9rUZWkOuxwEq6N5jmue3loUYteV9uz5bn+KoeSCAZQxiqbnbYRGzoZJl6FBLMxCkYeX+VCZuMUHQ
DcfsdUOXFp44jdri3IoiLksXFYmnwstZlkoNvwSAg+QhWel2uTiWDybmT/iwKL1UFXGp8sjM+flI
KW0ftTQVAdV0+nl9MJdODHwecy4LD/WJgCCHo4+M2RAgtJCh6goFlHzQw9dAha0Whqrrxi7tBDwh
3X5zcyT3+fmwqjwfPZX8mdMXxWPr86hAB3xbVtMareKlUc1tEnCCUOv8BBjselKhgiVTI/TFnad+
yzRxg8zVoCM3kawkBi6t1Udb898/rJWaF8aEKgWSmlF8g07qXYXmjWSkR9lP3Ovzd2nn6SZTNxOt
yQCGzk0hIAIGQUKtu1e7TS7pm8bfX7dwcYU+WFjEBWIazko8eeAMSnobG2zAqrqtsjU8/8X1+duM
tihQ5VVckEppUCxVBAjmj1X6V10nu1b6babd7+tD+vQAwS9w62i8y1GTAMV3PmldBGciT3cUS+Pi
VWgbhHp/l2XjjDpwACve4cN31y1e2hEfLS4mEUeYZWHpBQgjglOUw8Hu/OAm7v1XCH7KlT3xfmiW
0YUBQI1WJOpjn+AOveT7RHMqez1S5PJWQutvQupWNd9S6PhuxCChYcgYomHnRb74IwypK4Hy8noU
fmWhJ97q+0PXo1OkyWVmazVs/ko3fY8Hq3CKXpa+WI027kLdb2/DVI0PrRAjPlfLw19p71V/Emhs
q5VteGmjG7JB3x3FKjC/ixcNAqsCUFchcKBxr+GzQVDjII3hsBaWXFwp+rMBDGlzI/Xi7KIhE2no
rYTEC0jMtcrzVKfPatOgh2Nur28KXM8cfXxaqb+tLVtLOxW8VBuyE6maFltLiZDiSlWtP0IJbu1Q
AutvClZvi0RRSfjf0RlVR7r5mKSD+K2wotpJfcPaBZIe3zRWOO31LDbuyJ1126Qtcps+xWQrd6P5
fQpk1CyjybgtSiX9nlP036h+jQAlauE3fiPDZaMHofcghU31LdZQP6fpn2bBTaF7mTOMXo7KfdI0
pwqxn29m3cLJqZRV5oxhEsEJihLW5DWWvu0VrdglSqqTHsqgZ6o3edNLz4Y4Zq+VVcRklq2+fVM9
oWpfYy8We9CFMiKHgx+7aQS4ejNkZXTTGmZvvVTaYDQOhxTsTFOpGx/c7aG3/OKnpXnJuElNJNco
XGpvqZGqwmlq2yJ9kIxkCn+Gg1KZv3IBGawt7Xmxh1BZ1J4GrVZuS3MEs1zl1q1IAH07iHBvBk0j
fq17GDnlxoxPIXkYVwwQLZOzIv8mt6q3D7uqc/1Q855YNw+uei8ZToGV4xpDpXRQNYfzPe3rR4E1
OfjCpN0oEPrslTRCNRPC+ZM45ZMtR2nollGL7BPC3tE2mYrUMfv2qRV78RD68D9acCQ+SFyQKD3G
Ey2Lklzak14Y9ph08MuraJ343a/eKiO7oMpZ5wZaUAgT3ehSLZ+mCsXSxItRj07G0J1hk/02lc3m
MMlJ5lZN2t0kqBXZUWomL8bQik4n9uhqdUhUpWMbPEbSIBquQMAzOaYxBKc+UCw6O8wKZKfCr415
hLBf22XxQbGGEVk1X3xUi6521VgunwWvz+7RfkVrolPQkPAQp9ICpCbjUW3nyypF2XDQG9vIsg7K
faPex+jxuPlkeSc5kQ18pGUii+ulyN0gPPJlLMQach3kwdSYil4mRdGDlXQosg5C7MSyBtGaInTH
ojRKOqaSCG04XxrHmwJK/Ts0+loEgQKr1hGfLowHtZTSAzIdgZsWQbDzZNH7ibYYUgVipUHrkY3N
0QoDyfELZDZHS4PXThyQLEMMaOv1ormfgiY9VW0m7dSuQ3wDARpH0Kxm4we6dcwEXd+OPaKFG7Mm
TyFUeXmTC6pyi4gKRCm+hTSMmUFSF6FcNvptetMDenHptixQkMtiV+nQ684s2XjTtPS7FvfGBjrB
bpdoSOfFuSm9aPQ22bJXgX+Ku/hNbtqmcgJExNpNCPnMbqry1BUgHX1StTz4ExpdBttBjdBYUuRb
segpwJYIYTZR053GvEWSuPGlZwTAhr05IdpgNrdJX45fGZ+IDo9aPkq1Lt/lWeo/ey3KfFkuD6+q
XNbo6HbTNkXp9yFQR+EwyGYWouFmDYc4DmFmAQYDz3jdQAhYJf5jPSjogIZBwHQV4rjX8wGxQq/g
xqmnSERVukKraSIcHCQP8YairfxNXsfxYz9lYD5ysXiW4zYgvxSiN9p7UuxU/kQXBrJJJzSJS6eV
PQM9u9LY6v0o3xcaGmh1lc9w5nRwea0hy4nKqLnLJSF9gmOm+tHVAsoRpN1pj07KIHrtprx47Ytc
OpmhjKTK2BqFI4eq/l3WNeERucLBDSsjePLqNKQtSs7jQ+lF7Q56GuHYq6n2R6kt8WuVcCB5u2m0
zvqJ3Dn9qHq0oVl5tcGdoQM7qEQ+paEcE6myXlEkgRvVrDPHE2tp10h5fVMVo/UAUgvdsUYd0dSN
1ccybb0jONTxp4CCjWNmqfdo4eseJjMVHyNI2RCZaOrnFsXtLUot2latWwR4y0b5KikIxPrBL6M1
29tWlZN9CKMhRL2RiQyrlACSDGXZGXyt2Ps84TdjlkmOFJj+vlOb0N+0QdC/jUaSbH0rQpoqDC1H
qlFIUxqYy2NAqwVbqBNfah/IkR10XbgztILeDAAgG+Qt/kRgo+7RQ9fs2jDLe10q86OQadreEuPy
Swyk6CWNZPVotOF0rNt+RAknbxB3To1gU5hF9kgAUt2ZTSE+NTXg9I1FWmPftEq0Nyq6NOGruauj
RL0Z9UieWB9Yd/PcDEGuS1LnTKoyiwgPo4uaTPPVT9L4B+FP8NQYePhNOLN2bPRBQPFSaKSHcDKK
jdXySDmNWUq7tSmYX/ywHB+1ZDLiE5JbqduDbLHToFVPSeTF2dzAIRz8kksVeXqztFM9p4VNbj3F
jQhSn6phEE4dV7Jt1pP4YIoI3PFzrWMKYhBvsjKYFfYidqQVpnpgG8WEjFXoywhTDuirtIKJpElc
WuretOKSQrEfI/6lqE8Q46uZbQqD+VjWAughMUy6UzyM9Z3uhf19YsnDc+6N6a/ay6v7SkUjSYt5
/22sIo9epaQYHouyAeOoNCKe25+Gp57OkRdBCdo/w6AW9HL4pfeM3BW57KqTs2fUXya3MTL1eZSn
6qvYhr8rUIyuJ4B8BU/c7utQi/9UUm/9FZSVUW2MTi+efAS0Z4E/9Dn9SVNefCOPEMg14uc6DiS3
LqMSEhP0l5AQzjRHjAb9IEkFestaJiGwnjTBQ6oU3Q2yo9VL1+WI0qT8XOSEepPc1qns/dK0kdMI
Po6whxvRhji0DOxsQA80GQLvZmBlbhIpSl0llIWvoyJADD5AErOhQjK6Feqh+HLFb7muRBG5BsJc
lKTjxzHzaocS8PitY+J2Q99302aaAjTgEYS7M0tO+EYKwuBAz6gP/yFivLfEseVDKBSikye1eNLa
PAmgaMnUY6VYt3XQnYJafZSDLcobxrMUTcFDiVjTrYK2G9urTPaI2tqhmhzMDC0onpx2hHgoarjR
XUl2cSv7eulCDopEpeE31lZJtwYpwWqw4cimQFf0COko6LB7FnnDTZkI+Zc8RbMTLsrm8C622Ovo
pomejn6inCvfVCUU9/Ob/b4OC+sEz395J6V8SSZ0Bbc5f20EAqMN7CXIjCJZXxKhadWumfxZkdns
2ls6qGkQDbgMKJHQahygCDypofUo+hVqTHFluqrcZMc6NFW8b0CoM/JNmSIL9zQUqdNGTYknUT3J
Hke0j91GqqtvUpD0XDa58VtJi9b1Klm5S4lSXygma49IJLVOpEf1Xooz/ygqbUd1zbMipwuN5D4b
w/CJRgkYTRHbck0xsu5iuU9iROamccujKERGrVNQH6oHI7zJzSp58jskidR6zI7cR6Yby6PxpVby
yFHhcrnvW+B7m/cxmC2qlfXIQxoS+xo9N9RVXile+ned2FYPdPLm6qac4vSQ5Ll8QE3Run8fshoo
ilPXdeFWU/pbKyr/Vmi8aVuZieCIOb/KA2WceLOWs2wcGq15pCU7lE2SnQ/XzJzizI5qYKKxJ0YJ
nsGP+S/7uGYgvZ7OH22FN0w7/7vcoheOPtpOQD3+MRUb+RA3xgj1F6pgbkpxZa9WY78Xvaq8bdLW
OBDMoVDu5+Sl0Yf67fvgzDcUUoKbelQCZHZLJQvdCi6sL35ZIlQejYHrS138EBsRaksVBDSlIERO
Lgy+29eN6qA47u09jk0vZJWrNFJ2q3oBsZjpi0+tIJk34dAzC6hJbkNpYGt2qbFv1K74lkuN8iyP
WWv7WaT+zGKPzoi4y/YiJDfImtfNU2pIxqnNq2HP6yf+C66J9FmOgsLV0NN71csh2pnB0BzjXtB0
O5t8CbWoNn4y28rcEZ55FTPEzuyL2nT9lpMRJwheIOuaT+ks6YqAYeQxt3kpCTeTIjZvs6qgLXal
uasLpXzOywDN83l90KqCCl/tp+Fn3vjk8ZBJzI65xnZSNaF/6ckyOvkwKY4KWeHXIuX51VrIec4u
nHse6mE/O+g1wmdFkxY75HDybYlXctIWxWL4UCeEuSN9qwt/VflvdktKnInUF3qZis+fQv8xVJJi
5HWmTiXP3ZYPH3wleWjCoHvzEJrelnWaIoGlWTt2R3HshQCVy6rIwN1Wcv7LryzzKeBuNBBuS4Zd
NVj6o15G0s0gtVnpyCL6unZvBPHjpA/lbaZoyjMUFZITxFz2RLZB+ksOgRTYStCEj7rcFdNGlgWE
O7McDVRoeA00zXWBZyjqe6JTy4X8ooeidVRzSb3TEn26H8j6fQecB5Ob3lvoT0v5/1B3JtuRIuuW
fpWzck5eGqNb654zwMF7V69QKCYsdWEYrWENYLzTfYr7YrVR5q1UKFShyjqjmkUsSY4DhmH2/3vv
zyrmFWjm0WNYCdCUtQODKLOBwUZ2C5qV0l6WQnFcHTUwgc/jAKpbhqVK3WeobvjPyCqKEVxUxFll
19Oj7MO4y6qJ0Wc6j2BM4i2NNEcqKx2vCMB393bUWf3WlkCvoc43miev7Qm+ftgYrAgR1nkDZKJB
DCTF6hO2umVL4KMTfd4Wc35eRQMGkanq6qzslbrHSJseAR0YIYUJwwE00EZjwlg2CJvOMtahU7GQ
B8DxEKdLuq4HCdW04DKSocvPbYIt8IqEWgZbq3S7HS/tBuAkyQHKc12s9f1pgQ/LMGzozul7RyWa
xBV24Q6P4EIfRgaEU985NEG8hrkciJ1/6ZqhuPMLgCuz1s65XJdTb0JY8QHoTYjP8B26ZvLSypfx
saOYJFM5di1Wl54DTCQmYnIb+cBGUh0vpEliMPpxMhhz0VyByYvpM29WUkvgKbtOYMaqRoEF0+h7
480rspM7PEZFw2OY3nnsDwj0J1j5r0ZT46JGITilIJ8CUkktMt5IyDDlmrgul+B+DgvjzeLjS8Ab
8QRHAPXSyGvHdU58E61lGYXmDLoE2QJ42JKlut56/XbsxzI6jwwvH0jUF3fRDEJjipnTNBkto0qn
eAtH1nYYQbtAuDGV8T7gSLA/ur2X471dgLKH5OpdTgoygsmV20Famhyi+AIxEeNKKQFWuzeaHDSJ
isZrYTfQYGNFWyiMiEh0ac5f0Rl2NC4f4BQlKHD4rcwewQla+xTZ65kl5/HCQ+DaAN95zL63I3UB
+Eaz6CZG2BNLOzOFF+EIvihWO6zSQMHPwx0quXm+o6rC9TMIGKcJhlSE22whug3zaehtEd2FsVjC
Q7RRREfRFpR6Q09jBdjZGo0iYFkDgSGMkibdyxkkjW0X12xe2djpI3PJmHHcNg3QrYnkFX1GBFpe
H7GKw812UU9I9Mjc27EA3gJD2XfvxxKgbCwKSrXzqtdv2uHJ3nW1zVQmuY0hYU2gpPp81lHC6hmU
PLyTvdSyvYWmqrHPSnuCyLbUKwdn32MX/GURakbZjOLIvOle8azjK6qVoQOGSzYSsitQFDqYV6Jr
uMBd2xk7G7cMdIAgaVlcWZNfH1s0Frw1tWrvPnolxZIFGuuQhR+btx5MFbKLwzJrXxGzQNDGGQYZ
XgULgnZ4pdGOM1jB6/mVUju8EmvhWbabpOQDXg+ajC9+RV3QbRfQreUCeYs5Z5kO/uDgGrzuw1c+
7uBM+Tl0QuLrsOBzrX4h6QIfCKouZKMg7DY9soeScgHvUgqiGQnV8DTroYrT8BXS61Hwers+CBDS
vVB8EcqCJcq8sH07xxtflpiPOauoKi7JggJu3DC/igNtDDBhva0X629zrO0ByfcQLhZJ+coW5h6i
3vrA6fZ+7sX35UIidl6hxHMzq5vAWGVmAqm/6oVejK0P3ShUfMtVjjg3kgxSINMUND5Ajxf+ceUu
Iqj4FYuco25yCAuwXgeN5Aot1HQti7BcB3qBKvcAO8tEIJI2hZdwOGMLf5nnBtuDyGgO0vtCaA4X
VrMYG5raC79ZzWHwPLxCndnCd+5b5l/2BMznsh+LJyjsxpfQBREaafHOVk6Y78quo0UCxSbgyxHe
vZaTeyJljTOfRRqUaVz+aCcX8nQBJ0kiTAiyOV4iR1RaQgwiMI67hVr9uoaeYfJaoRCHlIgJHVEs
8MYb2wHsHN0cLBNaO9j4JY133HB9WZRxfxbYqIMnfEFo93ne7eiC1QY9JsogO0TzucL2fMT++tgA
vfoVyzU8OAucu6pqsSI1QNHoils9MrYGWOdsjQyDBe0NFViPtCZU1BshZKJUF+1CVzWHYYGBz9p0
G1Uavu1nx8r4Ag2Ph6E9TUJ3xyCP9J4CurtrFa3X2Ngg2XvR2rvGVUf1yiQnot34EpxySE/dFHXd
6GmZulEMi+x91cTuntCYHmSQY1bAtb4dqFvvC9LnO3f0gwSLdg9s8XrOAoyXlI5Tsemn0E+AWK1X
SjrFtQN785a9otaFDej6jExIRerv6JA9tLEndnxoezwk2PwjEajIioXeHnVtu2pN3l9M0iouI9ME
q9maAXMXHCqcKA/wdSKYNxcu/ISYyLUkVXXTFGN+AOZHHyqAju/8qAINDs8NrCeTHGA+AdLHHkB9
l56jygzVabZCDc5dDfU4XnBl3XZx125EDIa9jss+8yFX/lIuhPuq0diYYW23NqitwemkslJilIR0
kN8E8kOhtoxiIEQKlGlKG7+Hutz4MofIaEuq2JI74DLjY91O6j4wtLdBxfbCTeV5HaIewnATFnLc
4b3iXdo8mFPTyGAXq/mZWU69N3ZNMheP9nkgsYUJbLSF3LaLtlPQKdwKq97UAHJhMZE7Uq54x6Ok
ZgG4yX1jv7C4KwEZ4HJ8HG2rzXpTl+fK1nTVQfXydbCsCpzDzmnPlAPUlQ68x7rE4sOhdQQ4ecGO
0hm8L6MQzUHELSSkisg7OrhN2kZTcDVqP380ljVlZdggfqNGJW/ro+iFIuIEP0lBi2PtBt5Bd2P7
bPxFrYruwMny/XY9eGBXTCianLml2x7mPM9PRdXLh6mPppM3BfocNyba+lSWF0AxvUA1qfehr8QG
GzKzbVU1I3EkL0C+9fGFiG0OdezA8MZacc7qparrziPyIQHuRUDSgIm9A23mTvZ+8IX0hZ2FY4s9
r0DBK2l6nxWrIo+jPRtQ0A0omFyoY92j1uJv9eCR9TQTf2OEH1xGvWsSPMHOipWmXg+A9a5AAKpT
VaAUThDOfppDkLxheQCvPMeqQuC1ltBocveO9oAFcRw4uYF33zYqHjYDKassooM6Yl007O3ZQbGW
TXjcMRXBPStknyJ7Crk27mwOpOEmg9bZPFmeYz8J5ZnvFp+mNTaCtY3dvsuxjFGoVmOVSS/qXPhr
2pV0hxFafuPg4R6QFytWpWnqPincuk7NELG0ty04Wp2KbSKfDE+MyHtnRokd0vB8Naim25nZklfQ
wbbbBhe6S7SthzgV7Ui+No2Lp7RWhu4tXYh1CXVMFueCbBu0wa46VX2qxX9tDb9v2MH0hXwjBGS4
AMP+2Dpmnq0RDEKLdFYjKRKG9syTjef9ACZ5dUQJ197NOcFSSHfWxuImPC/BK19rDsxyYhyFVz8N
w5P0/eKGl246l2RK0cijKwdj+J6xGj3o1vB+x+ZWIoLDbpujK2P61CI27YXZIj/VoHhjiYSGxK22
g/6zDuhHDf8I71cgKKCPR8f1x1M0rltBEcyLdFjUJdVjxR4qBND9uvf5UZs1IkAzLhmksJ69a8G3
hW2JUeFRwOs39VElrjAXeuHXam4+ab1/eDpvjvTujgEhKGsyQ78wq/Y0dlfcYeuai896ucvH/DQw
/jrMq5L0jeaDaqDfQa0qUi+pd+53vvYO4pxmeWruUVC4QbJqag7zCduix8/IK5+c4WsK5ZtDw7En
FJO6SCVWDVyUq0ktezK1+/Ut+6gD/+aWvSrk3xzGhcE5LgxumRiWFQRKqNXVr4/wsxwUwoy3h3gn
2BraKaC9xCFKkk0Xeouy1T7f19ewoUMbSV/s6yAhX2ekpSBYi60/TcD5SBjy9vjLJXhzimrsYVT1
MFYWEaq3RBah1yl2DLrMGyBSD+05PGvH8iGEx6C7njYWUsYmVGTSaTPdVtf68W/z1t5dkOXWv/lC
lUsm4rLlWUR70a5oSuMGsqWnT677R+Kbt+f9TvRQ1uCY28t1r3flxYSmXb9i4FQYlfpnwFaknkiK
CWYAs7WAUP3ssn82sJZv9+Yk45qqUQPjngZoQoMzimrGZyf4yXTzKtd/c4jQFrrEcm45QYKafLvG
Jkieqg0oNE9RqqAxVley36Kv8Glq6IdPJyx8MSa6ReX8fv6JA4UaCSaGPgP/4yjPzMt0EFvI8SPk
jZCt+8iuP9NVf3i6fx3z/WTURV7p5y2K6+jQZP3QrOMIizg1efc2bb78evB8eCx4FKEYRSIa/K8/
3r0wnlXkozKYNo6LcAqe2PaXIooSX/PVr4/04ZVcEHoOVOMLa/PHI3HUNYcKPQVQkbF49BI+7bTz
iW/wZ58Pnrh4iUjAhmlx2L6bguxCQ++ocenqHR6EcL3AgvsU+nsfYPPPY15/1v2/O967KccvYx7Y
CsdbUpPadf6lXWNzEuwxRDdQ6JAsWKOxUq5KaPF300adoqvP9L4fXde3p/zuuvrYcjhYAxZpAVnp
spyr0awqIMb59e376DF/e5hlIL19BrEFKbXBmcb5bd288M9Sfj4aiG8//9000qBYktsaw6PzuiRG
wCXBNozqPg3QnfnbpwJjZIg4Hw8KMXA2fjyVCtKSwm2gXXeL61DAsTHp9a+P8ME9eXuE+N0ijM2N
ZPGAI7DcRpzkQoxosVmi/+Zh3qnqeAE+ki1wGOrOSYmzEH2RYL//98V7P5zNIoN7c+snt2aljy1L
Wvep0M8hdDj/D5crQGg+kgyQzum/u/ceF3bthRw3pH8RdYvy5pnpnL8//yBJ4K+DvJvp4ob6/ljg
LGQpEqvsUis4M7L4N4/ybmzlI8vn0a8pjFOcJl7hXLMOUbRT+Jnb+8Mh9tfpvM+GcxHYWYYcp4Md
+cpGShP6titYdD65NR88lrhqoY+MW2iiQR748d4jS9caIZXAvUfGhCjza3sML6D5jlefzWMfTDAI
K4PfljgAn0C5/uORPFHVU81h9QhRrTxZoYMdGHO+/3qkfXgQyGoRcoMI4p/yX3VQT9XYo3vsQq2j
yHRJ++Czd9Bnx3j3uDRSa+b78JHY++J5iTaXt/GZTNuHYiuvF0Ke88nS/mczceCF8CqDO2FDW4tn
9cdLN3PPGZzFucIAwm7Sb8EDpKQ7thualKzjPRJ1bj9bGH00LnD9kHvs+x9YpGHfpQrJVzQtavtQ
eXybI8paWznqfH/MPv/xA75e/us/8f+njht0Lgv17r//Oucv7bUSLy/q9MD/c/nT//2r//rxv/jL
Pz85fVAPP/wnaxVT5lK/CHP1InWtXo9JX7rlN/9vf/iPl9dPuTH85Z+/PTw3rE0ZynHsSf325492
z//8zUNeHZ6U/3h7hD9/fPbQ4C8v2IP+7//64E9eHqT6528WsX/HLQVFEhk1sJm5Aa7/+PLHj4Lf
F/M7IjU8pCKChohZv+2EKvBn7u9Y92AFFAMMg/UcetC//UN2aObgZ479Oz7NBtcHaCE8Y7H/2/98
vYs/tsJ/XHVckD///49WNxcdg7zsn7+9G+QkhvveBb0FYVRQjnnvnQse0aVfTjaivIsJjVueeO3j
mwvywRGWmfLNlhzzDXT1iIlCaPji9H+/6C8lqn1FAD/fsrTSG7X1sGErP+UC/AEo+8WBfgrX4sKK
gxbVNtkBwbED9rG5cZBQZVZxbiCM9x2nWlWTjybuAOWAVqN7nhOIShNJ+uiGhVV/Y5k8uFUekU6i
3FhmFeFtv+rURPKkowH6pC1KqxCctUxtIQKZm8Sg1xAnYVAM92SoppvJclS9jeycPRatg5RYii4b
SciiLqNOE4PLsEDuoeC3pkfVUoJWWo42MzIyEGq7ZnNuh0ljWDQknNLwWaC8fy78Hunk/YyWJ4JH
/OKKu7ZVJVZkFDS9SFPwNzhdlOf5JEGYiiwwwlelthB1Bs6HU6BmWXonYyiHoDMurQTjMfo6DqWF
krk7XXSO0xybeParlV1iq5TEM1MPsB9130pa1ntkXi0p98TENxBPNM8lOo3f0IGQK2jCWb8OmilC
y1/E7EblolUbYxXmVDrGypou7OAxb2i16nK7EuvcMQgfKobQRZurG2o/g7TFoTu/du1uhYJeh147
tCRI9irRvclKTpxvQ4l6a9JDXFye4bkZ74xU9KFlTnFGFYE6aXR696iqaTzOaI7uUX+EWQAa5ie3
Cg38TPk4fiPI91rNno6PpB7rK6uEDEewEILQ0LibsZfXrZXnGybGCAHmuTtnIcQFx24mzYPKFblT
ahRO2uoQ973tue5SBPWKr94YeitBG7KJa6evExOjlhs0XrjFShiQlsY4wZ4OEXzntBriVYWa4mUL
twaSLmOA1lcutDNVNuDK7bHjik5zDMlerebo2uJQBHdktqDmgSgCi88SWZWRaG6CuvXu9czweRQR
UjfE89BA5rC6Hh1XcheV58bqVgYN6m95WLv7unOmNimCqoImjPYDujWof0Oc2NpbgSCg564i+ATV
MAN8Y4uO+Zov0kExsRz3AnXS2zYU/WVbR85OInNFw50CPWvmF70/JbZEIg4tiAfyQInA5wANe8gH
sLx5iCEL21VFMVyhvducIXMGCrCxr2+ZnNsziwblBhoH+0AGFie2ZcfHyIIIzYqHCbxkHYXbCJ2t
VdgEkTyWnKIcBB2FgkpAcNTjEfjTfRVBhZ55x8YdiIzWVhhJvvmugkTPwPmceMb0/gotQnZNIQ4a
4JJww1vhm/4Oak59bzVxMSYW1HVOEqF0fGEbuzoAMNtHqUWZvUGDgazHDg39sOT+CX4Qfuo93dzy
agDPCFrKTcs0Ow6sKm/REghgHuljtPxQPQ/ievxe5f18UbTzcFEW1TdNyNcYCquJ+C7Uia1JZqhA
2ks0y05eo/ptFTK0BJtucK/QkVTQpOvivs+bGBuQyYMBfvLCs7YJ7XMDu0eJpoFmh2asSZwAqpDH
B+YXFHOhjbfS1u+9GIvlWOCITqjJgGLvaNDwNAG5xHeN4lVdt9XjUDTygs8wUSZMerZAU98C/xgS
LPuqYLGjkwltvus28kBgaxvfgF/meC325ryEVX2IjYd1eT7YVqaFX21LpmxzNhGIhEbZgRjuU5hW
wmK4riT6GyvWVROyu+06uh0RMEjSAGasp8FScpVzuz74XOt7CqvneWO3E2q3lrSeoOfB5w3e6E7o
/RRovtTSca9KMEgxlRs7PDrWjKAmqhXYx31L20urhQd+p5zArB3gsUnCMI3fdLPt2pc2tpFnlUXR
zI1wDV5QJ3L8Td9wgqm28fk5YaO4rqNBIcneoWUIrTqxv0Ceq7ZTbPnQJQdRh7pOMGMWGLRxDoJi
0k4haNKocsnae66MVx57r56AaZedd9NCj3BGRjfPiihgX9FILW9xP8GECJ2pSgkzxa6bOpHZzmiZ
lSh8jczclk438K3QA4pcwDDKuUH8VB/3d2Y05qtrxd1toSk7QecKqXfvzrtqKOkG/COowOtKOZiO
NF2PjFdnrUajtiHD9BIam/toBk3R88xl/2TZTbFGm8Nfg21p7WBQozvcb4jT8jwYzvyR+GsRh/4F
j1qk1Gluxbu6D/F68qFDOjkTd+5cf/S/tEWcL6pRqA5XU48u1uXQRhbfVKouwS/13LvBdYPLkOcW
DAZOX2R2KPs5mxFYjmmg6orDNMkaz1A/zmbLh7g+iaFuIOxo5+a2NtDGrRAtCocdYlrUZopd60vb
G1SMLWg/L53QEV5mHMtPWBT555JEOa4IgtMdh9WQXrac3+csr5+KCjLorIW4A++wRqKHV2rMaE1Q
+jzph8C7stFAOwN+pPgilwp8is6JqFbWOCi6gpqzeWwtUuxsYuovJOZQNYFtvJbcETeKR85FNfKQ
LeuS+jKHfPDCgzj13JOyvJGzpR5zPjssyc3kZzNnMmOzq756BbqwjmqXaXoM+EqXlj6Fsav5V7uD
CTScmD5g5CHoM3IB/gWIqS4X0QDwsyjfu/fMhWIxGj0Ui+dCeGzFoe0CcIREZGv4kEep0dF0ze3Y
IqsuinKJFxebwCEooE6CTrqiEAfmhXjKHQ+yXi/qpngVNLm31hMgZCyHft1vxkKtJ6VJnXmipduc
etOxbwu4nayKe9UZibVuVraIzK0bBj5LJzQEdWqFIbx0jg7jC0F09Z15k3907EIcBn9kSDWyy/48
6mZfrhCFoL6qgfkMUxvW2Emup/outBvYiwoRcujYWLOJGjOecugqbzVczBcK9hrM8kEZYF6uEChB
OE8dBJ9RCN2VuulMqMV64H796DRDnZk64HHC7RkA49mPv+OiA2sh5uk0mAmd2L6fcDUcOd8G4NNc
lawY06YOyPd5iG0En7Yeg+ypnxBzVuCHCzKNwFjjQpYeFGqKspxOEVaLpHOjJKjdRYkeaO+lbIvx
etRu/yjL2b+GfIVVmaJh2awHXGGWQJ4kt0HhkMxyFd58sO05eLvScYZWyxuhZO1lbFTS1XjdDCZw
XqaGFEOKGPj4WVoypCvUfOgXLL4QQhOhyycS28EM6xseXULuhisS9FyAv13HwwuyVc0Droib+aOw
TlXcyipBbZm/sHqUNV4+hcXWrqfhFaGNkfu8diIKNZxXXfrckU+Kz+YZXqX+wpjC4yshQiw1rEkR
ldZ5DjeT0Np/aPqed1lTQKgOQgosebu69AOW+ggFhtGxzxWWVCaEvqif+XxPgDza5kgN2iKLOa9W
czwG53ZH1XGKSvpY5TpA2E0VY+4RpHzi7ajuhrokw8qto8ULW1k3nV9j/PsdzHGr0QrU2hNDn4la
moON965OQvzubSQYxisyMjm0OR1HJriKm6XhTqKUuNZ8o7FgKJKiie0y8xDQcGmQZLR4VPL4xhlD
TByGTtAJm0lLDu8nk5DxQnSN1fpAMB+x7nLG8rhblFbuNSVFvMkBg8RHlnBVJoWnpoe8A+IsnQZ4
IimlLpYRtrOpq0XV3LKB3dWCIqeDqKIUWdgOvgItqeoavEpzOJu0bfSpUw50D5jTAgghuglGxc7Y
BJazsQAbTgx2Ma1QBw5MEhZ8OpuLsL4bglJd13EoH1Aa4ifUwCDYLKb+Ado4fQMDTb4nZdR8w6IF
BlKGPBKZFFwA/cJg7bMNJddTEJJNGzcQ7QxTLyZY6Aa3yFjXAD6useRObLOgBC1tzYBmKbv/Ascl
PtxzxH4srHiNjY3aSYRS0iQSFZSetqnhg9QyQmtaKSQ7WHJR23UXUT9Y6yro+/sSUqWNwsLzou0X
DAZWT9AQzQ10irkb9yfsrPQZCqBmyVKo/DhxrMo/h0ix2+XuKHc8tK2tFWl1adBdRoLS1E33gUC+
J2aYYNw3djAPmQudOHrkDjdYcxhZPzt1T7F1jkbnNE0VAnLKKSyWwRPDx77MAH1m2So8eXPRn1yC
8IikztvZTZppgh4IpjF/20ZV/kB9RjZjNLqYSTrBbnzLm33oevGeTfyB2TuYtPQZNnQBdmE9oNWA
tdU5lBtUR+e8dwjZ9nbxvQ9n+zJkAmY2G7KwS1d4805VjfM4Qrf7XEHZ/TJB63mOXUJ9Gzti2DIP
gCgYNXt0qXi5p7yR5xa8RSgScrUZwNKE8USGRzdXaGB1tN4UJa/OYfmDMJ3287mIONnMnaCZQBrz
CsabMWXwUa8mrvD+F6M7ZFA3+puIwGxfQhQDH0yBdV3vVMH1IBuE32AAZqR19Gngnb0tQsq3XqcK
kbABOhpBvOai5HB7JPlMpmu4JdTdrDG9BTTvL91BlycrdoYrmBojgVmjDlezGReBk6YmxUrU2cFR
hv0Cn0tKICFDJn4c6u7ajwp3E2FndSz6EkYlMjinmIbuxsebPYMXS6wd1QQTNtG9nU2C+E3CfTjB
TdVJkxBB2U1o2jmpqN9tS2iOTs7cT1vstMhRRqR74HRs9kPrIVxMDERnngydDKEs9XaqMfkEua/u
6naozsKJtLsBWxxMhxgdh9g1+kmAKn8B/RtbdWVkpzEqNd8sKDs3XV+752Se3U2Ze8OjxpU+d7Q1
BClpbY1wM46RhYgcdQa9Kd8alvMDCQ3yAHPYEMFmtI3Y+r7ovlh2CzWy5u5FgM3QypumYt91U3up
FW8B0JpEmOY9ck8wS7vAuGJpGqfjiPJ/2jkDfEz9qG5GhB8tft8ZuvRxiNIQquAzMoV2pviYb8t8
QD54LuUd6oY9pO+kHG7rWFXHPAqmNZ2HJYbaqZ4rAaOl9Ovwrob8liVTfM3Nlcol6DZNF7ePru5M
uw7YPA8pOpQURE03bo7DohZP5thQKOqDka5zHkJc5bSxWerpzr6oh/GLxOBRyYA2u42ZpQ5Pc9+x
XSWQp5K4kGaKpK0E2XOrLE4jcH9YqUbO0Q+UxVKLoYSWRFZpR5jYIeda9YTVL5M0EV/7jYP1vt1E
M7w/kFNXSTVjEysJNP/ofyle70U39tcweU2PoUGIAvavJL9V2G/AS2wLpG4VpPEmFBUQZ7rVTDnn
FsnpA0F/gOC9FD9TvItwt2srgt9CAIYnLFOcc2zHtrUJAkwI1DhHAW30mR0M8Tne4BaDYJEz6M2A
50Y5yOfeDTeV+D4qt7jzc1qlUxOJLIhyhPPqoDNPYupioJsimV+7jrTW4EZh+dSOl73DvDz9dWXQ
edf7CNwQNWfUuRGdYiP1/H1gMwSHTd5TeCunr9FG7NyMr9vzYs1WQ1a26cJn/Tz0631r+aeDLhXx
N10wixjDAoJ65IjczGlXp1D7rkjigEfMN8HVv3mK77ohAZZmImpxihjJu+UUvVSfGgQ7vp4iJrj0
81P03xX1fzrFdy0yCVsBExFOEeUc+NR29NBkzjaGlQkk8HXanfnAS3iHcdar/BL1ru14clyob3fB
Xp/5W7/Bhce//bWXctyPcGWv8xy5bFm8geTnVOfWRqcOULbw2dvfSNrtYCm/vXWPnM+Zm2BSSPUn
/atPx8q7htwcjq6yBC4kfASZ2DkpXzuHP8ZK2COUr0prQP4+uXtL4/WHkvKPA/R9fiRKoVhDICw9
8ZGyOh9r0A3FtjsWW775LHnnNc/rp2PhvYs9kOv7PxHB5TRUdlstJwjf3RcvhfzyutkM0P3gWSjx
LHxGpHHf1f7/GCZ/HfH92TlxPsDPjrNT6ZCSFY6CjOE8HU/zVm3zbeSOSZACR47nAo2IRKws3FYE
r/qbz7Uy73tfP32Zdz1wExQ5nO44/XIHnOFFvK7203Z5TKAzcxMU+T4nrS09z19c8fBdgy9cckdo
j/MvjvOabp0tGNHr+QBt/RHhklu61itYsJs1W4cp9rgwgonNeMizP3Pr/1Zn7MSeRCe77+rHNtiP
7bT/L/tnGHX/5/7ZVSceWIPO7B/tuP/pueFv/myg+dHvqM0A9QHlrouUwqWd/GcDLSC/R5AZgHwJ
Mh8QmIsK+M8Gmv+7i45aiL5TCKAGAI5v+2e/I4pp+UiIwdCeBmXv7/TPHCisfhxGgIIES2DvEmoW
Iq+IvBtGgBtyGTSig6kjCl3YYQrUYCmU+9e97fZ3SJ0oH8pQht/lGKu9LsBUn4YX+FzXCCBwUtUh
lkVoCqU1LV2xGmLd7hD4kBu4twJ+iVABw2FEcsXJVQ6QvxPCVZ4kOlKXEyq5CKtA/skBEvv+UrYa
7qjZBfK0MuTFcXIFsxzPXxy0LM46JqzjiPXoNZGN4yRayu6hpkVZJloE/JRXZX+fF3F1hrZ3e82q
AhkgfTvMBzf3W+TLOvYwpi4kEF8tLK/28GGb/dRM/b3X2NUJPrLyHMowdaMirtDuQ+6PykRfy9MY
dnQ90KC9aHIXWWxhM1wVXW9tIzbGBzz5xSkWA71mqgyO0eTRS6nn6amgY/5ER6+7aZTgYgVsov46
lQPWKthEH4wISp4guXzYdwaOdt8qJHqY8ApfWhMbNp5lOMJDTWVbiRVGqFVGsofqOFb2iuqizpgf
NVu3bVE9r8FwvSpnMBC6aOjWgQ+Ti1PqetPC9PotbmZoP2diQY0q1HXUCRsdLyYyJB24xxCOm5u5
KKp1aKp5y10yr1nlhldVbtxsgB55g8X8sIJ1dsn+odHjYDvyWhWDepBx3KV0DsXNVNiYYwOrsq5L
gOA4Mkj6+tp0HYraZRcLJ+m0Tw+8rcarWcNlbNvMvhW88fYjYzybbd9ZMw3nfOLbOUlhhYzuSlgO
0qbzw31Iy+LGYwqSNirndddUqBNU/4u981iSHLm27a/Q3hzXoMUUCIRKLSurJrCS0Frj6+9CNG93
JCqYYJPTN6AZye4qD3e4PGfvdcxa31iBZn7GfcW7SPbE69I0W+yFYXjEuy65lFaxHn1BgQYridOL
iuontUsdMawjmBiDBM/SD2khceqbeXdfN7q1I1YTkgIRqG/W6tI9cXrMn6lHESkIUXjhMA7CW9IG
rOi6f5fLgnjd6eTCEqtKtmVu+tejXrROFpnqJiNCsIcI07pSi3ySICk8lkzt45uyzFWqY2g1CQcJ
/MQEL2PT6W2KRWHM3LCuiIOOIFxpkD+YVTjeyVY5SaXrt2na+5/LvtWvhXyoNvqQCLsy6dIXnqL1
Y6NGvHySMlFRa8aCiltbGG/6OhC9AzqaIpcfJ71W5IfOCDy5eARg1t33AtA1mygkBkK1x6WaaeUT
mrGB12GrQCsQxv5nbErhlZjhFRKbRn3hIu/fIfLPMaGVwYOII/pFVEAbiAXoByxG5q1fkxXgjTZj
AzIx2YmzyXMTNFZ07DqZDEHVUK+9lUF8xG3hqkjuPtUk+297QxGACoj9z6EQsoesM1Aw4pCxC3gz
V1ptijujSLoflA7O3SYnFCBLkfjc1nlwq8h9u+UHs6VIiXnIKyG6P+ENRJ5/DyL59aucJei7NRam
LewIfMflDIuIc9TRp57mXh58Urs2O1ZdQ3hpqv2a4GFd8x7vxdfepHIxphzvbsqm0SdNklmPqlXx
0cYcr70dTbluA1sZb7mx13dp5Odu2NWB7xgh5knMLsiUoybU74Wc+rmlX/GUQjtDWGwY0vgpKyb9
vhybYFcBZkE42sXdM+Y1dasFffGZlHO9R25nPbUKvrBRkdN7Sgort6Ngmp1Lih1I1OxgcsD7J8Qu
JuO6yIW6tGWDTcfKnkg/iDdeLQ92Upf5gagdpjbCNMrs9mz8wxgGWc43iwg8TVOUbOCRmddVKaMt
kDqipY2ujN8M3rPhQatnloAxdE9qpcZfPZ7K+6CItEcYLaTSVGG80sKpARFCst0VSgBCdheN9Svm
vurrZAo5ts9GIMPfYorxPFxbhTpJrqhX3VYNYra1LNIcTlED522FWY786jYPKv9R9JVUsQOplA4V
8QOSYNGgPpLUTBDMpKj7ccE8al3L75/i7k5Sc/BvnqSl96RPNDIbBtGIUCK8aWpYFbO66496H9TP
vdo2OxOmAkTjMK7cuiJUhZ9WfvNS/OsUNxlwkI2ik6al/33UIozPwkw8QbxA0QK5KhxaHO60WmN+
lKaOyShCmJQ1Axjq0RM/tYU+f/IJEYIhNtdFLUxcneHG/IxjyXKo615vQ6Mcj0kvt3ury6191FDh
JsnV8Ruxi3ivWI2xJ+US3RPIK26kRk/cHBrjM/5gHIp5UpHHhE4l10T3OW2xFaUBBfoyiw3GEGTH
FwvSfYFpOFGSCdeeEEYHRPzyRsGWd0B5Ez/pamwcAzkyt0o7W2bHDqRGFZVb0RrVtzEds33Wo5Et
+iIhX6AaR3yfw9FKNNARRNBv1HLMDt7Yf6buII71opE25tBJOzGv8mMTFvo260HWWImONaAdrVut
0VtXkAZs+r7X3ZEMSl1KMU/K1rCq4gdMay2B7KA3CvwdQAZKagrgK0r1Kp0KgtFeiph29Di960bT
t4NXZjuPQXueLM1np1LJ+iJL8Gy0S+wVmd5sinzq7wRJ1cnNDfjDCJ4LDnnIlhSOEe0oljQCuNQt
pxE58CxDqNEHV8lOboHojIER3spjH18BjsFLaGbTJ/JrpCshjO0q2RJuTalKXbnMo3s5zpsHP2EZ
VKIEyEQfpH1I8MwJs2Q49kMKiamrdf2pjkoyuEnXTgdwgB04wyivP2FB6ghKmd7W8OVoWww4noNI
Lg6RpAOfG+oI4VApb3Mzze8gRLQHnQ2K9A92b5IuknQvJGW1U7TW3wmGr98GSu89YAib9magMTE9
HZnoRLAy3ylW0D2T2VOe2wqqiS0GYXEFOBhBke/J15kKm9HrCZF3fY052urLAYCaUSJE6JUgO5oD
9s6xSdUDM8y7CdtGuDMLv3jqxjx76HPOE5I1KNKnPKf6dZ1LN2mW9TzR8eNjxe+bhDqnnlldZ7Ik
HLqaDVtofOv70FMsDZxWne8NrK6R3amSfFCiAU7QQLaD4hN9Q3qFH/SFrUq2h3AIN8nQTtsssuSH
qaY4nUZ1hR0Qsi8j8dP91OTTw9TFhetxd7gdBkO5BVwuqeQe6/4oVvLwS2wE61cgZtOuToRib+Wh
cGVpgrGD7lPyKWrpKdXSZmM1GTZHyaC0dRX11nVFBuKpayyc9aaKJ1eRSXqhCsWhnFmRuOczAb44
/dcpUmCCsFnLn3ur4BCWUEHYijIo93laeHuS1wrzMgcEo7CTbfraM9nxIv+HYALd6QmvQWLpIWg0
cfDQw+IoHBEs0lUdcuYhZkH4oyYJQjIzK5GppBr/B3qjGUcS8U5XQmmO/iFZv61KE1xTDY0DDhgc
J2HgiJ4PfTPtqze1yQsI85TdQuw0eP6IUVsfDhgqS8eUyDPYYpn3W5qt3nIjMd26F/nzXOpgCvFL
/Qw5vTnwP2MTrI1ZzWyouEYmNHuOCcebO0gtiHeQyLhZzChxw4UvNAIGId9v3pL9NHeingK2BBEC
W2DgvDZrbhxqUHp36CoYhIi/umfrcusuL0hCtfyYSemf4Z31PyuxIseipuaOMy474u7ptz4mSSJr
cYASrUskdKtDMHwzJal6q3WRDwYGlL+NN9PXWOBP5kYnXIHgAy5SQkrCuA1MyGfoyVnMSSJK491h
vDZvBotKp1KtYlHFBUtuoZ+Oqskvm7AtbfOQv+b075lSwR9uEoYkzsObQNKVJ7Hpu/sMVt1gh6CJ
pE3sNd4mz1MRtIjhixs0MgVidb6wz03vykyq8ilCkPAgxuhGxRkbga+dk0ksgEAlqgoJKc2Ok2bO
t4lifG1x/379g/pEleMjfvToK0XSucKJBtwxaxaRCTkjU2v0vMa1uq0nfmOvcFuLka9tTvQnNJxg
jSy+InAT0xXNot8KOPGOpwkVyxyOfjZTiRAxuFmEWIq8oPpSVQSFySMO3yrCfjtRnX9+WTA1Bia6
Ik/mzR//dF5MJ2O6X0nAQU5zWoQWey0GTOZ4ZA7VqDWeVHDWcE3zwro2UuYPyE71JeJh+6D0HZgR
dvsBrODMY2HAvkU4SPl2VFr6RKqGC2Af66AwfLVH0dGZN1GQCHz5oiAcGZf6JDliAfDqdL1lAkC/
YN7xYGw0VlscMslMk7U0daEOCCcySZWqI+AbTjmt23Lv5gJcq7BRxV7iWmzA78i2FjK1O9I0iPby
sqclM5yA2HD/9/Stn9Uid7HYEjeN3OkPWteUO3/klu5rJZq7KEwe4x5GBpwv3/9Ry9Is8Jv3lg6e
vdMF0EP6hLK/5JbITdaCpKEioA+nJZdXJTyQLinSPYH74hmpE3O8VQHumBZ/UT6y6ai5SA+0ggyu
GEN8Oy3bPAMdcIKMmQAwybVWBW+IuJoVivPkPjEratOA4WLMS1MJE3E/yQzO6ZOYEQu3z9kd/LEY
vsUzneC0cPMBlpioBKQ//+CB1cM8BcWZ71KDqGLNNyUbJe+/eX9jx6iBNpb2aXvsFaAYsaAwy2tL
/hx3uM55OeT8stP1X82NeSeu5Kp3axHVhaNWLQMuasxoX5vJSKRCgDZFwUMnet0LhOcUtFCWeTHZ
2jlB4dW8xnMQkujce+hUdtBAW3LRkErPEIJHwYYYaFZXeVZXjiVYKGINKQp+SrosuQ2jwhHLOgmA
CAMEYorr9S6gePtdAt2Pw9sX6n4Xwv4wXLQy4qsR+q2+AS5hvLLtprINfEmMv5bFRNGslCxQdlPX
ip86vcqftLVi4GYOny3ZF5qfXVVCOR3JsfbXekHNa+ZQ2XF/M8At2zm8iJThqfyXCW+Kt+HdmfMX
5cCrh34Uvok8Fw+xyX1VjOp2JL8rRjyH4/I1roT2tRf79BoeeQl3Q03vonEi7O7PJW3BFvm/AIgR
m60S8dbUhuY2boX8zaL07bdKykCcmJJ4KJXI2EYgBo6+OtU3GuKO0J4GKbsfOY3uTHGICcPI6a4K
IpU0Hqmsnx0CtLtGmGBRNl7SP5Ldpgg7wIPq2isU8WiKgnmQ4H499Ii6P+d+Gg1gAtAnWzyS9rKa
BDtzEONtBcruiI7dvC3b0dhmmpDcpICtjuih+mPS+aTdIlF9asqUmNAkm+wOSdcQ0wXv+Qup4GDX
qOFeZbNijRi98czsKnDct63soEu0NswM70sjNCQGh3jOSyOC2fDsF/YlGeofKLS7WTKQ78QCfjqa
NM1WfB9YstDkV/Dsq00ymVAPwYsl20qdhjvJmEbiukhPKscz6/hnYuQqHUcLOPG22iNNbR5OBJiI
iixMtbBGeRtJHvM3qqCvoaSEMWz3KWBomyjIDA4SKiG5NriOfc1IjnZbtMtsdOgTh2c/6Pi3fRLF
vpvBtFb2f9CaGp5Rds7kDjcouKKvHd7Ko1Cidz1Q/U/5jHRwxi9VgQhpAXGDXWYtMXnuLfu+a4Wr
KO1Z4KZe1OPtKGl9+0nwo1njXoes5SyIlM+CmRFYOf0Ks6nZmhGasGBPR7cxH5WZDpwcOTt7Iz8C
sqBjAqJLbcHvKPyDPDdU3Kqv2BkRL2QzwWre73vilHCsrNuuZrmrasVpcjqF+DfZJkCEMDBZ2w7f
sijnBwhQ7T5hfi2fFFBdvtMMwWTuZUUCOeDxUGltdPaSoyOgdaQxmiKbGz6q5GmCo1TNZ5w4s3hE
JWcUIouLFYKJDKwGR86pn5ncc1Fo++zYebrUodHQ+Ux53whXncSeeYqnoKZhg7fSSt/laW/enP7P
aQY45uS6j40wDK5ftd29GnqGU3UiQzIkra2Bsb33A8M7MpVnDRUQ+lsUtdZLr2vdVQbk9obs9nCs
fSv4rgpx6kSNKO4KtExXMEHi66hRCGoxKkezLnQ37lX5lxGPULi9WvS/oWHrNy258Fex5VHSzSAy
v1H1nSBHrTs1GN0g1lnuGGFJQModXetS325q08dfGXlGugX+yYumyHy4sQXTDsTixlfAMAVerVz3
KTvqgFjlDsWm9ZCJImm6aoIw3Fv+HYVNZwx2Gu+qCuSVWbHoQt/rj0WE6t8OJ1/dQC2ujkbC7K5j
i7v2wKWkqiAtSlo1vKWSEr5OQ9ocAJAGn2YyqecmJMkRY0xe0tmDPlk8wLqZfj+0g3fIzVF+66YI
/Gntq/Em6kvv1Uqmqt6XTQHINkiGe93Q29s2E3Ngs4mPJa6yOHScUPeqT1ypRf2Ostnc/FnkrHKO
Cm24PiUj/n9m5v/JFBYiLfxBZibM//Hj5z+OX7Of6IXOEzT//KN/OZyAa2LU5pDVMeLNyej/cziR
oDHRSRCxBCmJN51/9KfDSfwfg3IzuJfImIgy5qi/HE6y8j+z5BxDL0XJRArL/a0MzSLLqYnkjlSd
GkpcDhCHzg2d5/vjug3L1IdzaenfSmZhhwbkbGAuOJxORv6zRCJFdGVCHTidTIUfjZbhfRN6DA6X
qGoJWN88xEl/xB6z8YZxq0WRy4P+B4c8/qN4V4D7XGl7kev/Z9sAzNTZ908y7H3b4CsrgqZ+7ci7
4Z6CBYhk+8dkG/+MHeWLbiu/qCumvCBG/sPO987N949/bRyb2zUYWtB8GjNJVuffdSajmCFyBtLF
yiGabBs5NqW7j3u2EIcsG9AWCX8SFuG8WYK1NbMDWAy3iNsHkmX1ytc7+cIWX++8J0sHLqqtdACX
NY/gtAWt5VJVdJ9dpS+WMzjFV1yXu7nmHsECF9X94eNeShe+HyZAUSUSoWmInBaeT5J76F47vXLM
NnR7wA3ZiYo6ItjnQpabTm4Rb/Y/AZSiikK6Ici0y4dyW0XNprFEx4InuvKTZk3KckAovSJj2YNe
IZoLzUqDoaWqY2D/Mjh1AvuOuZs26Z7aARtvi1Olzm0Zp8IxcZMXdaUQ6nK1ztMKBBYDMXMfVG2x
lPy2k9AqaUhvOaZxRLXe1ixjdbPSxZVm5vzw+exFjJzLWprVjvrQf5Vd/2g5+bXB9x5c6tZu2k9r
dJWl2OI0nc86pi80OT4EpHjAIEFlSenN+9XuSmR3VOx9LZ1nL9+GO92WnPLHuJmpNvGGEjMMQr71
n6wfK32/+HnxTVvkxk3dlBc7hmWEWldA03SG79kzFNeMcG7k6Bvxrfk6UN7FCb6Y0C6K47+B9pmB
Cb9Nrb/aXnI9yGKVrAUEO/0xDB3ryTwqG6pM3X1Lb0LHe+qODtxVuv41ekhuwk8rPb+0pUhnrS/W
WjQOBdJ+mIvi0XrTv443oYum2waOfN0+dzeQejdr6KB5l/qtw9hqCaDCs+c0ez/RKlkqGwJIFfpG
ww0meNYVUHMKbBEenMmBxAqt7Sw2/birF3t61uziGzc63hOqlqBYoaJ3dFvHL2p7/3ETFzcuxZQR
ZugGTv/F/txJpjrGaQAdWTkaQ22H4auQxpQFKFb2o8t9+bMhYzGEeS+Ucg8a3KFC6ZVnjXhS8ocE
fOnH/bm4LMiASVQCpQbesuRUFFSdJQx8KRxvTtU+De2v3iAqpf/M5ZePm7o4Kc6aWuwFIY9MyUvm
3QdLdI0lut8Ge8ijKz26fLZoMjVVCXPKyFPeT764UKs+nzdy/aZ2eeDuYnL+Vzw/j+IBZ+Rc84Hz
ZZvtLGVlg5178Nu0x7CnMZxwDJa4pU7LDUSWlEpKhdEV+lur/lWIGTlLMvjeS4YZ8eMR/Rddna+b
EkQIc7mh80Rvux7HnFO7o2ts65158HfeYV7cwq7aWZvW6T/9TcDTH3u6LisUsDOxUS7N8w11VNrY
4ori4RXqSM6lyZyLvM+j55Xuzev1t/E8a2mx2PpKy6e59gwzpjn0OsYfu3xDmud0OxGLg0Ma9eMW
l4sOez0ICtQcJv9BfrXYQBJIz4WosoHkKeawGpNR8hKNbx83sjyFl43MAr2zO2TW6QTaqCJNPPhe
EN5S48t/9/fP7Z/9/fqIygD0CrsgG6+kfgmDNVnqchM89YDiydyAuYAjJ3vfQpOoZZRE6Gjj/Las
bgt4Yr217/OVsqMXv8ZfzSzLMo55IalGK7eA8JSfkGxfM704FtgLPh6v5RZIbxTQI9y6qDvLtrHA
HXVBkPZdXnZUmOkOOWU5AjaoWMUpKe567ebjxk432/M5fWpNAlcI3lLRVGsxxWItYIMaGTuMoRvq
RTnCNzxDdugQS7rtr2f599pte8n50k5t8riEgEO1aX0Jp/FatDaApzvWUXVof2XP0jU3MSffEVHf
F9sQUmQLdNxRMjffNtSUWBUyX5gxCofLn79gsfcjWBpIbVNvjXJrtqEdde9WG7+k7cpd52IzzEgT
URw36eVplpqxTjATLn9sDdTQpqCbRcEsQYwKR8mpRLPyLdeaW5w0AeYj3LWMK4U/eld1grcBRTEv
hsN8r0zwcG3zDQD8lV4uVcN/fM+zbi5G0xSTKhrh50JMgiVh38zHqbdBJYHC3Va3OJZWKT0Xu6oR
3VPwjBtQTd4v+Uitqj4zo87pmv5g9MGWlBd0AOVgNis3rKVV4Y/ezc8hRWd90N77prBh6NWgsUKM
p2mLH3uvHvxDu6G4yDbcrB1mFzZjRRFNtOcAiAitLbYypbE0aerhyVv42BCd2mmxsotJl/YXsIES
d0YeH9qSb6QHmQEpnP7M957mjpJL4bG5wqzFs8u8QsG/Czdi8W84IpYXrnnZK5KpwVdiOBEFvx9I
ucb93vvSHw3XOyKdLgDm1ZjIUsN/+mDn7SwOnGasK6WoGcPsetiA1f4ZbL6rdvWqb2N6ZTx/vOou
nArsmzjcZZE7FuyS973KSTmIRoBxl4JF26BiUHOKL1F+8eNmLk2M82YWnZLgiPiVzHuRYN1rl0DA
QOfz+T9pQyMgKM48mmVd2c6fxs7QMCVLpfKgVMIRidDKbVi+NPu4kf7ZxuK8Mf0C9zmZD2ZfdG8c
ujf1KDupCwnAfOWe45ifpV240x5Upv6PxMVa5iqHwEWm6q6vtotT5fzXLD6eVWCpgL1dO81G33m7
difcfkdwdWgcmLqbtfDDxW+oyXBPQUNAkVvsz/Uok4WUGV9KFViHMsLyGkRtvzJTLk5IolgqhctZ
C0s/V4+bX1YBxTtDID+JvhrapKpn4Ha1clH5LZoyL+g5XvZ/Lc2b9NnNLovH0WyQTTvBQdh2b+Fj
+di7VEW+1qk28xI+NPi6csdwqYmAYbbG2ktyyZb31v3fxN2dlvz5L1mMrNWaOWa/joqoson8GLQI
NICPF8cJHb28KZ23sTgHjLSVNanFwtd50tYo1bu6847xiGGx6CLP9nzx2ZOsTzUanb7DOVOkK1G5
ix8W1CsuC8wU4nLjzluZUhs9rwErGdDrh59LjOGeVP6Rbvm3Y8qnrwpxzSQuxSGhzj/j7KtWcVeH
PcWHnLwPEcn6KNar7vDxYF46vgGGch6cYIjLl+moD4rZF/Pb27/xg9GmRughqL4Wkrdy2l1acgwV
LTFw8NoW281QNEoaw3FytEJGVEpyAAzCx335LfEwD5guiageNBIwkrbYRKjmFyWsBB5QY1dsGtXs
jpU2y5ULtd1SeiH4Ona1ZtdTB8QWbas24A9f+Q3z5FtOTgyc83uRrKK8fAIhZqKqGGl0x/yCjRW+
vrQpd5RZiqgBsksPoLlfp5vgyqfK7ifvcW0IlqUATuvvrPnl06hsIsoiQnd2qq25G671rzftvnRF
0gab2JXd8EiE78nf4fN/QjtgE9QWbewC4habK2GBtY1Wnof8t+HgJOQShTTIMhdzOJfAWiSUbnMg
2xwQpDwHTuzqR/MlO0wb+YWor7mxvuDAdurUGWZ4lU3E9WisLKWLN2Ng4sx0KIEcq4vrXBIrtZaW
vH2DA66K0Q2vpL3gmtdDv4GJtqE2+M3aY/jSLnHW5Gm2ni1fodYDqi6zFXoV3rngB8VHYfL6a7vh
pYVFdlAxJIiCpBcXPYOgpwPoimF4kJgI99qnYW856UFy442/6XbrT7ZL/eK5SKEJmbsjn/X9tmTG
Fo8pgxlOQfCtEHy2ggELe7tZWUhzHHM5c86aWb6+J0UqtDihGc3uXcEOnPzF30W3mTvu17IsKz06
PZPPvhQGpiayKBLnFNoPT2fUJsEGLrH2pX5fC6Rw+UwGaV6JGORi4GSp0pJM5jocHZL7m+dsk+7E
u+QR3/DWc9q/vxnOrZm8Kzg/DDxS7z9TFBvZOGq0puIfrZ3QneOq+XN0DFYiF7+P3swikwiSzM9r
Cme+b2gckznbXBFEGIvM9hLquvv9lzBbNej+Pn7vG5pXwtlnavq+p1K00RLUlHBs06Nt+nV0AwcR
zB1iVmfcgpOUMZEbjnb8w3i9tqGd+Jzvp+X7H7EYVr2WlYQkfeuU/AjzKzXvp+3E3hpsKbQmvyAp
dxpX3s4pyV20+3hNrI304ppXNYqi6gZtj7iofB29a/IyRa8fN3LhejX30JxT9/x9prboIfIFSc5b
YiXiMX0stinEdxhTb3MAai1rfrlDfzW17FDUCwKCwdbRItOO+q0KanOyVvb+tUYWV9LBwq6Z1k2H
HCH7ZFK5TIgqE4ZTcLUycL8f/bP0A+0HoW9ZwZ/4fn4O2ZSlFISed+IOF6MNV6cDA0egornChfZd
OspbdWturdf8btUvP28ey3lJbItADJQ4lQfw+8Y9CFC9n6Vz44ClUkfZFltQVdEmddQNxTIc8bmw
m9FGDoqDu4pWNrd5EJfNW8RltHkCEvtdbgJF3ooA/oh4qb4td5ndqF+mAt4mVB6l/vzxSP9+5Fnw
foFCE3GScTQvHgAxkbXakviiwXQVwP7IyrW9+tKcOW9hsVUHmuehOQ9w97fqHl6327STA17S/bgj
F3eTs3aWd4TYlywMZfQkKyOhsaWxot4jrqW9FOFlmDIx3piFWLm5Tp3YidckGsQ8gydWWVtuO4M9
aVJ33UZyj4ou8ZA/jtZAvWOZUmrJ2FHmfeUHrwzMafM424ORDCJnG+ehP+Q2ccyb0mHDs9uN/lbx
VF+/Qa41KL+f12qhNH6XCpwuKanwaHS0wT8kTbJy3bjwhJ7nFFd2niawV5aLV/EbRQICydLdNrJt
bbtDxtZX7NOddpM8WW74s7EHcvHBvuGebFHClIVUOGtb/LLaEBf4979j0V+4xDG1yqEY9sBI/H16
bL5hPXzsd5Ot9+AYbULXu+4RwXj9RNJXWxmHi7s/OibwrSqvKGl5u4t1Cs9TKBdR7EZ08kfpKrzR
dlS6v/NXHwcXl/FfTS1veNQVTageTFMW1m2ira456U8fz9eLTcw5Oy7+Isq5eXadTddMzvscLjMJ
qRaJbgelcVw5XS4v4bMmFmdYg4RY0qL5/l2Bnr5VHer0ulA6v+Q7y23c9B5wMC8siksCqF4VVPyW
6WW+zBEIwgO8dwkkL5rHsSD5uea1jvJkfZ8DeMq3jDyDtFO/e9yFSiJo4lX57eNhvRCKp1Xe8SjO
Ld1Eo/J+XGvcQolsZWwD18UBeM7eO8y3hO5V3a+TSS6kxt63tviKehhlg4cE+3Txa0KXmon4t7YV
96zoKi1gkvxKbkzR/biTF+YOfeRFpbEeCJUvVmIttVHapUnnCPEXyK+TuhIRuXBio41URJ3wjsZR
tsic1FkzwTHgy1HU53qOwg9HYSfvzZVg1TwBFiczSV3ubBLiJlNVFt1QK70riAl0VI+W8LH8GAWo
pfWhW6t0c3G42D01g0ziLIF5PyVkn8qaYVvPOa8S5/IXIdh//D0uT7qzFhYXOd80QBfkTLr+KB+N
bbmr9tNDeqAG0tY4FJuV1i6OG1rZeX2pCrV+3/dnBn/qyUTkQt2ltzm+bHIz0ujod0A/NsVD4BoH
6SAc1l5TF2eFKTIltFmTvFzPmdhUnRnTbCw9WN7nvHhuh0OQ3VtUgu2vlHCtEsqFoBkdPGtwMaoT
QbW4C2CAZtfmMT/OW4ewm24yZ037dSEG876lxbXNGiq1a6I5VbjtNuPX2k7++bgI9tpxuPFXN8eL
U5Ipjwx7lv0sC/BgZgTaItNgoP0YMf/K0FZXZslaE4s+UXu+zCbwAA4VMJ/N4/gzf4kd46bfjNfS
VyrWb+KVrffi/EAjgCqBGKehLBosLDFvo2S+aHPoOR1ysE0aC4E7NnJyRWqh2gRpKj4IvlI/tnUo
rMU3L3b4rP3FsigpcY7pkWVOie+t/Kth958+VfuOlwU+d4f6v3drb+4LV0D0r0jjSZGii1h+xr6P
M6+gAATOBvDubf09b3wsIKUwrHzNS307b2gxttJk6V446bwUG8Pf+n0sgUhuNh9Pmd8E1vOJfd7K
YgSbSlfNNtM6JwptaI5Ih79b30UX06trOdpOfyoTp36T39IfcygjWQV9XRxODhx+BxgbKqq+39go
u05557RjykqfQYxRWO0NgPzHnbx0jdQljgE0QOgHKfjyvhGrNnABiFynVaLQBed1fF0ekGu7/2F/
SGKjm+GYQ/a/aEocA73ypx6iY7rxise+/jyY6srUuBDI5qudtbJ44AZUv84N2PcObqNjBvHcFpxs
T+HLuRSlQZ34fecSQ3fabwT6t/ojZWrzq1ko//HAXvx4vHhhf6kAu8zFzyh6WI2CSmfTVrEnHRIW
mAZj+3Ejl/YYamKh6pAQJnCrfD+iFJsOGgW+OjcT3JfQ7+YXQHRcfevMP3Z5NWFyAF4VId7KJ4HE
2e28aIxAD1PaMe4k4Ir5znCnk/CbFADH69o+cvGuTJhSg3VGuNJaqunVwBsbaju3jnmjHg2ww5QT
9Q5WbWs3UBe29V3ykL20V8Hu4+GUL10lztudP+pZP2N4spORWMTtjt5OfBjeelfazBnZeHf6b1tU
Mxtl59+H18HjfJ2ZQ8Jzmn3tCJ4/3O8D/tcALJZ+pw5mNZZs3vAWdrqfOar1I9JTCoFg7QjWErWX
5up5txfTKIYIFCU1N0+r8sC9yHh65ydDbPqrx/DaCC92bkVMtCyYZ1Lzlhz8yc1+BE60mYuFKUez
2nS/5lLHgfv3s92IQs8m1GIrF0ajj9WRZi20vRhabQOq8seT59IgEs+jUpRMElhXFq+EglilNSa8
EtQGi0CkyFRpxch9S625NdXwKc+xnB7nbS0CmDjYvZpyynNwRx7BYErb1K1fVEwJ2Z15gKb1Jm7w
Sf8a3Jl1akX22niudXaxlQOv8Tuq8SHsjJS3Ms4+Q1B5UYxu5c1+6Zw/7+diE7VUs58wunZO4R2o
tmObxdPHH22tgfmfny14hAN8toyB1AnB6lHkNN3zxy1cHCmyLQRqTlaAxUjFsK/rbuRqKyNSJa7b
w6pW829JlI2b/66lxWAVVNTwzWkOMCgU5cgFe+q+Nv/RXjHbvUgVzbavZSyo6uShbfj6TmN0rpgB
ZOpzd0CQ8HFnLoYSzttZTHFJpBeaxg5ILYLsQB3im0a0vR/dUf4OgG0THD3Hvyv3K61enA9nvVt8
rShXmqoomQ/RgQvzzrKTz7N9rKM2wUbeGj+rl7Wz9eL8OGtx8dXKhmsZZKvOGWJxL2u3WU3x93Tt
8bjWymKeQ2pRpWoOzFC1YyPUAdk/Iv//bV/mX3G2mgyz8ctQpZWUqmBJq9ujprvtP83N/1JtczG8
cD41Fofj0DXAMap5p90Zb9ROOST2dOzcCsNjdrN2Eq+N3OJsjFQtCoY5XVPjCLfLIvul5eNrahTT
yoy/3JBqzYlZxIRLqnHY+hnML6Zek30Oe5W89mORfv94fq+1sVhUXhnCAQCN6jTgIiDkfetGcTvk
40qi+dLthcASgNv5LW+dFI1n88BTI+hCCWvXML7BocReIsM9SXfDmLopIdb/oFMUVNVnkeDv5ZTn
0nRt2TFwhXif9g+RcWVIKxnDCxpMi2pYf7axLKis8nQxco1VKjxJ28ApuAaLbnKnfjZ/GC/hi3o3
Py4k13/Lbqob4zB7osajtum2ABdW9qiL3/Dspyy+YU9FDE0cFbK+krIPK0+1O73hcZhKLx+P68Uw
0HmnF5uhVVNQxhzyOWSChdiNMRkItT2XwZwVSMphPUh+ceKc9W2xGXaFqTRNwMqOw2oXCLugHNip
os3Qfh+9tdThxb3+rLHFnjgkI6YGkwyZpMfgdp/g+mxWRnD+vb/d086amL/l2ULw5Ridc0GiuXbz
DM1PshUoB1+Dr7+Ttyhmb9ZenRek6u8n6mJvHHMjKEuBTkWH7pqsKPgAqsocLVe1ExQ5G4o8bsdN
uln/dv+iaQ0NLW9R9bcXb5TkWiT0RNiMp9z+ojrxcZ4z5mfgieiDtZfo+ORv1tJgl1fDX40uPiJo
T08x5lBzoluvfS5c6bIM4WbwVjaZSy9tVDN/dm7xJflb/ZD8w6yQp4wYj9F2i9VnvyadubwA/mpm
8fk6OA0dpV/nW49ZwHOC06b6rhca1+FofklE6vp8PEUvj58lIkcjSonj8f0MzfLWFJSGBnUq0VHZ
zS7i1PVa1fnvmllsWpGkjUFgcSJ0dfMrHWTVTvvshu6swBcuvuBhcPzZn8WelcuQfTOZjVp+kN5m
aQVVJB5x9Gy7q+IpfpE+dVeho+zKQ3/oEF3s22ufZ7z3GH2pV86My9eUs5+y2MyCRqpRwM6HLQla
mTIF1H3YzNonxf1f0r6sO1KYSfYXcQ4g1le2ojaXyy4v7ReO3XazChCr4NffoGe+6TLmmume13bb
iaSUlMqMjMjOawCdxcMMoeLEPwIOhDm2C9SzMdNb7PuiSH6i4w7chtLKxbO4Ba5MzLZa3dFh4N10
B3bJc5Mi3TRAYSBmoGEqAGXUTEdORa+S/6mcpF0Znu29pqo4eInwCky2xkZxuR8eRjuwQvQbhM7a
y3ZtImc7sK5jBOIExkKx3YphttPjNVTM4vNdB+sJcHgKMEDmLAnSx12XygS7ITehz4GOm+d2E7qp
3Xvg9bb7TXgGXRYYax1QHZGPSXVn/y84oN9JWDQAIzMCApzPG58TSEhMoZOtJ6KbIEWgRGD44+BB
FcDhEf36fv8vPuemnO9/zM32pQmu96zqkYABcQViiUnXJfI0B0gywO/+dxfStFLzyxcZS0C9pt4p
ZEc/j1AheoXKA+JCFRRt8XBswY1fMcgohmsQzqWdAXwTQesIerV0cWYp0pohkXk/vfFzrxz0c2e0
TtPHrl59yKhNiMK4EVfDs6W74trqzIsycB6j7Inx1S6QRJAjDO+m8/se4RK1amL3Dsms8Ac0Dk+g
9Fu7OH6XVb9M79WgZyk1aOXyCPiXCcc2wX5NTzjFIIj7DaNT0Bmk2Oin2ae7yBHRzo7mksKTXOmB
3kY35V196v21l9pi1lgHihY1N3A0fWlqhhJNliqBiawYqIN+VlswhdvQtUQjcGrzs45G3Qlr+qT3
oFReuUYXgx80VRLArfHoQVfbZ2eTjTRmaYpaUeMY1NV+6aCdiZDX7PYT3EJ+rl6H+/p+UmT5fmMt
3d/XdmdOIPcAiI4lakTayE7pABVSrjkQw7h8b2bpVLw2M1vsEaUoaCyimJm0zEvHyjVM73sLi6+N
KxNzOiMOsoIesim/cZGVw59BJ78h/nRjyhBLvNSXZrPaVr0Un1/bnB2CcR+CMpzhLZUdcCptzJNs
/O6/CBxyM95I53hLOyvcys+5mx9RxH1+LzdrOILFFQRjAZqdAWqT5v02fQJRtLqA54BV0AKFupOR
8EHs1gp9iyt4ZWYWjWig91QGyLXbUQ4ZqDp9TUi2gpNZQlhNhcT/Gcr0DVfPHYlroKisMJ1DZSUX
5rZu6CNWdvK9gPeHulEHFJ5lB+pbq9f28iwCFCwSMHuhBv3ZdAd5WDMbDLxVoaKpVdSWx8eh/vtG
wanD+I+VWXCQNiWhtYRJZKCTmgj2G/rrn5I0aNGWQS+HFgRCZkOpoIEWCIXa2yGnoF+GlHXGz4Zh
ON9vuMUZuzIzG4vY6XWDgA3NKDS6G0UwptflRx4OK/t6wQycGgXsqZ/MBFbx88KMoLArxpIAJNlz
u4n2ElXvTRKulLEXbmBdMoB413H2otQzO5/amIaRQDBn/8VMg3Ld78BiLcE5zcnszrs2M38tyYrS
pZGJwXQI6+vwKQf9fcczC4Twf704nwzNZs0Mc2TzO4xHV+94fBHrbbLWabW4MH+mbH7utNLAwA2O
scSJLxRbtIFAwU1auRcXYhSMY+quA+hRg3zV59WvUwCcIwlGRiHzglF/AttrAzlT1Uu1oLbJGL99
P3HLK/TH4Myrk1AaU+yp3lZ7szvFopS5tA2ZHRPc/6JS1dvv7S3P4h97s3s/rFlQB5GCWUz9IrzX
WtHKxLUWqyUj6FdAFzRYDgjaBj7PIki9xUSmMAI9HTeruKMFaJUU/z5rC/aEP1ZmQwH5N0NPJKw0
lXJUwWWrQPE2aZOdSbxQWXmoLz0IPlmbBS4xNynIb2EtpG56A7zvHi1/XuPLEJOCWh/IIrrN4LOV
fbVwC4JJAY5oSiirAMzweSajFGreUgmrEZEOXGkOlbyGyVharGsTs2nkKvpk4sQE/qRhxzx9ACvu
pc9W1mpxHOjrQxOtDjjGnEJBiQQ1j8UAiGyd7ZVa9WVRWvHspYBs4khDNk9U8D6cd8WnYHgemwBn
kHYEkeUjerd+C46Gl2IbAj+zDnpYih8+WZytTtAAh5BTDVfSsTootrTVAKwvdlPKRvk5uoikT+ZG
tdfBOktNBZ8szxYNnIOgH25hOXyVngH34k52C91Tb4pg6o3sJigCQo82suufaMyPbxNf2UMcfBVp
v/SO+PQhs21Bylhp1BjeU7uh4MrNG43tFHlj0y191NOA9BlfIu7Ih0nVUl65RRc35fWSz65RgTLE
qB2mIdoCUvCaQlvStGun2qPCZqs2eQDaZyUMWVv0ed1L5S0DOzds9js0YcnuRMCjIjmg22RXIWMN
iNFNCLhi76+lepawb5OMKFDxCOvUL7wPdYJSg6lRDma+8UEN+XunD3dDU55bufshctmDULUXmqNX
En0nlWsJtcmd59HEtfmZu5tyDGrznEP1mv0cg23fQs4ssrphJSyffPc7MzPfDlVaGBELuR02eI1K
t1wC81oDolgQtXKtXlnPxePvak5nDjw0Wq+FSgZG0gok8cW+SDYSNVfSyWtDmvkpJNKEyMhTblMo
YyhN4MZjazH5I4JmIVOZ9/0dv3jY/hnS3EN1pMUDZcQE5gZ56aFMNZC18sKSCXRxoi0EYT8IHmbp
sSaRiygupmAMqjN1YIPfdvP9IJbW5drC7P03Gm3ZCQMsEEii0+qhGO4D9fUfbKAFA13EBjKb8ypp
atAkq0TYgPQ8nhUQcVJyW4Cs1vdmvkwWsiyyAaY3XOWYrjkpDAMpvWYI1QAT9yX/qdRr+KqvJDew
oIoYAQRSwYBqzMLvrFUrEJLgYOCQG/01QtOY+xCaghDgM+p2aNX/6/zKzOBs/XWlgt62BIfOIWXV
l6HdGn/NcgATqObicTSRhH5p/NSjOFLDEmMqZBHSEo0z9uhjXKuUf3GzmZVp7a5SAEbcUcjJ5twW
gTLvhFMPMQlZXznRlo2YBgEYVQJ9yPTzKyNRUxkA82MoXXIYzZ+tmlh6lq542df6ze+h/LEyO57V
ImyhKVpyXIbldqL7bX639EHnBmWHf1udP8Zmh3Radn0wNtOxqXzo6jHVfyZr98B08n66BzAetPxA
QxMnDLAZs6UpFaomecqwMyuufQBWlzqgIiKQSsohtDgWpN0KXJRA1gNc+/c7dmnBrk3PFowKECSB
liJ8zxCtJCuhbKZYEVf/xQxS4iLIIJGNN2Z3TxUUeSRqDbczqfLFWIosRvOnRGErj5fF4RgyyDOQ
0ADZ/2w40cTZGgaww+qDpN8Jyb0xrjxUvsQGWCxwhUzd/bqMCH/mD63RREXYYbGqUX8NKTtQ6Nw3
Rm5Bhm/lZlgwBa6LCeiB9CNANLNZi82cRhQyIHYkgG6nIbpfNPShjrJNJeQrtr6i88HrMqUCJr5b
KCXM28+LZBgUKWqxRAdiqZbkSU4LBBfwfbYQQrZd3aA6ehPcT+U99CBswuZ/oaC+sH5ItaLdCF1b
C/3/Wqr3taxhxAmovpp2H6PINq6MdNEGsFxgsAEuCTLgn88o4NfMUZh8JG2NvamDp91obyEi5n6/
s5YWD+wuyK8BgjAhTD+b4QM39UyBmb4cLJ7+EIqfon4nRR/fm1kazbWZmY+kZtUP2oBla0AtrYkv
RN216V9z98I3ro3MorqRhXUTEPg8JCKttnms2lcSspVjfWUkc5j2GPWUdg2OIir0rk7PVAJrdnH/
/XQtRCjXIyGz+CHNkSIPY0T2rAkFcIvHvXwvKUK14mNfn+jTjMno2wH0BE/0eRogpSHloobE6rAb
fg0uQa9Cyiyk2s/CmV3QleSRv2U1x8bFCQtFEuhy6yqatT87HEEbUakCCAB94eQeslSWyeiLZPCV
oS1cVp/MzGYQYZBUC5Nfk4haWvQhKKmv9iMIPpnVmK8yKdfSHYuOcTWwWQim8Br6ZBnWLEXc+lrd
DkdQxNSgEshuyj3wKpfcBUsDdOu/d5U1s7O4nDY51OQozFIVWrrRjYm4KWjO3xuZds7s6v80m7Or
vy0hbNeMMKKzrT6iCFpN9G67OHnLqhgU2Ymd12tw9KX4CUYBbUY6Hsn/OYtSYnQaxNBgdKI2D/ds
h3r4XeDDMz35CeIg3w9xOui+DvF/rM0faXmmsTaIpxOqQ+9veAGYFhJnr0RsrUZdy5Ms7u8/Q5tT
+48tcG5o3sST+lE4qd5wLB6afbaH+vGGPCIz8yN9+n50y17yZ3Qz5+y0kFSThpktQLovbz+q9i3o
/7oN6PfW/mNk5oqjXotQ3sXWHpPWiaIb1CCg5hKtBGnLvgjuDICV0Ow7jwCYWZtdoMAK0Dy7ibqj
9SAdsllD0i3P2B8zM5eHBqiucRCv2LRBmi712l53aOJ9vyzLTvfHyPQRVw8RWRxKI5pOqbYmViqO
VtFdGgOaaNFeC398b2vxpkfMMlEDmCIo5D7bUhMTWvch5k0boL0bZPVjDji1IcW2nkUrDv5bS+XL
broyNvM3HQVppgu4WPIDq60KN4mfunSTnVDIPRUXSEWnG6t22LZw0JVxlzDIQ9prqcHFJYQEloaq
IcLgOa9DlmgBVNEx4h7tqXR47pUP3vvfz+riTr6yMfP5QoA+fcFGvLtGthU5UELcXHmt/n8mEzT4
IoHAwxc5iyhQjYwLOvaVpmV3BJkrwS1o0RQHiHAGzYMchsOLWRjQm6Py8GaABeshqaG/soVsa59s
WqYB4EEo66AqSUPOLbBmCjuuFs2hZwJKkdRsKp/TUj7gZhYip1BMfWcqQfG3/VjTCQEmYpTyNBBI
zLmrhsKMZAUiunaCqCaM7gy6clF9zUDPLEy74GpHVUVeRZWI0Lx5HjKru0xVB9P+jR+Kt6IXojsQ
9APu907wNev+2yoIsfBsBOmkPjssRgVCihgW9rE6ddNVztT1STc/qeIMt0gz/OoP/SlxzR/tKivk
YqAD0Nh/TM+OEIN0oN3ssdMyUG8DM7WR3gzAlp6yPTtIdubz47DXb6E9ud6P/RUwNQ17QkohJyCL
aOb6PNlQwwwhi4phM1c/GRtoTfjxMd7Fm+jVACVN4rb7arOGi13Y1SBrh7qeok/sZ/OYlUEQlCUp
+KECUABLmerXgnzLQmXlaF7Y2BOLCg4OZCPVL6yKQZSpYB9PB8T5yYOelQ+tma0465IJgnIs6DVB
z/0F80U7ZAl1kw14o6dQMvlo/7rVA5zs1wZmry45JjmasWtMlYK2X/4SZq80X4l7l5YDQTsmCq3W
yheGbSnvIJnc8sFuY9kSGl+HFk2WvK9ssIXLy7i2MhtJSGOxjjWMpHbzLb2TX6euup/RVFbqDwUQ
QcENuGGc762uDW2KRK7OkjKmslzqk9HiPSq3uQ5evXYlFfSVJGJaI7TFA70FdiewJn82EhCaZ2jx
HH6jvLvAgp70nbybuASNLUiUa6/12KHeap4CpaTQGdZ65RcHeWV/ctKrQYZqRgJwXwy23AZOnxSW
Wb6La06yEOdgK02vTEAcAUGYPfpQoKNSocEJq6rIPAgQH4vxJoZcNri0ekj7gM155V7+Sq+Geb02
OQt3glDWA3MsBtv0ky2tvdAn+xQUb8qlc/M70EKKlomeK2DZzkCUqCsOO83aLP75ZH12MmpyCSVj
CdZJZeZA5hWPaWisuM6ajZnnZFo0BrSggy3qugtmH5espbCXfAN8rxpoQqHFgc6Az76RJNBEJpAH
ttviVhwUa0io3aw2Li7t7Wsrs3HomSoTgZSDnfT7GJGhSl5E5bHqVyAPC+8GLMmfwcwcXddzsSoV
mPkPxItsJuz4WiPFUu0HdqBzA+oXCVqS01642lBC3gclNyJsaA9pKG3Xbgpb26rHJLPMDYQNPfIP
JzAuYET1OIQhmTIbWFsrdZm1BGGGIm+gwHqMIyRHFXHF3b52HUw76srO5C1XAxt6uRGHABMIke/b
+ols/4u4sLbTc8ws8F0LQFgU28SHuLXo//oHhsjZB8xiOzMU1TYoYjzP85RaLd5NVl4Gx6Ijd98f
/L8BUV+2LxCU0wLidTaH/hvSwIu6xFB7u3TkTb7V76uDYbcAF0Q22fMtA4tbeiA7vmNb4WV0qdO5
IP7brEnZLe7xqw+Z33vgxDTNESGCoYt2k9yPxvP3Q10KXSE3itc0MnKIXecheQX3QTkM4VTn9S7x
cg99ks223oQPfF+6oy06HJl0bpk/NPd708tj+2N5tpwyeoczKLhgkkFyXDIw6qztjEULSGwTSO8g
RJlzwcfQXNVDIcPdBq6Q4oH0a5KxZOlQQQgFbc2JORCFo897IhghKhSVI8hKQUg9qBdcdG5c34AT
3E5EQLHj1mEBaFq7ZtsWrlJTT+huZUG0jCTzWf3Q6pFH2OgxhZwaufSHIbTU8VQGH5zHuC3fkCvd
F5pk0fZi9D9Yr91H6E4ACYpjVqeoTa0hv83Tp6FqkUO4H5uf36/R8vim9y1Qy1P99/P4ek0acSLA
/yZuvIndqfXi23Ug/dJCQehDBVJMwQltzKeRg/GvlxFECm3iKhVzmLpySC5ZAN0WAYkLtDuRT/w8
EDGTWtYU7WCj9dQL6vyuN9ceJkv3GMj8JmkKYwFDHJphMUCyfrDT/D3VCouBcqeA8CRbyQcsPbvA
GggO6EltBssyu2FGoaRjHyJkmzpnJKcKrNwbnwz05kIN4Dw4iQ/hCVf8l0jx2uzMFzITjaWBCrNM
vrTYShJ/MPSVJ9FSxKHhKQtOKsQceE58XqZAr9K0FycbIFHVwYrYPIv5SiCwbEOFF6igPgez9Gcb
mdyoQ8hho2A3mnLL46NcrVRfF00YgKxDy2UCh82CzyyrtRrlrsGO8WYotfcIKBOALb/fm0u5DgOF
UBFq8WB9+CLqZ6J606kKng7gPXKSEu1Tkt9ZgEc/VrlLpl4JCl7CtVfR0k4CAgRPfyJNlLCz6evK
us1HHdOHxJFF0foeD2uJ5MmT5tfvtYmZpyl9KSMUgIlAIAyNcIVfSUC2pWK1CwZyKon8s67WzvI1
ozPXa5reaKoGazZAmiTuSrvQBysGHjuWblUl3yT1y/frt+QkkEBH8RVCwuBgm03kQA0hl/LpSCov
Mv8hlY9Eev7exOJaXZmYTWSgKP+NdCrJL0pvxnYNmLF05iEjCaUfFBHB7jaN8SomNHheCVkAF6SW
kEE2gJWWbh5WDoXFkFpHIyYg1wZ6MedWYib1ccpQl6ldANeZBbnlCGKHKO7Z6IqLrGFVQnjRGa4s
zmITHcoeUjjAA6PotVNry+S/THAhxAOzEn4m/eX7dVqcxitzM1cQZDlnBpSu7FF/y8UPiUNNsnLr
tYtjyR3QfERwbxAwjSkzM91gonxdTfvqGIIL71BdpjSK5tQODSxoTO/XcyhLyWs0VP6xOXdBoy+0
pITN2o1upxyl+BhtJyWNcYvcrGdgHUG4f6M/BCdRgTRR6K3dW4upgOtPmO1srU2IMhb4BGXTHUpn
RAOilTtTXrh2BCjNoFUAza6Vxbz/BavF9Eaen2VXxuctP4bA0CE4JZEmrYipp7X46CwGMii0BD6s
EhBOgdJ31mYXz6AoJCwbDFXeKDvRVh7T124LCDqYyqd+cLJTMyvwdIDgg7d8lbNy0b9AVQsKXsiE
Aqbz+TSosnoc6ylCMPvErSTFEoq3v98oUws48s2Q8/vyuEYCkpZCJg52iRbBalSdPshsRtEpvHY6
L47lytLMb4dakEYeD7jmWPUWBvRp0NdWa83EzC+lNA3LnsBEUL8l9Y1S+v+nyZp3xOrlYAr9gGNT
El6IcCLxRTee+zXo8dJRebUk81inJWbdmCNGIbHqIdfSPU+hMGqM5yZtfrSNvEW0vXKQLR2X1yZn
eal6kKKsZYi0NXDEd81RJ62baZfgX8I4oABViNkpSOgos1ug7EikKAzeJgZPRfUgtOjUU1YWackJ
rm3MzmTajlIMzghkCqlhmc1ojdA7/N4PlgINXC4Q/gPUEATgs20ppmFetSoecUT9yMunQr7J+MqK
LI7iysT086s4QGzVPiclXA1Bty1mb0ZZ/h8HMYs0AokIVC2w5jVFQTm55MF9FW6/n6ivbTwoxSBF
OHHZQORKmfc0FkrKJAgVwbGO0SV7V9C9o3vFbsr29N6m2DU+Cr2uckj8yma31GvOsff3KZ/pG0CB
BL2Aye1mDhFz3USWDQ5hZqVvpOIeib/N9+P8uloQTgSQG71fENHV5i8gIgy0E5JItPXwVekvSf70
938fjdQyuhEIesvmJbqkVaSCVdJom0pkg+3RilfrvNPZ+PmiA5kamYigAWhA5mU2S7yv0MBmdCPK
JoDhWQ24Z5F8tDsr943T6BbOuENWzhsaCxouqwTDXw8gWMcLEuQIkxLfHN8PyKtMs6Qa7ahrd13S
uGwQHMLPjbQGN1yA6MGUbiC/NyWygBb+vLOEEO3cwyhioJ5xBsQr96IcjNTZr0nqSX2U/Vq0/v6J
B5uIcNFFbqDndr5+PGeIIgjwmR0S/rylgFuvPJAXJ/DKwuy8aINRjNTWAA2PST25elWSeGMovzIa
Ot+74tezD0OBVBcSJqiuocT2efrURBWZUDXIYyo/pP5RLXB4xD+/tyEvGIEPQJkFgQ/0L+flLZkZ
A/T+tNEufjUHiHw4gWoFR1BXuvQG+WIkVTvfADuOF/lFBVlKCw4KhXbDjleD3bVPmQWA2khGNRz5
aNe6uM0JND+L1OkKb2XE0/aabb9PI57dwJGay2aVqBAw93hsKXfAYp+EE3+O+X9DH8R7kKXvAH/w
Ag8dA0Bji8+U2iDLmgTBVxZ54TDA1yDNQiaeADR1fF5kSc9byI/rIwL8SWBFcMmm3sr+Wvf+wrE5
lT/w93GogZlyFg5kRIypyeC0gpoceVzv87+XsAMc4MrE/KpmgtK3JRhZ7JA9FngnBcDm/L2w+czI
bLqIFoUpHxR0ZGpNexOWqeGG4piv+Miii/yZrXmXVZFVY9hopWhr1d2gd1baDnhGI3eMCmxBrRWH
JOqiE1zZmwXsph6JykgrEept6iUUwJokM9EaI37MKGtsShpiZWV9qYzYr0l21IjMLYVCIVBR+bmn
+qHNJJ8F5TFjQLNU9T0Psu0gyxfThOJHlJgWGiA32UiPQOw/8JD7eRT9YEpaWpVq7Aulkb2IUx8d
YceyjJy8Isj8D6YViaITl5oFJMkmkMU3uaieA6Q67UhGo64pCs7YdK0jslHyCqG8l6tAtkcp9cjQ
bXD0e/VY3evamLlhUuXQghQ9GvT3XDLPtQau5mLId0WrPkvG9BjqJNPK0XiBbg3Z6XR6jHu8lcoE
FMukz/QjiCHEk6Aq25r0UPCj+FJRKZ5oLeyEhgpWOEZnkZIdiVL8BPDAVpLdqQQ10P4QRmlpaywp
bZpTV8kNj7F8p5F8J8Ryb8u8O4EyYQ9Y40vTjIlTyMZbmwvnOpbuUhCOW7xtHxSS/GjSZNuKjcei
Yg8CnZtczJldVngeD+ZdKxuBWxXBlorxYRTUyK4iobSVvnuQ6u6dRvJ7Q4T3NirvArM+c7k4xLmA
rrpK9Hsz9KVm9AZ97B6hjHcrF6ps5aN0y1KNWiwKBEcV0VUWG9JNT8YdwGJPrRag1lWnOjQy+sKB
ItCzGI8vmsnOSVRWbipSDVrW9aXk+WYUgHmO5F7c0KK7HUo0c0p68zwCtxkEmkUSaA0o/QNrcaVl
440hNqlVgyOlJOU9BGNBr0RU3OSgmYTAXmtzOsgeYFQPUD2lFp6+zM3S4l0UjQ+A2Y6qAq3VUBO5
Jcnmfoik2hrT6jQp2Rd136D+o7sDyPfdPOhuurTbmn3ooxX0AvFSTxOqO7FsPIV1ByFIj1DF3jTd
eImJGKKrYNiQQQS7VV4ldhSahoXU+6bOx8xCZr6yoli7Q6XBRXHGAESQ38aUedBldQImyz4txvuy
5GdUqJ7EMPTLHBrYWpMBahnXL4lunCBusW9Lsgv71su7cTwEpSkg5hzu044dRKnZqQo9MFmPLKNL
HyKehiiaqPgXCEWIUW0ljYygLio9/N5jXac3SjY4XZZvc6O/RJybHjfj0MohcGA1afBeRPo5kyvD
bdT6APzFD5PLTp4Mt22svJhlcK+ruUWiEmqKXespAX3NFeNdKyPdiivjrhv1m5QLvUWknLtUqcKN
niSjxRt1w9LkQAkEr8CPmADQynZjLm0Tkd0IHPpQqn6qx/BUCQJS7rRBLDO+KWny1jWoEo/avk3q
wQqp/FSX+U2itlDB415IkkOthrEVEvW5joSfXa2/j5T90EH7wLEEViAOXlfE56BV912kpOCxrzZC
JLo6S3zNKA+hkStWa0ICThH8aszuKwjoWBm2tmWwDCX5dHzPFH5QzP6lywXd7tTuXTAQF0AqHexu
Y72ts8K0CZNNywy1faNp0B/kgyePnWPK4duQJJtBMaFTOd5VuCY8sdOIFZjsLg21j6Q2ISpRVu8J
3Hkowm2Vox4p9eCPhzZYLG9Tk25bFYH5kGxD89JLWmFnjaBA1oSeiJbbUqac6zLyTVa4cSx5UKjw
IBDkRKNo1eBZKwC/7kske3XujIIORoz2mMcvY9CfWK3Zqlx4aaW5MjxLqtlJzbhVGPqGJdxnpLFr
TFoFlecG/73o3FrVsZladzR8Ij8MUfmYCtJOYuBp4OZWChS0GyNCEX4MPWgTURe/y8mrbqa4uSoI
wSiyn2Ip8qh6SEdwKaQnsVZ+ggZsGwLjzApgPUKMkZlWyotm27HkqATAVIV58sNEAJSwk26q26hu
LnIDenguu1lj+FGT3CUxOH7Lci9BIFfTs41McAY0rVUHwkOWUy9Gu2VRp7VF9Ytg1E6L1hmJH1Mg
SivWW7kIyhPJtJnkJyNxtKJkVlfGNuXg5FFwr4xIYJWBpZNbBRuEg7IMz0qNotmgPI8iWrqHxkEz
v6weBwRyJpjr6T6LzlkRWzjqvSHQN4nkmCxxEvM49A9R/aKKkcXz2tEL9HPhF1JIB0SpPeaHuOM4
6RVrhIyloY9uoMduGaI/T29RTrkrgLjqhhB9AocmucWh5bVDZYfkkhcH3Tyy6rEIgbyArUF7iSJ1
a7Y9oPEnSuoND3KLiSezvW3xcx6muNkj24jIphreeb2N4tCW4/sRvTaMveow3EIQjLE7Vkg7tM8J
g+QUgui0oq8KW9N4mGQwpDRzhCGFsgLQhXm9T/rSTalpScYpVxiACYHXhQTJn1e1PKsxTu4qhni4
6ui1DA4E18he8VK18Ihp9YfOxGlUn9PuhAeJy8PGSeIjVd+KiJwJe6q6jYCLiIbM16p3UI97wF+h
dxIiMa0OHITgpuZei14QIFhh+p5wbKYGJB70SdOflA6CCWEMbPaHjh2XiG8FJHjTkjlUqZ1Ozp2q
vO2LLWcb0qL2p5U20a2KPI70uQ9B3T9AZvZRwIxO2VnZEcK7MgCRdPxTG9yk2olV7/ZggYyG0grk
6KaiB9MEA6S8N9V3poE9KM62Jr2pyE4PnEHfhgGOL8FXQJar7SN0OhPQGHUbohqWmEPlSnC6SMXO
zCwjEg+0NhxavuPlDnGY3BeStwoVI0PM9hR5yap+0HpoAwXnAmOXh01ZJl6WZw7BnUz5w6hkvobb
cKypkxjqNgMBhTR4jealseqEETL4ySWIt4KAmAfkUKWEKCX3eInQx+CxU5j3UXKqceO1xV7XUFDk
93V8Y6SPcveLV70Vy3dVslGqwRr1clOZLwV/DJIzEXZpt5+CMbiqLeeSbZjMFs3UkcMbLd/CUa0e
iy4agiWxY9QezBgVDixMnx71/okaCTJ7BjbIM0iYzY7aOvfb1pfrJy6eyVhbOTBpCb5HRvzCn8Lw
tu8zV5cKN6+REAzfe/2lj9kpqWS3Up+M9KPtNSfSN5W4iYINVTwqOErT7GKgwEaC61R+TjRmmaqH
LxDKS9P7ZZUcFMJs2me+YKr+UH6UDYBN5COAjbSyOO5GKXGl5EVCg3WAQ17UAJPErQ+JBAMYW2Lg
JHAkkIICjKLqD63opklsEwDbmnDPu9tSP4jmPc+fEZtp45YYPitbBDlvKTlmUmMx/V6RToOqWkLZ
W0Iw+DHEs+sW1RAD8tlgqiOV4kTps4B9AwFBqzaJq4iBJda3Cr0E7a6W800FVCxoB8BttI91zJCo
btJyfBzL3AFBBg5pAedX6qVFahvifdK9lrGvNMSL+h0DUax8axJhwwrRitrEGvM7Gr20ReuEcX5W
8DmhFltjEnqQVXsLStnSYhxwkerWkX4IzdzJKpyA8HvtpZff6vgkVb8SHAiGfNHD2wzct1wwUbfu
HfyCLZa4UAYMINC2oSJs0vipHdnOyCqnTqpn3N6OBHG9AVdu8AwytU3XFlau+zpPbjEd3Hjj7DkQ
RK8IRKiav0VR5Ah9vxVb6upmYMWl6o69udEjupEDRPlFZg9FC3Ls1K9LxTJ7xW7T20Y8J+kTHfcG
565IPkz2i7Z8p3QeS7aFtjMKAbS9flk+RtVFLX8qvRvmIu4zlwobErtBV1pRtQG3uJPjGhbQ4Sjh
VisN2erb4xg/qOa2UJ0RZQy4esR/Gfw2MUu76j1a/DIEvgGng98Er5UZvYCpUgpxdBn+SO5TfipT
tLGQ6RQVQNUzlH5CXwh/rAUwZwrbTLlLjNFBNOhLUmmZueZX0M+Gzx5oVllKLJ31PL8JSsOppWSH
x6yVaJU9sNaXBMkXccHFXDoxNd5DuGLXCy9BccfTF7yyN3LT4ATF5VFBFEwLwVoMnW1mZk6YxS7O
5rbVkUapcAkNjiqUm+z/kfZlzXHjSrO/iBEESZDgK9fullqtXbJfEJJtAdz3Db/+SzriHMucvuo4
c58mJjxjNEiwUJWVmVVDZO6wwIbtl3hQxr1bvmfyNHSFhyTdZzVQkCUP5/SI0c5xYj8a7Fua3lvu
N22hwYIhC/osESleprT0uASbvP8hiBWnLtxu05dWCky5uBrF3oJCxpQmkp48njO8VzK1/thhIkTn
Rn1ShG1aRVY+xRoHI0tDTp1lQVOheMJXpi9GoPRsP5jpfd52XteXsQXWxNLWPispVm3u2fhLK3k4
dyCW8SLoRXrg1AwxR/zKmoegM4xwWI8XCrZsPkxF78FYatelcPobc58k151gPpdvFSM+ze+5haSu
NH2G4ViTSjxIAvZDj3yC4cjj6RgQAqaaDYq5edPrxlsy5YXXl2Mw620oWRYvAw/NNJZ9+ZDVOZJ/
96lhkKwYesxR9ipqX1OTXc3Vc58Kj2XKzxuYdw+3RjqFdBKhNdS+UG5Q5PQ4Di08dNOIpnOQwBJF
LCBviPxOFiS28xsy4BqqgAL+5oLtiZbgnejk2JUQYeDCaYHhqq70YHXi8TQPZpf7ktCoSsSry9vA
0WBIistv6iYkTXo4FGUsaBWYbe5ntRsJpkVzj5jD7+r1tYCqusBNWU/SUNlm7Co7aNMlYlYVjGOC
UdhDUM+n1jRRRdzIdo6G7qUmzWm0XlvsZK5w4DoNlqg4yUNzKIfSqwwj7mG3bRbte8rneCbwDc72
XYJTidqUJTc2UlY4jXqDyD3qznHL0baob7t08SqQQDQmvnX66HUEJqvAmOoBLF5cl2mKwYroRJpL
5NRdrBfPUPiE1Ml8YtSeprK9uzQIhxwRht80tDrinzuuEdDpaUAdXA1LcYIvOFDpWzYagB2uHQFm
WiEDq4Qng8lOuFHaie7gT4Fxca/cKK4V7046knKdvGoYT5uKX8gvYUqMmHBoGzeY7WsAxqgGe/xF
6po1MOdonfce0TkVZSTQMNPqH2Xzq60wSqpt44T+dBrQrVFdm9OxcG+MJUVsbCLVtUfbgsg9x3QE
DIF/rARgnQyFgZBzxKQWpQV/MNhEvLKxolTwA2Bwgu+WPqR9G2kYRsMrdjCJdmc64jRZRagjY1Ud
OYlE/Sjy6QpGTIgFNvIgMu2oKx50W/ulgUs8uGNArOrHIECxHdIJc0c1HOS+tzwIM2/rVt8XXEU2
TUNzqK8oK7/l+Si9ohExnDYPOcs92euBKoq4LNbs0U7DDkVwVWe7GntuHNiwlPxKA6mUVcOtu2B8
geR+0TXgyKS6uZ/J9NTK5K3OLDfoanpoZHFSc7ZLE3ZMexKY4xwbrRHZXARd1yGdNZ9hkX6/WAX8
HGv7x2IkvjKW7wkhYM4NO3P9A5Jr3kjSN5LhTA1FfdVWFmr2/Fhw5wWdR9QGTHuxUnwKDu/gzujK
F7TZvLKTv1xBsmuXZuAZY8aUjwCK+NNqh8HIb9EZPYFdxr3FKGcM5bAxFISLJ5E6O1lb656w40pv
Yo3YD7zP7qiT7jOje87nHg06CyVkb1Uy5LpzUzBSwrdbxBic/U0pCxVonz04OVKiTrQVHlyCqhAj
XLoOCZQ1ZCUw2CyPaq1zA5KgqKaj69kFwAONmN9NscTQ3e+rlX05Tju9FNeyRNk95fy1ceiJq2pf
WsVTktbZwezHu340vy8au53M6i4buipcbNsJBtfd5W0JfNG+66cs8ZLJFKFR20PcMFocjUEngSPa
BuZhIw8HXRcRDFKeHGMAEkIfIVLGQEfjxq76Awq8d02rD91sHphd3+Q2Tmxrw7e8KBzf0vKXos0f
JgHCQUtetEU+67S4ndjyw0z0W82GzWnOjO7YgIUZ1KR9knWJY9tk8MFRyOCpU+1sFyBlolW/pCOa
QKsyiADa/girkjFG/8oAXS7PXSQm6m4YV4jTlU1IUIV7egUvSyQgQZ+UKJAsLfUn16k8KZUR6Kkz
RyAbP2fW8ITpCQGb4cMuROl4NJl/9aODf5vMj7JZhmDORQcHZQCA2diFw1BJhYJFsrvOMceDmbhj
3M0LpD6ddG9YX+lomI1lEk/9hDGqGCVwX7sQ5IVltRhDSDOXHjuT05ehbLTHuTK7jwomQF7dMhAZ
ame+U33rBllV0yivnSXs+m65t8rCDJvJUrvWsUugQHrr27pGQTC2zbssN6o3yq0sUnU63ZUKNwH4
LMlVlsCmrwL09B2Nve7DyROi4Xtoqjd94u+DqTeeHJe+BP/LMWMocBroSWk+Pfe20t/GMtWB6VDt
p+5K+YjPIol0p06CIUXpYFUoryQrVGAsdR00XY+6qmF2bHYwI/Jn2ZqesDLrMBaEQYKba5E1lBnH
9dcCzaBmjsmPtYJKxV76Hdx2SWzyGrgCt8w9p2kOgDhxgozoxd7kNkHVXrj4U5qhesEcZc1onGuZ
tQCOCp4HpaB2XPTpahkH2KojXQGFaGklgeRjGQ26m+44lIP7hFp3vZ73d3nS93aIGz+Z3jRDtB8N
sdJj2tZiRnKoMtRZdZ/T9mmEiXd2soepuLITNcfuglmvTUWROdeYldCXXEYlsUrPmBzzFSUEHP4y
q4hF0gM3Tw3lj0ImIWZqt/7qYHprWbK5W1qgdYairV+JZAznmic/a2eqbiuXaAeIocray/FRxXZS
mxHTcXtDHzgC4ki09pCqQkWaPtv+ZNXzPm0KjrTERlq7TCBdDXqyt1d7kKXUSGSIooMLrxJhXaFW
7BMC46K6kYFpAszSJmN6083MfgYM1T7BY9buYL3R4v8x2GBYUbZ0/EZb7H4nBht9fExLa2+SIa2R
jcj8pmh59g1qDwFRNyjk35ylqVExw4hSd7L0mEPFPGLEvTukaO1m2mwGLGMacp62HhOyQ58LMgZt
IlAbpNZSfudzizPGy9Gt7h3IxEXEkI2yfYaPsA5MVpE2bLI67TzY+g26D1sX1/RlrjRAdRjy5g15
R5Tn6Kl5jeoL2AGYT37etvjwh4WHEwNHenSEfpQNG450cPh7ZWjJ4I0dAR3S7JqohKnpfrREeuJl
RULLba3QEq6zW0Cd9DBbBqBem06ZjyRSB/Q3j2GaGRSdrQH3h9Pox84otBMruAnsyR6R24FsM4r6
BUnxctUpDQqOuuEvBpoxHsWM9XlI7uFx3XkVTm5YCdjrN6gSvZUhAqd9M3dQPkBIf9ONcwfxlaOF
uVZUV5k1kp1hSzsiZmrvOJrssdAWlPzmOL4bcoC4RuGSctpO32lcZ986dxAHY6goYo5Dr+yO2Z5r
K+c466kbDhY8k1K0r4JuRCa2TCnGCuAbeRxmQ/PbxHYe0crX0VruUQnOAy58pA2RPTnWwe1toNST
yk7AmZfd2IywAHNG1e2GWeMHbR6cwwyFwUmahQzVooofSaHzeJDudDUtk3s9OpW4ITVQSz44NPEw
gHd8EFOtQVCcWeE45vioMbsESb94Uf16cAijfs7b5p23BsZJi7G9zo1piqrJ5B8kEendUGfuL5sx
tVPtuJwSp+9uFCZzgG5bTKk3Th2Ldb64cQqf4kilFuZxodkBL9slZeRhcGXxBOoJ9dbW/1Xb5vQm
d7v81l50EjNXI5aPdF1EnbSQ8/c2RP9UDMcGnlOnAUJAIGrpEosGYFtOmzEApp3ddFZavYKmL15s
HTxKj8PO9s5eNJgGw+rxWpU50FpSNhHLMtRcqSnLm2IRWpxrUj1ZGpCYemQYkYaIEvYIVsjEB3Sk
oK0EKxqX0e2gerInIyJ6YzbxguFuB5N1c+ctIDif7ARNHhg/L7cET++twqf4Db1i+J5jLmvg4vwH
MPCq9tyq+WlesiHEaAq99/XJofedSYChQ4t00hvB/UHq8gBeZHZrYcZLheE8WvvS56Tz+axsfwHQ
AqEvuoR1NU6nuXIe8hlWt2jmT+SZSq6UR2W72IcJH2Ryl3Ld3qGD01TRkghdu1loniWHutQNDx2H
8SNVllt5qZNw3bOy3PwlJgEUUgBt8lJwPE6zwZApCatCJYPp6gErCfkgWSozoJepvnid3dYfozOw
Z1k7xm03lminDO0KeGsm89es7NaA4zw6F7S3XF+NJoBUkWYhFIHTtVRAM6Q202yH/HiyATFZE9pI
CRmvJkqd45QxZ4Y73Tx81JMCJcgcQRDKHVRxlsTx0iXUmo5S7N4ClHSPNsB40Cpg4bh4Kz/Jq/5N
6ywX1iWa+9H0ru0Rs5V+bw6oSrrKpLvaIs2uBdX/YABICAyiibDTp57DC8ew9lKDb6Y+IxT6bTbM
z2pIyfXClvReqYn+nGiv+6ozwMgmGQ8qUndXvduZQS9nGSg7qwJULjV6Bo4I9bZKUVtkbjQYNN1J
3RQAC/C9RtWYYoBFrs1FAIDS9vjCi7ip9fYk3Nn2wNTM74UY0FybOcACZfZOZPCsfuwmYK8eneFD
X7DGCk2pdU+0FGvV6bS7VjK4q/dKRI0+IEMdpwrtJdpNLDCzsvF0ZS2nfCBOiEZCGuZ6C25Lr+zF
K4zZRA2+mAfF5qVa80PuZ6mycd0kHT3ZYjRfzYbWqV8NZXsNS97JR+scMN+Y1fJnTrhAo94yjCsN
vg/3FF0KTEveGT05Sju7z535qdTmx6awkQMUJiI76yK9rh6Qu0VgqIGCJmBIUaIIcmv3p7sAT7KT
BrCtDUzSFD9cMVdBok0PvaZj4yn6xYam3WuNDWu3dryz59EKrI7UyGEK5BTGtB8UHeOiZq/EneHY
P+UUHcTSDewhUQdRoLadLGSlmqvu4N0BRLf76Jjza+zd3oczbCynMvXHpDqhVW2HGHziqwwMGmdW
QcZ7oLQK8FmJE17pxlWfI9N0hx/rre9NIv2Za9Wjq4aj3ZdvNVsWLyeJ5VWJ9TQk5kdNZ+qlRvod
ZjCtb3YANPXBKEN4BEd6l4k9HxsUYmMWw5fiJ1z0MUfPlqFMyUPeLCExHcSegYVuSt1QISGJVIsm
BDCCx7JJb1lR7YzKIh7pqlNJzVugpXaQEK7CgeAR9KgECMveK8YPdCECnVlcG9WcfcwNhctyrn3P
YRriV6a4LnmBTkidV/Esqe2VnP1cOowTG2AtarUPpsT5MVIJ4/bZeayFuxsk5gpITlCMJs1PEAlu
GokZ0ghsgKy59thMZoleivFGM+uVSjv3OiXvLTTiwsnFrTqKnkSuqnftOO2tLnH9hLDCI6OIZ1hB
gxQDA5WEfrgZdSN3lmEzAwK2NSdqGHr7TjkKr9PEQebW4ukCJNGs/1UWPeaSUV4Dr8NHrE9tBHvP
XWHx95b0ryzX3lu1rMO73TvHqlwMRdDBAdMoC1AtPnN9wNc46kE5r8NYM6UFslGYyJooc8dLjiwo
gd/gPKgbt3OKsM9HjhQre4K/lgpdSzixMuhpsXGvKaZuEwJod9beZ0s8ZegoTy2KLmkBtEkcUe7w
9eN0lgApxjy5NcvlW2Fp17iVgKo20/vUJ89jzsAMSYz3bBlfyOQaXl8vb1Jat7qd4z8T4qHWdMdr
SN+is+ECS2ByN7LuALs2IwBYg365oj6ypX0xoZwusrwLQdA5tHobo7K/4XJ+q9r5R4+aPpSOlYeD
AOAP1iG673DBYMVw4jnkrZkuf+JU2aANEN2rzPqhzcrqWcHByJMOigwGgzYnLW5Tg0WW1b0v8Fso
gJSkprvnSecPPDtQJkKzIkG9kKOSWQK/9gngKavRDUuHo1nBFwXjPcYCQKel0u/N2OwzUxSArwqg
mTyLKJ+CWmvioTXipCl20v2WC4ACpC3uUq0pUaV+U5odiqq+mts+hDHDXuu6lxSleWcusdX0L3Rh
yFhxQKpidTno8idBHS0QC4LxGh4zNkSGxW8t6X43+UvuTDf6YvtMlMeiMEJBbAJkRM040vAQBtiJ
kuJ2bvFBdjPwq6H27GzFmGvtZJf2k2rlSwr8L6AdHIFJWDaOh/7br6xkbeBmWoSBIC7AYPqW1Ul5
neIS5Tr9VtBnp3vrM4CbtnG70Dn3R0iuCB5r5iA6Fe0znxsfHGZPb0avBRZbdeiGmobzzIZ+iuu0
fckU1iAl2u+98XMqph+c0xvHXpKgH/h9Xrff9SZJPa3lwFq5BV/sSQ8F5RjwpgNkNJT5qmnopOcN
eoo63nvlwJQyJ6Zv5st7p+dhWif3zjBSDxNUMLCpmPZmOf0i0A97w8BxkqYcwcn5sCVI+9IBmDA4
YILB4Nij1nKjquKBdUxErQJQSDqjC1DoXMOn/SNFEgVKCX9FkXI1okrCUC30h1zUtL4j1S+jpQP+
6uStxyVOCKZ79TCkQZKOc9w9pRy4FO0HA2MCQc2ycz55o4O2EGFVzFEueYs5H2E0jOFyWmN41SRu
UrMD8Yh3pgey0U1diwMG/wJAUrcdBmKK2YmzSbQ4MVwFueRuuLjGVeFkJwQ6CrIHvBANqh7TRKch
48ZbpQYRKCd5LlLUOdBwAxcXidwBW+mixFqeRAt4rFYWj5jZ/coceALmExmDWiTgL2lmFg8llG7u
glwU98cvYyEPLSCEAE8VOF26EH/J2c++F+9iMXN/GNx91pcaGm4tubJHxX3MEL6kAPjtevoP0ukn
ht/KAPwkMqisPNVmt0F9GQCwW60YEJyTIPdND5BWPO6ljxEjYRNMgXsgV5h1a16LQ341vVaP6nvt
a3vR+6V/SV92lnLrMBBCV/sejE/9+2fNAvWj1JUCNgl9hQaKELo9c8cu8ClXduk/dv9pmQ3llgxy
NeZeFMzxX03AU0gqPYPcjEpcUFqcJVJ+WmgjF2lRP5uNaeK75vYOikdwa65dhbxHHooMqrmWRW32
v/PBV0f+/z7DDR+csAkWADBABPJSAO96MhwVUVSumrxAFD0jnl9dsdc577BpMy1jQ351R3iK6RSO
DezonKbQeouyUBxc3/kOx3yMDIF8ZTemFwjKZ5jD8KDQMd8LuhLgf5tHOmScUA2ut36RtuCG5AhY
r18TYM8cQpOuDHRIZOHR7my4yRaItk6BLMNfshdM0C1L6fFLM5fO7uLTGhvNhT44Td3pBBNn6/Qu
A62XTf+7sgtmHXgrvxWqBow1/v6WKmVljaqwDbg1oLIEh2dC95Nfc+fbv3hemJdhAn5iOmQOfy8k
AV3agwaponScGAVh7HYA8/U5/HqZMx/tquz+7zKbc62jCBiTVf3pSstL0tfBQDXS3SXFBU+Ds6/m
0zqbU23i0hoFW9VRfLrjS/OdOSAUfb0X85/i0vXl/NnM5oy5sBsA/IqX0wJ1b3xIeB8Z9DfA8FuI
ahkaKYi//CfGb0HXgYmyxyXo78tDf2XG5U15Dzn9OrvRDap/85AhP8c0ZAY1vbXZvMW0kRoNftcs
wZ2bn3RCcecyz7w0A3P9izYh2KSfFto8AFrxhKkRKjcNzdsGhWVtHt3ygkfm+UUwMcuCLQ88FjaL
uDqkJJPEyWxxZErdBbHpaZguGelfWmXzLTe9WttP2ApyEzCXiv6u713YwlbJ89en5tJCG1r+InpN
MRP08Qq5nqy+Y1iAV9BLNpiXVtmkBl1ZF3AiwHaEOCnrSiVHmVzwtD1zLeLl//e9/Dby+5R9tBO8
eX4L2ZfDCP8ncVxHDei7S6Lg33/PPw8ZZhCv82OozTbphGVOsgZVFZFp71ihknB4ScLsWF8Zp+oH
cK0ltAzP2iHr8tyHFBKiS2qa3+7TX/2CTRB2LD1xEplAQ9RPBM2URH/tBis5AMsnr1XTGIfRbGlU
g7N4VLWOX4IaFFxFXfjOQqegytCN57r8BVwRHUhl3lJ0ceNuKYcAjQGk8xS8FVGQ/ljUYPvxhbQ7
DarESPUMA3MRjgvfxZ/ES5vLIxqT+auVGdYOgMsMHs1A71NMfgTnakZJLFvtsYAtiJ9pU7PLK5s9
1YVdRSAXQ2k0aJiezDpnbxYmZoOphlxVrK6Qd6NzmXRVHZFUTmvPbfBLmmFsL4FLrtagUzjCgukF
o5tq0CTS7ljOlY5+eNqCSkfJsbRlHyzox0MFYbmhXbcq1I15ol4nOrBaRkpDkPStiLQNP6rS0A5S
L6dDJ/ImGOCqGv2L7wyDawlwb4yT3B7P0rLVmE8UWmXFfzY6ua7nOhKQLfyLZWwK9b3hMsw825xO
DY2fWgyITgSUXAPUmU63MatHXbhrzt5nn5bZHEFiJa1ZTAjpVf1B0FS2AbV+vZEzHm+4zWwkSzas
zyjbihwJOvdLViIn6+GeU7YBqLLsTnuwDpbf+Hzfovp/n+/L53Vi4OqLMVyj0MTF5hke/nX/9a85
v98/P2aTJ/Ba5wyINHwNKrQNxrz3rYw8fr3GenH847OGy5uLgQ82Et9NyJdsaOSiQVjctaAEayfX
gsuI+17WFy6wS+tsIn6dw9F/XqCaV5Zzagt+R1kWzbMW2vguvt7S2Zj8aUubsF83uplmmY10sfzZ
Oz/QOnWy13Q8EFMPnPG9v3QHnL1mHHh8sfUDgOvN31kjH4gNx0ET+nBMukkHew1BGGfyP4+nMzH3
AD4aDnWgJjW2MvShwmw62NlBsD+CqaapeV8P2vtSLDe0rU9Mv5Q9ntuWjZoBA7EcneGr2GxL63Q9
k9gWHzn44W8KeETXlhe+OHLukH9eZnMAF13yya4MHMCwepuenUjtXH+K7B/yfv3ERHApWJ1dEPbN
kIbi4oai/u990dTokX7jOTq4Vaj1qubd1+fv3FFfp9X9Z4FNNExmOmFwNBaQ3QpLAK2hZTWAGp7u
9Cm74LFw7rB/XmwTEymrhDGvjw+GuTBo/I/K9VICcrZCRgkJAzYbndp/TKfShswgVZ0qP70mwLU/
ygDxMODR8kr8VVcPPjEm2F0aYHb+Xf1ZdXMG836cm9QUCo09BnsnXt3yVr8QLs6fwE9b25xAkYOq
3YB4DsPyVZuNfm4wvqgYcttvhidDF5Lsrw/IpV1tYiGGk072QtcvOQdxJ0889xJysv4N26j++W1t
QiCntswxuV5Be5lEmvXUEmgmlp+NFMdc9j6UcMHXWzozlwXRCRJoFx4SwFK2tjJpD05PP+FNTejM
BYIDhMUwRbT8oSyAMaUeNiB8S1ocGsi1Zi05QDgtPWOY/8U9YzsMU9TgKb2qsv/+usVCR2HBcch3
K+H3OjSZUEGOZkyNyft6y2dzctARsOM1ZcDYyL+XKiTGJCSgvPjoj9XXqeVbfh7NXuZ3BPZZ9skA
z85fjayqW2PXkHDZXUrKz4boT79g8/E3Bi9l5Uy46YwqFvWxIGZgpj++3ufZ0/ppEfPvbcLJo+F9
jRwy61WYGdk+deUFF+FL+1h/wqcqyoFmYDJWuxs19Pu0YDczQ8dsvuSReWknm7OBqFaSsUSaOuUE
TDADLqx3/3/PahOvEPWnbpEr6NCOPu9h+HBpSuUajP7xZeMLowTGspiwt4kdS9YtbbP6ieYjAe+s
CTLwgAZIVKiIbEkvnPGzV5lLHYZrElFY3+wH5EaVws0PGSjyQoj1+13asBtTNgCs6Pzx9cM7v7U/
i23iMHcrp0rRuPZdUNpa9ONJ/wttmYCDIqpdmsZ69sh92tnmOVruonG2eorqLaaOzF0agf4GFhTp
o693dfZ6gR8NKHXI2WD9vTl1TkNGDEtGtEdXZq9VnrkTv2DgsO/2y771yxj83Qv3y7m9fV5x89ZA
/LdnEDLWUba/rOR1yJAuXvJc++04tD2InxfZvC05g/XKTcQe4276kLfj4GNvUGfDOxD9ajSmPtqr
CbY0QR9fstw443GKehY5iIkcC5KrrTNwkaiO5wwZPn3IbqYbSOv3VIfc0zNjWI1fZQHU/Ht2CVE8
dz4/r7qJ96VkvT0zxHt4F8KggQaG+5w1j/rkRsWl5Ht9Rf98un92uInstTWzxF19R2WeHBgv/II8
THYdl/gML5zPNX7/YynYBNhrF8KBBeTfwbdrLQ4GCzLIOWqeDX85jlc0tD0QJKLVKda8/Xq9s4eT
YCYtQAli6Wyz3FAPVb0UKCv0xj0VcJIwWtDonG739TLGuRTI+bTO5gMfBsijegfbEm/1vvqdxY2R
dZiDRnkQKgeJTw7jlR1YDzReghalBtRGBxNOyXCl2TXvX/+c80f208/ZZGSG1eopOJXrAAArtg8q
cHbJQQb0xkSiOexZVJzohSd9PvL8WXPrEjVRVvTwLUNtcAffx7CLeTAe6E0TgEh6KCLnVl1Y8eyp
/bTg5gvhQuuGrEFMGHvYl6Af2DjuIW9JyP93E3dEACgHfrvXoYO2eZzTWMJZguGi7btjnr7WkJRe
eGHnCqtPK2wtOnun0IehQ9rThVrus0N/EleNX/kKIrWrzJ99Am16MIeQM/kofC71j8/lKp+X3zzK
moL7hvnwCDYuj3ogjUY2X8Cuz36Jf57hFlAgTTE5U7J+iUpBamm1MexemJfol0x/zhYHnzezSSEH
lTSWY2Iz04HFZpAcQLemIT9Box3xm/99zMp6NhDOCMzyoJ/YFPgNBSHRnnAK7cVeSbXeQvsLp+Ps
ozMx28hZ8Xjibt5O16JZnLfIHrQcXArje4M2Fmi9F1Y5+zl9WsX4OzKnuZEJUKSRfaFBCLdRH4SO
YBmvrC7++rCfjZWfFtq8nwLcyKoFX9kvhApLwOlTsetBanNVFxZuHTPww79e8Xw8/LTkJuU3Da2j
xYKUX9tB8SlDVE8hkJ/QPmFaKTwOfHLUgksuiuesHHHF/Xlv63v9VGg0JYU+Yo2IQHYPzml4Uz+W
D/qqAjQpIZCH8MBrhZc+40lgnPjTDMtATLvdQyp6IUU7/0l8+iWbHI3IaQYfar11FWExlRLCJzkn
+7IpAKi0A4ldzZZXaJRpAdhP+ik1SfM4jrZ1HFP6bzAxx4T/An6RDShz81ymtJ8nhyDdGKCyMuB5
MS+XnNTPJ4yf1tjsOLVqWNzgOgJSldxrrjdeQ4bs5ycZuH75AQnucxXJK313aQLD/+OoOaunOrIy
zDT5+6XTVthOsXaoJ18+gv2McJ7sQKAPHD99NqAVuc4xE7y4QF45G8CRpf5n1U3+YYlGmsaC+2OC
wUpDZo/aF27b9Xf/I3H7tMLmDkQDqzHhFYZS0IAHC+wZHHrXJ603Lib03Rcui7OxCN1HNJMAm2JE
wt8PkVeTXuU5LgsbjZd+5CsHOSqnBMLc7kJsOHvz/llqm7YkjrQ6OEOhDhzg5TFX8/1UWgizqdo3
lMNryoAvB5THoPbefx2Vzob1TytvwrpRlL2bJnhnhWoj6H0POdEDDC29gNmePRrryE7m4EHa26Gr
MqPwSjNweyxW5S3q0e4uUYvI+ku3ZwPEKRgSoleA6dmbO3CCikaqBBUSSBnPdVTEKha36/BFEVwM
ZeeOxue1Nk8tp4SzZcTRmHzdR/ujOvA9PIb2mg9VMNz4zbA4De+Xlj33ED+vurkcIV9WdkOQUCMw
+glK3OUSmHPuNIAFhNEwa5vgH36uFRS8WmKjizmCs5nM8lZn4mSA4v31oTv3GTMdYixMuQFdZRt7
jY5aIxe5gt9Q51v9d3t4TNLUd2CUI2UWfb3Y+T39WWwThNlC6qVSgPG5qoO+vEuMGja1P79e5GzE
/bylTcQtYfazzEIDwH2ah9jwjZDsoPX3yCG5Zif2aj63F0GBSzvbxNt+GBpWZ/h2awIDiB7WJL/m
8fHrjV16VZsg2OYN7uOqAKwOVwCPDM5trbvPem0/NkSkMFy5NLDwXCj89CC3qHojhALvYu267Pv9
ahjbhutY60uN5kvLbL7gCgO6CYUKyAeZ9oc+Vr4g0m/SH2O3epzBwYK3ME75+Pphnk3GPm9u8wUn
BF4UJvSxvrweQviZmDIcb/MAB2Xf+GuBnj5DGYRTRPwyXIssGbuB+jXs+KVk7OzZIYZNdItQXd9G
yw4GdEuq1rvah00v5CGgrNn7OhSPxMdEAX/xMIv6UgA7/5UQULpskzFYKm++kr6gqrLq3wmRu2ue
58f8od5ZHvOckJ26W5iwBezCLX5+o3+W3HwkNbUEa8YVOEvAHR/M/Dot0m//R9p5NdeNZNn6r3T0
O3rgzcT0PBwAx9EbkaJeEJREwfuE/fX3g6rmNgkyeKZ63qpCJBMmkblz77XXhwB9//m7/XgcDJYp
CnESW6sKxkg2KtVgHGlWn+lC3AdqT+9kanj/t3FW9zMrJeSHjimEU+Y8/ojjZ9k68c3rH+2kyr9u
ZfXNk+Y07b5wJqwW0vNG7Te6I/zP7+LDDRRxDxhUhQbsNVFToO4qK/y8XVHGB6sZzhIlwg8y3NVG
cqI89uGLUR0Lh3dbp5C7mnNyotaRVS9O0D19zkq6UTV2bVyxPr+jD4fRYVBx+jZMx1xtM1Wu94YU
M4xlN/dVFz2Uo31uGs3D58N89ODI/mKLv1RD5HUGw05muZWDkvJwabsGnYyB/GDHMBFpI/m/jbQ6
IQuIWo421csNiTOZpiSE5F6q1ltdPhX+flhqf31Xy4x8dUjl2yFIoNWRg1KieuWz83VZjyR/dOll
VH9UD7KX+JH/7xQTHVvXCUXwcHunFWuHVkZjXc2LYcVGz1RXGsudPJ1KBn0wNZgYikFF0TKR9q9m
oFkFs9mj1HMH3XCwLc3zJ2x6B7cAlFf99bfGWIRvyJs0ur5X0zAPghEfWRoI2vIhVCw3mASKUzpA
qi+fT48PFgldVjjqYZBvUXZebaCDTmkc7y5MwNPcjXU6G+UTH+7HIxiAu4FdLTmMt5PC6vIxzFRG
GDQr25rCwry6bW7+ndv41yCr25CbBMF4zizXqqdUOWu7u8///ofvXrHRFEEXRXO2Wq6LIktbcpl4
jEfRPspw2hk1vw3rE0fvU8OslmwMPBw8l3jtMsaYUv8y53dOeKpn5PNBFHn1Qkq0lcKSLD4XuFx1
YGARdLMkaz5/Yh9EZpxH0ZSZbA84CqzeSDcAKy1iIAK/XdkyTJP0nBZiJ82vpSR7jBfT9MK2fJ2M
3ecjf5ShejP0KjxD05YGI0ZXbvqgHxdZVuoGe7pKoRT8W0Qs9c1oqwVWlooClQWjweWuXWPb7mxv
3qk/ikvDraiRfn5zH2wcOuQHRcVmA29qazUR48LBDkIwQyzsm5roMsSwVij78hS58uNxUJMuqn04
08skerWUl6OuVnbHPljiwdhJ3WGqBA0llT9icfD5LX04H9kZ/meo1Vo3tkWX0ONN5hLLbkc9OBiM
j8OJBeLD+7F5dEu7lCKvs0Az8CgTxwu+LAyxp9B0M1wsEql1I/yvP7+fDxc8urGIjFXCr/U+YaBR
Mp2BtShoF8fs/BbbqcPnQ3w8xV+NsZoGounJcC+7enEuzjVv3ld7fJ8J+XF73p06ZXz4Kb8abLUq
0cPUmiJUeEGS2DrhpWGDoQl2QwMUwLyPB8dr0t3nN7jspassENs5zZHIDwBhrNXMTl/XpbZwTqy8
xvpvSPqNKlvPtVNc2CYOAGEnndimPpwgr0Zc3uqrCV91cq9KEN/csthNGia3Z1J+1panVKMfTo5X
w6y+KwkvfHpwbY6O0kU53JvixEb10d9HwIlTisLZDK7p29vQCrz2HDgAKMiaTd4/mv1fP4iR7PnX
AKvnNNP/MEx6JmMEi0Vq/hUTMi+uT4Xhy/xdv39FARtlKpxuuZm3t2EHzjTRS7LIJ417s083A+RU
HQTBVHxpLZq0glMjfhS8cmP/GnK1a0yqWeIIyoa1YIglTtKhL/lYIEvzJtvQLn8pdphkJ75x//lU
/6jY/Wbg1StrMSKI5vz3wDSpTA/4nrrhRVhuMDBpNvY28ZOLUzn+j47wbwZdvUbc2tQ0c5Kl+Ti5
j3APvDXd6iq6E8fOmzzMh5X/Rabr5K2uZn8UZlkUNsxOrUPjI+ECoIYHWB7ekGC5iidvMx/t/LoK
OHbJZxlOmAGuWSWWV58/84+2HEQcNNjJgL2ISt9OL8HSMmJwyUElrw7N8DXFs92igvz5KMoSSb2b
xa+GWa3Smp3HwbwMU82Yko+GVyip2yuPdd6cRdJ1ip+HPSe+I/38fODl5a3GRbBFCkMh9rLe9efi
pSThaMVjzp1+I4+PmnFilflgsWQjBU3EQYgywPrzHPsQZAZ8GgRviYdEF18LDesRrECy75/firrM
/nf3snQbLzU+naLR21dVVkpbBCPRqnNn75LDYsL6EwKbn36R73CsGPd40gNkKvy+3qjbzI+9dl99
OXXE/GA/MuhF5pNZANiU/N9eRWRJhohS1qPMADoghk2nS4uXcD5E586/I/GjJwN3SUtVcL9cdyXR
nJa3+O/Kbl39qLp9qeINap8o5fz+I+8erIMZP6s5tZb1FosNtWJJNYPgCO2Hz9iIZE/WGenDZBPD
K/foMRiXwqZPFnWjHseX7KTVwPrlArcCJbL0Ry/VTePdRMW/MzMG7Pgo9jTn1hVnBLfd6U/YufuY
H0DTzc8V3zgumC0kh7t6O+yb7ecTbDWV313CaiFUWlueuqrAX3++HKK7TnuMm6sWCtjnwyirHe3d
OKulL20UVZLnqGV7kd3hQfGSreSmZ8tENr3eT681fxFymfLmlOhw3Rr2bujlEbwKbeIhjYxZ5yln
B3k3Qu0tIT64jl/uTA8DR89wx1vhDwD4Mn86A+FD70riVuenQYPrSffuUlYLb6CVNKaDpHCVu/Sh
96RN7is4znrpEZfYp0VyjqvlrsRG9VY9N3GlPk0D/PiF01TIiYPIYr12hWYjQj3GSsrC/DC27mvZ
1/BTicfrz9/479z7qw/sj3tlxeAMrFPQNFdhs4oGOauWmZUc7KN61G/77eR3l6kvXcau8JMrzE+F
r24BbulEG6fLm6td7s8LIBllG+gVqQa+fe/WZPdNHdctvv3xRZiaz8zAg52VX5Rh3G2d9KXCN8t/
dObhV5XZR6ObcIOSxf7z57A6PfxxFcvazTHZITm3egzg+4p0LpvWxe7LS/FuCX7lNLbnRrup+59l
fRlPvz4fcV1DXg/5e19+NeGLch577JKb399ae9nCO9WvmkvMfL3yj4zNf/wY/zN8wQo1m8KyaP/7
v/j/H8g7mziMxOp///si/tGULTDE/1p+7f//2Ntf+u+r6qW4E83Li7h4rtY/+eYX+ft/ju89i+c3
/+MXIhbTTffSTLcvbZeJ34NwpctP/m//8W8vv//KPUyMf/79+WceF17ciib+If7+5z8dfv7z7+hq
l2Pnf7we4c9/vnzO+c2750I8/81l4CYunj/41ZfnVvzz75Ju/wO5owXr3nbk302Gw8vvfzC0f9iL
bpdmVQtm8O86dYGtZ8QvqcY/HDIPJmkO8m2GvCQ6WkA6v//N+QcBAeRfjEHIoC/bxv9c5JsX9q8X
+Leiy6/LuBDtP/++lvfoJmBQlgGN6Qkkj9PG289kVsykTkQPJ22nbaeX+Ki6hVe6kgtX7gaMi1td
JDtZbE5pulZR2nrcdWd83kahKEYZFMmELZfWYCeuWtoJJ411yP1uFF7p68VfmUM76Je7Sw44voqr
0s3dfmNuksv8Hu2wl52sZ692uncjrmIlJ+o0Xh4jzvl90V8AY2gTcBaG6QZgJfp492rS/fk+X7+/
9Tr7brzV+0tiEU5x3JXedBz8ud842/jY7+tdfpFHe4TDrnOT3wOXHXz5LIBtYW3ME2fiD98k6fOl
aiizrax2NRyXR0uoUuFNWrmYRTqKO2qaf+I+VxvXH/f5r1HWvQPhaGYgbrjP1selTNvCZthre/C5
ttfcR258lHydg6q0K+9Vb2nzzo6FP16UV5L3F/PU7y5ldTzHojuzOvxlvSFuo5u8HBJftoSJraYu
PX5+2+tzubXwQ1klFj2aLKPwW02nuHeaOG2H3CvOAQ543c4eNuHotl+wYOCoikO56fYvGa43p0K2
1c71e+Q/iiMG/CgyA+tPBwpBlvf574WBGOUbHu+m5adu+cXyh63iNzvrGgIYFmK7Cme7Ey98tX2/
G361fQew9bqk6zD7xcPYNZUmuHe0SD3EIph/fv6QPx8KC6G3d4qhgCorIa5x2NCCVLqp8Du3UtX7
66NAX6aIT06HgvFyFa+2ZeiIip4HKjiT6kHRD0F1X4oTBZT1ieL3Q6OUZSsKnG6sPVbRht3kdtOE
VuHl06b7lf10tvM5EmRfcrWLjm8j3hm7YDPuenTw5X3owmnz0u+f3+dH8+bVNazDD5JjQUPXWcWH
ah8pBxyMnb7FMX7/+TCrVef3rYLRpnGV1n2HI9zbx6lNWJKWjll5ZRx7sflzBhL2+QjrcP33EFTt
nN+fHsvWagiBiWAqp3rjka4p950/ejiH7/B6VY/lZe7nu8pftkjhAs6CdoRG79Tx7KOZ+eoK1gIX
hGtVo+kNTdtpdjEFxpfFic5sxxNTc7W2/nmjtMNqS/0ahcHbZxlFyA7xomy8YrostGaDRaxnjJSr
NMn//JmuM2/vhlp9BcKGhlPlkGmAB2KR7BX4KYNB7/eWCwviOThbpmR0Igz46P6W4MuyLLIY7xDo
ZVjgD28yV/oMX5AGD9bme5cVmz75iy18v2/PoRZPXEf4Bhz47ZNMssKppybH9k43N91431rf0/Db
58/wg6/cxOQM/DkHCpsYcRXU9FArg7hhT1BvlC0unjd0D29bd3yEsevKh/L8Sd1ieYMrratwrIZJ
MeG/diqXvz7Tc69vL2O1NdmwKYI4ryBO4bnStujANgNgH69vXec5pzVKBlvhLUpSdWNzDDtVmHn/
cbwZf33CzKyI+omEcY+kXKfSraMdHe3u80dNYfH93HkzirV62E3YF0GMAQq8zhJxvY0nJCy6ypq/
DKPIrql3OVhXltNPqZ7MTaVP01nmzAYgxEkP/CjXzF/0lla+g8/9Ru3t5Ls0xM4x1WKRuFCEhgPF
JYJDBXm7XA+a72S22FpdlOzRFNh+XXTNEc5GdDHTWrQpCmt4ykZ7uDbKsvApTs37oRikLT6IgFn7
MP4axrRy/aT/vazgNujQs+HG9bYkoZ9oChyeCmKX5LqWDEzcRQlY2ojSxZE1Cn+1nBYOiO7rC3tS
6zs1FWKfmZVzbuHH5UV9OmydJkzPuyTTv6dyghm0Qwrfi7Uk2oY8AoQvSdA/ZkUNYmoaZ8ggNU1W
UqhjaDx1ivKS1ma3t7Nups01sa4oDwIWljPUMrMZYx1fl/AxoWDjcryQQuIqOQCBs6DumjGYOlNK
jnpqa0fcH8zzQg4dV1dx7O7GOL+dip6G1jjTFRBY3Sz7U1zJt32WxYBt6vg8CA2gf8PgXDaNA0Gq
UGV0p5Pt2nURQek2yiNiUQ0vRLk9z+Ku88lsQATjItykgmFd93K+jfAQR4hLY48JoPi4aAH3Y25J
h9axLD8OmuJcEuG4FZjK43jtGKD6SDzgbBzaL5z9UgiA6XxF5jM/hp0GckHPS6LaXnlqNTmBSK7Y
T+MI7XG2Rkg6liN9ma1cGajOdQkIl9aqbqVeiu/H2lK+JYXI6IAhlS6NUbwBHANGNms64FK2DDEr
tIRv07VzN/Rm/F3KympvjvF4HzWVvY1nWLv0k5HeNDJyn72Qv5C2p8+GCYmEek6K3B3ysny2tDo8
TqBc4/YsTbIJvOmw+ExPU9o/AyPHrdjBN3znFLDZm6HCgrk+NhPt52Vnf9OmDq9sC56Bl1Gm9ppG
KnezZjcXYevIh17R06s8r+oHY4TbF1RNfF7rk7KpoMhcgk0CDxgJJf8lVXLyAPMe6GAztOIsyaBx
eaYE7siU6ICSJVNsMqeaN1qa5edZZpWukdSGbyij+k1r5erCDLqG/E9g3U1ZYwFcUpRdOOqP+Qj+
lLgtOjppU/S+BX3FNUrJ2Ecgpp5mJex82ypYzAKn8cDjRF43jvmF1AAgTy2geq7WwOqwo8L2B+j0
FHmaNjrDdlrc2pKRJlvHKabhEvxww+IdpsplaFbQMpFVtREkLbsOL3q1VX+08+R8k5Wu8KTenLco
8gY/n3Ubsa1W98egMBIM67viEM/VfMbbgUHbTEF8NsNPYqpGcn9MFNW6jRRrvjClPH6gblheg6dv
r8s2rO61Wcu+F3nHgdGuDRl6V1ZGLurv0dcaNcQEoTc8bRQ0rqmRerSLSNxJBnDSrM1m2SXlZ2te
LjLHJ40dPgsd2mBQF9qvGC5y6FlUZsAQayD2xh6bdK+dFfnOTst4r1b6F22WWTNs+JhNVGl+kFIM
1uRRF8BTZ5CNWqB1xAeiKnYwbnoXyx7bhzsHMRg/OX+WBum7BSul3iDtEluWlc41I7v+Phlx801t
umFntPCMYxPuYGLqXrlQmGYMrM/i3GEZTQYLuLdu3PVB015UAWhjB3rYnYPYc1ey0mLsKVleJI/D
9YxfGWWOGl5PFOBCF8K8sY1A3IKbHJ+yImmuU/C650Zd2ntouNmuleBsd5Ztu8zEAnU2IEtrAp6u
BVbhihEGLZg8DGSMMjMABjb2sXC0xJuLfNoXea5dNk6cMUPgcPJZtjszESW8GtPemVUHNLwMtZ2W
20hBrTDYzplklxsF6a4XxYvxnirZW5aC8qLjaL6XagfkggraqLBV7OjNVhxmNTC2huRMO3DcwSaC
c79XAngVnDfxqa8btMztBB8CHMmmcyRYYQa43bqAnzbKI6lTKVYq6MhJeS5Bcr6Ig1K51vocsmc0
BE8Fy6abmkzLuYcCmFVxs1fndrgVjTXue83J9nYw2vuxKMej0wXTdZE1MIJzvKAbGOcwJdRwnzZW
fSGkwrlsEd5cUzGSzpk5kDhGLbqwe2WBW2ekOMZK+GVZA9jE0u5+0EfnKKQJ9G9YW5UbFX3zsrSv
g3Rv0scZscd3gZ4XDHVamFcS/ujcaGaDb+y1a2zMy2ttVPXbWuosvzSbmupa0z/isK9/sSrRvyRN
Pt8t/Yi7PmqjXZDghgku70no0LqVLIT4SaQxTJt6avsdUuTyWzdI5h53s+QQCJFdqKOuP0LPw0gC
m0FIpHpk7kdDSncpGZYjDs26aye8D8ccVBbSFlShpjSuAYCD9qMJ9Gg1W5j2O1ZwDtRkuNLzNgR0
GBmUJHsxXuKxkz8RQlZbMv0osirZ3oSqYvrFkE6btK+owwxztxlDrlMiT33GWaP2zSwtIGArEMcz
so+Zq2YF70QtsmSPJl7d9gh6762hCHeFWsYAs4PM+B6j53bcymyz76GtQnWeFKOtXQU411PTEP3o
qWTJZL2V5rbtw/kqVtIUf3xN/CqTOtZ4en35WBXElO7s6CB0h1YaLqMgNiHCyNqjpnTdN6mWcw/z
DwwjFCkxblA6NYfMGRw+R6g0ejLWP1CVOyp0uQz/02QKJ8vtiwYca8C20DBvz21sgdyyNoGhGr3+
rVMb7czRRy3HiT+zd/lQ1dqmIv161iCA/oVHMt+92TNXzDJxDUz5t1rExqknwGgSPcxvOVwocCuT
gF5Pu/aXV+C2iALPnKgIvBzj9X2RgX2ZFDX4Is2U97s57M9qxXS2fdEGxyYq463dmdkhi6TeK9n5
ISjUIAe7BUacG/F+zOTiSOSpHUTOPYWhMXNBnQL2AUzrOI3NTTrPYtfJLV+glYrOs5pcnDVz356p
NsQwKVFgBcNKH3uKnXNgJWc0kUuY64/tfFTbSJyJpqjvSscWl/hQFVtRK/VZOhSzZ5glrVQEZRox
nzlgCJ9OwbMiV1riWmOE5yzqU5YgPaVPyZtTezyL2zhF8xrHX8bcgRCP/Cw8T7qovm3yKbmJWiP5
FjPVd7lmSQ/a4pyfmkN6BzKJkMxwLmvHVR6NsB5kji51vAtqczrqNqjnfsg4ghdyT+rNJKySSiNj
IbEAFFZ10t6OFWxuZ57govC1zBdRrzIZwqS1seqPjL1elNGWTsXpQk4qwJ2NjKPV0BjDvQpEGLpb
O4pn4dTtoc0yqdjoCpEdmISfeVDMt6Vit2dKUbaXCYUdFtya8hk0dsIf0Sz0YCOXk8d0BDEU6mGZ
buW4QtInp3bVbowkb76UlqAqVRVOW2wbo9XBwCwwP8dRc2SvWgooI5cK+0oCAnwJsjW6SuwmeQGv
UwabOV9q1rbQrqRSTneD4nAywR3ph0XRHPiM2jhPQzNBAxpVddzmCHe/I4bod3XHD404gX0XxgAG
fcbJelMWo7S3zHl+6lKn9qIiqR+I/uUfweCgb9CLEAqJJJL9SPMBPJCi3YDcoN1Yj6mj9ppxTOB2
wGCJtX0zWupmnvTKs0a12RSZgKWnzsl+0tJfgG4GLwwd9DxIKx6kCKhB0o/DrleMkQYstsoa/Rmi
n6L1h1LoiM9CpOyO6O9MTjWce5riwqk0HlZFZbTvuQoyFum5QLp9WQzycEaTXPRFxDwkqQaExOVV
Nw0HCVdUgezPZG0BUqQUM6hKempKsDHCagMZWZNH1hN62dvGuU7GITxE7ZR6epDCh4vDEn8FgYOs
Jo2sY6NziFDt7TBCJlJXxuJOjvriUOty4hVSDlYh4neB34hLzCCkrVZz5+YQh3Cew/nZTsbqdjK7
0TcauTpzegc2vJoQVCaCqLGt9dvKsseLJKmZ6XVXbYN6hGUzw/HcxFBofVoadBSvTvtU28VSSYyy
b3FkslqaavSl7ZLogXNIvlWzHDtGGiR/0RQ+/YwkDW9vPdWUm1YX+l5u4HxHcyBdwL117tqxCH1T
CYJ9Bx7QTyc7chW4Rrs8mcqDMwbosJQwetGGljK5BEecex/AN3d1LVxOZgbguFJ0myJmtuMokhwj
NeTFRQYpT6GC4lKkpjur2oIHP2UFQspayLddYFCU4KT6NUoYjUWRrtDB/D7Mo+kZTq0d+gLUD20v
7Y0KjXkP4yr260hRLwvJ7Cu3HYG9ZFlB1iHU0tgXiglQtLNj9U5MlfksFyM65NnqzhNMsX2JnMXX
FFbjceia5maQ9eGlq7VucFXR5t86uSuvcsx2HizRi6uph8SZa5mDLqHThqseyu9jKEdpxyvV1G3T
QTba6EMT32ldXH7nnNh7vVUowqPylF/aQSo/RnS56FsRhmSXRaKrF0On2N+KyOwgpYJxhCsVPYp2
LvaBRfwOWzlEEAJoEpC8kUapC7uzBHISzT6aV5HS4JHkt9o8SZ4ypPDT265Vr2HraUfJVpzvWFtD
Eiza+YBL90hUXuFgZ5Zx485yBj9WcjBqo+BwPkdBdqdkuqxt8jIJH4q01HaZoebbRiWwHzUgIfU0
E+bJhOpulxSzr5RKciOpOuRmglCvH9PpqrD6cZvUVdi79jyku4ac7Q+bZfRQhqLeJpWsnzt5HRyC
0B4hDzrY+w3JEF7JIeivPqcE3sa5bmyIigiC+WavHZtuVxduk/CdqDdDkFMzz1A1OWpFZTX4hTzm
9xnZl11QYV3jRnNWZZwmyJq5VqLFXuNMJL8CPl+XT7De9kArf81yPZ/FZaO7k6w5FARLSb2pnKD7
FahG8BLKCXzySSaGGtMwvFWgke+nGrxhaCvkECQFgDbYd+muxkpxT7yQcWwJyqcG7O15OuJz6ZSk
BQQxwL0iekJxY3LuzLZ2noKxGO6UuIq8PHfCEBV2pd1Y8iR7vRxq4SZVmEYbNSclmRs6hOwaruRO
7qeMcAQv6yPQQ/GtDcuMxtUQnDWW0E+lVZSXdTGGtxHcYITBcTQQdenDL72KcJuN0sTYmn0s/dQn
qEG2k9U1pKsGYGccqAtqxhLWhTBkLDwoW+5LII9fTUG7QuwkxVXAoWerd3Z1nvUxkDBNTvO92ZGn
MKVoMRNXDFgIsVZvcgTSZ4mWZ/t0yqTHusxiiRPpJN+gRRgeiPptfdOm6rR1klk6TDYpL71RSsD2
RniT4lF+nQV5eqFmunTdKMW4TR3VvEnyOnrgINttMeZTDnEWZPuim83zUXT2j3E0lEsOXNCalKA/
K0s9vq7rod+XjgwQOAzIammqANOpCfs+T0R0Q+K0unFgrZ5n1Wg/SH1Y/Rj7Ti9cqU+yh8wejH3S
CgKCvBfhRuuk1M80nv+SVgnPybQlFy3QDq9hp/ILp7BfzMrsn0t2oC9xXnffS13IP4AiRee90+vb
SEsrl/Pp6LdDrH8DutruICVnfjUl1SFLMxhB7At+0GXjQYGWcc2XO14yqQlQ0QGf1cPYbQXZZmNj
N1I3eU6Qqvu+bfPUa+pcPwwJKXtX1kd9V1EJPppKiKAqjbvLMhwXqpUu55zRjPwFlDih26RYqEwh
EWtWMnLsYjvcxBKve0PmYfyeaMV83bEiP5VGxc1Ps7IfwZ7eOL09eEEXo3vGEuSADSguBVOj32em
PR8dtc8uQ7rCblO10Hawj5Uv/RD0CQ7qgdiJSajPFqC9J8cOhyddBMFOyyCkKV3i7LJQE84mGicw
umVLCrEz02ujm/mspWa8K9gQv6o9y2djCmlXy6pymGvbvp6ntjhaca7eO7WtHbQ5GG5xyza+5klp
0VjYhvtRlsbzBnnBwZY0hAYmrO8Lew7mMyNPAg5DkvKLdS/aKaOUnAMktTZTWoltJinwFxl4L1Va
9BA3qny0S8W5dgY1um5rE4qlKY9fpkLPDiamMAf62Bfm7khKLJL5igMpLTy1naSDMxnmpSDu/kkq
pWARD6srtaiFPw1pdU1u1+o3iVLHF2R9q2en7jNvHvPuZsYK7UejTMC6e7XeNVnJgoIdGUzVws53
KqSrZ5nF9BjGQ77rxRThZlTbzsaYzW4LEyLepkrOKqhZKCxYgH2D0otX1H15bjezdiO6MLyGh9ve
OEaJbVA0IzXvq2oj5oFDQOcEB1kW2UOtKhXnzWl0NTFpW80Z9C9Y8/c/2kGbrnNRpXcYhffbUI/y
B9OaogsyS/Gu7JzU10dc9e3Qyr4rxnwezEm2AfdWXzSJCI5dksR3YUAUVleJ4BjBfniphWRlJyjp
fkt87qndhB1BZSibWc+iIyGWwzIZG8dO0osd5yKCcJDXFxP5yasol1IvqVPZ7+bG3scjyfrQkqML
iKADPxco6kYz4+ayHkWxg4GKfY+SUFWPxKi7fZdroBC13j6L9UqBOAv9POWs5dWS0x4MJZK8NKmk
fVyxnGHxHh7ZAPNbnmO0B8kugWIjUoznMtth4/urlCGcQjRJ72PV+FUMhrZR9bEjYB+Id50Qs2I1
kS4wKNQvDGtECmcT8h1IUtcbUAzVrSrBmIatQLq5yQcPgoLAuqrMD1YvVzd9kyBTbBNrlxDzbPBi
lfBaJgWPk4xM9aC3OFfn+rkYSv5Lj1ov1/gurD7SPbO2QpcZi1YjtqqdqRQvCTbDt71kNk8LGtQf
O0d3Y8MQftWU1rYIrJZz4fBTHcp0Ty5cA1vXOJcKWpfdmEvDMZbj/mxmHu+wLGo4lpWmN6SNuRtN
B1Z5qHHogYHcbDDlXaKmOTB9DYXsNo7K4qxLjeG6kSXDzzjXerU1CDdWyaw3WTOQFVHL8yhXQnjx
Tr3vpEq4gR6Ia01EzsYeCT3SoekABWvxNVyHYV+Ns3Nm6qSmokqdD5pmpieqiosA4pXC0UKchfc+
HYSKvthZrovtFYjuxC6pKtrNrZxd9+b3UoPB1/wU/YmR3tW63460Lqn3GS2ssMorJsDPsnga5a+n
ylyf34qyKltW89Ifm1gMIPW7ObrU06+6pnqF9X0k2RLkErWLOyMwXMnq74ZTrgPrfq4/niSmmbS7
LFLJdXtaJfK0c9Sw9pCfX5RTcCGzRZAprTuIgjMk3zq7jAPBlj7tZbaoqj1Rlv7gAWuyYSDSXNR4
74BbFNqCRqLK4xlKkZMmG36GQXxCTvDBdNHovFvKpnTGkWV6WxourbqF1Dti3xIbHcYU9rOqBFtA
JPu8L7+KpixOVPU/uikc9WiXREBI0+6qd8BKpngOKqX0SjUjsYCht9aMN3995miLtNWk40/GsmhV
z5fHUrJrAjlvEXZj/bsBd7szfHmr4Ztdn9B8vKv4MjswjeRAQhkf4+6lVvtKQlPhGtgaEXxfLT0v
h5sMCvEp881F67P6qGE0QHajLQas3O/a+6shIG/VMqYXyPfMn1UCSya8DYsju8zWliVPdNnu8wf4
28VsNaDBYYsmhOUJ2uuWtRKnmLwEmuv1P8Jn7ccCQoz94LB4kuc6puTd1vLns8VaJLyeca2M/OAy
9do79fE0e0tditmfXcwypV7dfWBEoh96LqbxygdxwP9jNxyrQ7UlariKtqTxNjHVgsvJUzfZDU2C
J2XbH0xaeiLonkG1jbHLej7NkNZlYFql54TlPcKcr1H8lzUaiGrtpa+XGhRCDWc1ZWFWVSFl48Ir
Cijn/aWR3oVovz9/rx/dx+tBVlNVzK1eEzZTbUYVILBFj2Cufj7EB1OVkwYPyUAOrCvaSpkAYhdE
7BAQZBrzT6XUE8qmUD9s69Fo2wrZu/pDNPK/MSifucWCsoi81u29wxC2Nv4zfO91S9MToohNKKBy
DuNLWHZnsaI+9KV6Yv97rxrihTkmJtxQihhXXt2qlHWSk0XVIv4UEgplZ6vszWvzyt5MwOJ92cu3
4faUSc3JUdcr9iw1aE7/H3vnsR03srTbd7lzaMEk3LSAsvROFDXBkmt47/H0d4NSn58E67D+bk10
17o16QFblYVEZGZkxBc7GHWuiWzIQiJu0S9n2SXey67el1f/i7KFRdXcfBaa7G9sPTwpBaDzW3+x
BNuiUtpkDEs3OR+oEIkPxl7bBjs6LZ/YTJfa6J8joUrXoXnMtSALgafWpNI4yXr5rN/pL2e4MqiA
Ow+IZwrW2HNOTegbZeD8aFzbbWhN0IbNxXzW2RAbwfxoYuvv5rKEfjMrA09V/Bw5JQDsy4jjeURQ
54v1PcYWd1ypLt266IJVR19tGoRZF2pUVf98MZgKQJRnD1Ao5mIGS1OSQ0Gk1s1le68G2kOY9Je4
uPc0HcJ7nRDlNpV14sg9srOgSVQ1VMFzO6HlDhnJ6SRrCbMYKuNHT0s/RoN2wjSODUEqULPofzsf
TQt3MNLrOLHMvHSlggyuAS+dTP6JMY69pZdjLJZ0ZwS5EoZZ6aoqKpgwPwQVUKvb97fI5zewONCo
IgRnxBap2W8QTZJN8lFvabegla18XU1m8lmUWfEl6nzUV2mdum079E45EKG1lC5cE4Ec3DqfCqdA
bnWwgp5EbI2+iHj/sFEayxyd0M9sejxHZiKcxg4hIvdjuTOkLjj3Sl0/15OhvZfQsltOG1by17TP
9Es2t+42qwrLbaaqW0/0Vr+gzbKaOjTMkzZBq8aOblMolMYpx6sfo1tXDG9d0xRm0xi1/5eVyOW5
lofND7kJ5J1v697nrgmC64bAwLr16C3fDpJHQ744u/ADO183zZjthOJFl1JVpDSE7IV8p2S9cu3V
Hql/yZgOJUQxbkeKOFNz1B6QhtK7Se01p6w7y6Fphf5VicbiQRkFKS5aogdXWtIbO3MIu1u9MpQv
xG8pou6JdkyjZR+MMNIQkvqo8BVSKewG3Sfa2RXr91/tURslisRPk49oOtU2zQw7482qZBfzBk9N
PaGmXpbGPG+QrDNAWGwmFAQt9ispC5PQyILS7Tbx5Qya6LcUiD7FjrHq1vZfvkNHZTqgjidcwmNP
BlaOPDou4dw09PUJ4EmqpBSSXri9In2uk/rQ58P39yfv2OJ7OcRi8RV6j6y4YQhJ+2gNORq+b5Py
6V+MwaaowZ0FPbKsHyDeNMAhtAvXS4VjpN8qEL4mlOZ/MQoN/9itFHwDsbjkJBb1ERJJdTchq9jU
q0C58qMTO+7R2aJiEnkD/RY4vF6/ECNWujKwID2oKNtGcQjon+0bD+8/yLHDkcunSk25zsmvLQYB
A4CTp43F8+Go7ObDMdgVJw/Ht6J2DuGX4ywc07gopF6UTBgyu2Q/uYZD3899slGv0+3MfTUPFHfI
m3qfbvpHBA/u+495bC7tOWRCOctc2bKwPHJ8ahITvEK0e941NxUKkjG+f3+M5xN+uevbEEBQ7s9t
RpbQrdhv0yiy0wx30b8dqIDIbzI3cs3Hubw2JvmEA9etcXNc2S03cy/55KKi7PdXeeSr6siXxVlv
q3eY7Jc/ZLGUJU+0SmTxQ7SrlILfcKes/M+U7B/mcuNxgwwSqsapNmVHXzFesvV8J9fAjr22V01u
vNyywsr1Liyq1/3Lfh2eKRtjvli6w86m/JYmCI51FV/X1yhPTnhFS0Do8775cvx5g3vhwoZNrobm
xL7pfVbyVbgTDhIj+RDcP3e6c0yndtfqVcqr2E/raOUAFrnkWrt+3wqOue8WWHSbuzzuoLXUh7dS
kGDo1c8V5Q17/9DsvE13QBWPvIzKRkshM+OcgiXMT7cwPsgzM5AUy1NpQP/66dXea4QoGTZDXBPp
h25MT03wvEjeDEEchH2PM+JN5HHsaWeDsocNaRvcz/ad8FqLfXsZrq19Q6/uWcS5mtboga4KJ9nm
u1PVWUd2K4bVCXtyTQdutyiNoW/mJOdyVqBPCxwLiVpmkGet6Y9UQywJvrS1f6Ea/5BBOBsWo8IP
4kShzHl5pMBb6zXPTwnTlRn8L6vaTqZFErOSTlw4j71DIkCI3TX0YMoSuxH36HGHKZiLi6otUt7z
ofD3/8I8IXlqGkc9deFLEJ1k9wrcEFYJ/c3dHiRC/LnbNSvERBRqaWtYHpv88f0x326+2Au3BhL3
+DREPF+bpoVc06t8iWrYFliJtLUE/MbpBFrj6CBE8NndZXV2YF4PYtYGCe6GiKBcfJMtMBodKgL/
BK/q1CDW60HkwGjQHTNI5F2YEFhygbgqNv+xc8F8EVQ0VY5lYvCLUXDOcT01VF5gZs8zP7yfaums
OBlTeS4ke72e53EoThJ08+UyvjgmKqVBiDNHahtwRIJyEnVFZ4DH+JA7MTD25Evpop5y+mZNY8KH
UxTpI37u6+EXZ3IbpNZodgwvthmZSI9rhEtJFk2W8vPkttzk+87p1jmL++pUEOJNdQ06SC7rXDNJ
YHMjWjy5mk4mEPc0d9OCtF6Vp9+UyKe0tCTlI/rN++Z/ZDAF86eYExeLWreFZeqTHk0e7etdK/9I
9cyqSe6rYFiPp27oR04eKmZfDLSwG9HE4HRKKqKHjf2N1Bk937uzaldvgOtvqxXJ/wf7+/vPNv/2
hQnhU2mUg4HMgTOxcOuQGXhGLBjST/yVZH815YeMrVHY29E7dS+a/YflWDQdA6tBOSt718Je+lBK
TB9lpNtsJurPgJjsgo18LVb2NneLH6cagRx5NJoQoRkiOQMMYZnH8JRAyfWRpLicf9OQDjUIM+yC
qszukmvmibP1OZe2eLi547pu4DFwvi7TNKXWD5ytQ+Im+xkWo+zEvlkbm+hwKkz17IYtR/r5wkw6
Nb+Jv6EOrYRPeh0vFeCO+txGR9kOTkEAziC0fqpe7uSAC7Msq6nQypgBO6lZTzYlE1qxQYnh1uON
aVPYk4NQT7xV3Hdb0+scUetbpUXr/76pHlmG0FhmQ/353Avfwfda1UNjk7jZxOWZ2oSk9dd9rK98
OTkx1NsaRTYVbT7q2FzZx5chxyAS7aCEVfJ8yNIuCHSWtY/uzHQVbsVdt9YceSV/VaRVuT5VB31y
7IUbLE8psgCfsbNzHAjqB1fmJqaAuKBfXXLbbIPL2Quf611PuaBHZ/jFUy/O+TC29K4cGDnSv3WT
umoEMoT4S2s/vf8mj5zCr2Z3semUsdlLQjDOiJtkEqIuQN/XyoklOdvDq3VCpxVFI8lBr3uV+9xi
HsVgNERS45QVOYeNmx1WCXzg1Hp8e2tkHFUj0cA9Gzdz6dPGRhlGskVZbe9QZyOt679a2p6JL31J
YrN0/F174T3ZDqj3w7CFDyb09RTvK/rISe6pNnZv9rz5t6CEFjjXeLvy4pnjouuzZKYfhKa8Uu3A
nQIKY4xDngU7iYrEf/geF6Mt7GUcbDOuJoKhtYzrWXk3qVbdhk1993vDLM2FsqigUhvqrrpo3yNg
QxUv0S4iC3/8m4FmPjALH9dtscMEcT8MVTmkbqleNdnHRt0Xwbf3h3h7xs9zBriHEKRK8m3p5nYK
ZcHd5KcEB1U6SJtX6E5/wZalm+IWKODm1KVrfunLhfByyMX+HctqooxpABLDbD6a40gI+NQN683O
sXiqxcxFsp8hwwtT1yupCG0MXs4PFUlTE5wK3J0YyVgE7gryNnanM39t9iPDCjzrY1RRcDqe6tfx
vG7fmbald92b0+hbBdNWr+d3RKcjv1oNm/rLtA/Xgatea9v4OlvPuWyqMq8G0onxhhV+3a3J9Dnh
5lRrimMb2ov3aCz8J1abgbiBRxfbal9vpXW7kbbq7tSGdsJcluHrLrKGMk15l1GjXBSj73bVuHl/
Fbw5ADAXspR0qyLWBhlysXFklldENvISV7OmramWrlIPf6UdVTDvjzNb9vIVcpDPnH4cQdC3/P1F
RCmKcmusS42j1E5WZbIX9A319UfNewzqv3z9BGDh2NrmkkCAgcp8dCDLkwD2Sxln5GFcKt8mOj8T
OpuxtKCjnHyfsP44tcOrU6f2kT2fUYmnQHSYKfvz3188pNFkvSiQE7pZSoA5rq0rOW4Okm4Fbi0V
+zpT9u/P6pG3hz9NUxGyzFBvlrMa1qpUDiawm9hDeahfVmhA2+bEpv82zUzY/OUoC2sPqq5IiAgk
WHt3LoxVspnpi8NOuA3uFyo/pIrX7z/Ykb3l1ZDa65kMtLY2jG6s3Jk6mwSm2/dnjSZRyHqyH+b8
VQvLfDXU4qCmaheFoNlXM89k2jT7+ECCbzV+IlM3G8lJ1+7ISng13mLFmYXR0goTJo0ZB191OV5l
BR1Geu9LXQOtNM587/735nKe6xdW2VsUtlQtVtkM0YWnXJVt4JYR22h7AiN21BoNPhZSFoQPC/P3
9UT1fQUyTFHcTzps4OA2MR/ff5i3V6DZGF8MsjhC/UGHTkH2yzXvwkt9QwdyV6yGg3aQ2en9k1eu
U8+0OE5TBLoDIm9wMPKl2j1N0rVin+o2+1a09fqZlpCgGPUzImAGUW/kapVfVhv1oG3EuthTwrVS
HquddJGB1j6fGVD0dP56ugfN8R0TGRtwKxBwRIVfW4lvDJreJ7OVuP3ailGMscDvkxV0GIsa43V2
CF1EXUjX33+hR/fMF+MurJOetxNV8hhNW1xmVeyMIV0urOu0rBwv0E8MdvRtvhhsYaHRRBNBueYh
51xgkjxFab2KaSj3/iMdt9EXwyxslIpXLc40hvkpqaSj25bSPHYVe9ttx5N9Vo9uli+GW9iorLbU
q01lxvv5plOoVREIoMfAkJ+60xxxe6jQB6AgyxZh6GVkRdOrkcajbF1zUzxl1+xmiNy/cnsYhuQA
iVShErp9bYpGYCToYXOGqWTKP6iYVvR/mh6YM8EkMJHxIF1nr3o9hJzrKHDmCAZVCU5Jk+dSnIpc
HDNsLi+KRRQdjcNSWkTWx0+rHl+Dyqm1rOx8wqOKBElh+DLCcHzf5I54iqAb/2ewhcUVwwDnoWYw
2jrtTL38NOinFAdvU6HM2csxFmYWjUpvtII7ZvYJGrBDTvaHSG9p3EyXg3W2Tu/8zUQxuuf4/7Dp
t2m9HnkZP9Ra6j7bIEvdCSZR0vROLV3RxuHfzCGbHzEKIqPkPV7bhDGizhkSnk+EF3GXOkMzuu+/
pWMLFbHLf0ZY7HV6atsxzRfZF2iPhLdIiSPItIg8ZtedGOqoQZA0nesOULc9+3QvDn2K40HUWLAf
aw2pg3elJCc8tGNbKZqi/wywmC191EZEAJwOFfghLVXcqvlqeafgy6ceYzFjCjWxuTkjLKvs3iwg
CCXixEQdfw6Tqw/v3aK3zuu3Xksi1X0jT2cUzi1LdZxL6ndS25xaom/j0rMVY1d/j7TY1tCLmcZg
P+M4jYO+m1OFk9Oi0jiVkjn1SAvnuR+DQfLTnnCbD5Cizw6RZu9Dzz5hAUc3uBfPM7+7FyZmY7Rj
pxPhMkf1S2P1O82XBkeetKvQy/aGqPP1+8vnrSxhnkGVdLkKzlRDUfx6RNXORy57zGC34UYHriTa
5A/x5+cmfY5YpRemIyPJUD/NrUOT4b57mO95wed/LkyYf4iB+BHtKAeUsfghvWcrlDexISXn7SHp
VhN5hnpbXxjX5O5HJ74e98HhVAvRo2vhxaCLtZD5A3CHhuBbAkhi35civZRpLXHKGz01zMJH0mPg
a1XLUaLbFwWiWyAT77/Go7vgi+dYnFV93Xm15vEcQdoesjp2tLw8NHnsakV7wmLeRvCfXxRyLJQH
sEiWmiwIPlopTTzM7NUKuNjFXjnHXq66XWChItFQAAZr6bt0fSoWcHwa/2fkxdvKtYnC/obVUdrq
kz91Db1Fqv37M3l8DNIEs9bwbSuAIDOSsc2K2qXW++Cn034ojd37Q7xNLc8zaFP3RH8zOLpv3JjJ
yJEHsuZG7iIbyvo+z/3oBie8ptB+27oW9NRq67vS5nng/w+m/z/oUWc7/O9g+vv8G2j6MKtfMul/
/au/mfT6B/qKzeKdubsYxzDm9TeVXv5gzoBiZC+mTf5zZsH+TaXXPxASgwRN2yB19knnOr2/qfSK
9oFEvTx/qJuy56qaf0KlB4fKbvwisMJvQnah4/yi3ibzYyzWuQ+RyUwKH9y0PmaHXLMCruhjTRn8
ICb4MmlnxRLwIsl/QMiuX6ltrVzz47WNqUsUSwMrmYv0rW1mh+WD6NvxMjUbQECGVBpncqE31Bbq
oEIUe4p3kdSnjwV9Ez8CbTIBDE7GX2MnDEqQMu3aMkR+VvqK/aCKkF5Jttefg5PNrZUQRrcuPF37
KHy1fSpbL7tjXsUjXnR300SBtfGqwX/yoDVCmLKnbltDb7gM2rH8GuuWt6IqsluxaUZOZfrlDMKH
GROlviunFSUnVFRcBoMe7GveyS26vqamxbypbEqhhk4VT+l5VdLimPpugABZrhUre/SsTdv7/o2a
56ZLibG+SfrU2wKkaByqBavN1PblJgjVGffRDWdmOWqf5U4ot1FVlOu07sbtMMzQTM+LntJu9MZ9
bxoIycAcOlLpw4fQ4IlEXpuvk6HrnKiresjERQ2qIUP/BjAlhgiFQy9n8g40SUWBRKR5Z3rif5ta
aWXrpqNJZch7rIvHNveKszqI06sOUu+K26+985VQclNKxALYVSLZArcutrpENE9W4sLc5sAGtE0v
RPBI54TkVmrzCMaEXWvXfjcol4ky6XQWNsvqEfSbREedFMEktVhD8QNkVLdV+rQ7gy1UrptJz65z
PRwRS9al2I7jxHKxevvcjyuoPGGd3AqYjDXg4FaM9Kj3xG7Qm/YeRE67gfHno+WX4+syt4W0SiCC
HVS1THbCiMePLY0XwSSWChG6MWuyM1mhm6TWUh7QURMe7pMpUoftJNRsG3qtcuE1Vn0huC2rK7rG
Kt3KHPp+XbRh8VAnAarWaAhu/EkLHjGokShBoJd3sq+Kh+fZzhVNOqMIxtrKdlusrSgPbuRUts/7
vskOMsAFuDT2NKzGUivWnpSHZ3mraW5t1P0mNnzAYE0Zo/U3J0Id2P5D3HuFkxcUe268WFPHdWiL
AgXxWEWwlBOtgWET1bu20SgyoJ2ud1EoWox9WF2YrfQe2OGqVyMAe2pnn8e+JB4iqHLnRqUABq8z
yDeQ/7a5BhFQAfVzFXVGuW/jMdsjHh+vrLFvaZXaJb6TTyKEsQTh7mttDOWdJZcEXe1SAsbaKEq7
llVfHlatgD20GaI83qIRsfdWnee1S3tt4AytEp/hSzd4nLqc4XLWUrqNk9yGVTGYIcizUTwoco8q
eNJpLt8EgpL4PuiBndXx9FGTat5Jmw/pY93QACAeWiazx3F+FE1Fj7Oep3dz24Yi4vexvBMNayAe
IdJcijyd0rVoyw68mVbC1siI3D1AO9L1p1gbIJ6mpO4hDLdD/djJqvdUDYb6GW1P+aX2GvLsnmSm
n3KrMn8QNYBbOXG+izV6Df++rkP5MUt11nDOE5KxjtSoPw80T/dXjTzadO9SRfGoG1G/ryHo6Gur
FI19qPKwLZ3IkJOdXLeFAgsvDm6gf/nXXRHRprauvatgsCZrM9ajVWzKbIp/jFk4qI4pkTWH+DT1
MIQRaIZu0ljKuQ9aZ1uS8b3I40pAJdG7h0T0xTrWAx1WGqmHbNVWsn2POctrWYti4QgzNT8D4YnL
lZC0/j5KaDextmQ66LjU9+uwjkxgxBZLAxzKYGD8ujqE5cqkDOCmlmqsq/VlwGP5GNzkkc2LqnMs
xNIk6zI2Mf249qxLfzRmxiAEygvqb60LRUjKVVC0xi6PVF5bHNvfY8pDERaGXf+jNySbZLXfULDm
S/19LWfRl34C8wp1cX7hk0yNgx/6SrCqa4O/VaW8y+spbNaxnAYaTU6obF3VBYuy7wDRUYmebGW5
5n0/r8qeBMnWz9Ph3kI2csWSqD/HZhjczGBiLEwj/xojInroY827ylV5TNcsSo94b8HX9VbvXfEr
+C21WQY3wjP7H+gZw7MeVvRF3bb+d8uYR/PpprDrg5Z/M4RYpaSB8ijnTc7CUnuzyw4iHLyruCys
bW7Uk0aTPsu6tIqMV9dUxRryjLWFv8tilAELAS8SrmcCt7NU+/vzjuPnZrIVAPrXVmWEZ1aShv6K
yLF9DhiD5jJRaHNNhpPahwovQI2H+1zi/47TuoC3KWmOgCq3rSOwNJywinclB2jos1JmWY3s97I5
2OesBn5MyBf2zZAdfDIVTp22/GpKur7GUs60i46VGJsYABfL2XpkrfokOB8BYPYDzeB5SD9n73v+
172hYRXQ0exzKFfQiuc/x3Yf3FQjGFGr7PtNhAE6QhTyzpSrftMz++vcx4T6tCqhkcn8UL8CHGfW
YLZEw8OwBmx0VeAj4aPTsCSxQwqIdD2+lEXS7DkRiPDV/PDaKNmum9i+nM/nO7/jZfx8aGOcv1ux
4noDw3neBrPCMFcWdA3+hS6qT3IeNCGNs9lJViKIbdKjgu06V7jI/vSg0lHiiK15FX6M8fnjJJ31
UT0/sWRjXr46Wz4pyKR1M1mHDDzO+KvYk8TWaKzmNqOd0a6xpfpu6FvpbtTN9mD2ZrPqk1G5jAs1
uvcb27iR0lK7qpHYXKae7+2SxAcdVUAFBsdhUSuZI7q3KYk7IyjX7Nq4z/dNDH/WUOA1xX1RPWZG
kNx4Ala30Guu4F02ppC/i4xEs9d9qaL4o68W9n70bIpXbKXdTSADtyxlZWd6vbqGEu07epEN59qQ
QhGyZW/f9pFxViHbvKknpKV04wn/Argq3LSSFYcWSnBPRx2zky1vrQHWuoA+0nyVCMk4wGRh4qkQ
kg3IqJtRmSwATikdQyxNmcFJjU74vKk2VVPHLkgG67yFi7CBtEPXvtZXv6tDQjsaPbDdWGr9Q5j2
4VrngR25TfqPCYfeBSx4+1biIGzXqekHZyXi1B+FHSorXfKtB72c0qtaLouvc7OGT1YoleeAw0Ow
6qlcnyXg7HZmEVspOEnFvMllWZ1x8Zl8owShCZOPjPN9K1WNinK+977T+c9iZ6vjvxS+n0aDFceg
Aurq0hZDIq26IBpoOZNmFZjZsTQC0h6mPm8RvrYWeoUD4OtF8D0F7XRlZX36VWBYcy2ZOXc6l73y
NqkBC68SDojPYPfabq+Pvvkl93RQbRkRiAc7U3wyNXnlfTSSsqmcsQUHt+qHHgFmUYbgD5u8i6jU
IUHx4IcyXUpbRfau65zrsO6pRkh1Zq7nrq4PAuttTVL21iDEg9zYIxo/O4xbB3dUndb+NHCH8Cnw
ip0GjcIPKSijS/axKdzGha75m17PFOnyefPuoSJy4y9sXNQoVYzrdJrqJzxatiQ5h/u188swuZWt
+VDqk9DSdjLxFHtdZBHY7k5RUEwPo3UBN9DWV5BgQbLmca1exn4nJ27umSalP9SI2K4VNtUnoGCm
htPb8UvBGdXRGgwQAwiUX+7UjKLlpPWLaD16ZlyvMg4LtCtxLPt4+J3tOVWbp1uYmlpLgDssLlpw
oddg82JAYprpX8V1G1+3vm1CFaqnC6U1k3wdGFpWQO1M7QtVD2lMpxgwWFZNWibRYWD/3wVKOm1q
3R9daZqk3BlNqGIbyyojTgYgiK3TmAO3sr5PLeGWqc4b1zpZulSzySwPSR2Ljnnsy9RJLK1+ChMl
/dHSn65xOm+CW1VZKdWbHqjDbYjL/qiOFPS6iSnDg+pMS7kSuUSGwDfiH52uNd9rI1f3iWh6A5yR
6vfbti9iRNWVEu7TRhHoA5Xe2xdlAQtPAxd/MSp59kmrfVwGNVSrtW52pgeyTu03VWwm8sqIoI5c
FH1WVuuSm2bIlS4ZJZftoOVcR3hCEbBcxb5bQ/vu16avSl+V0kKnbxT25Dkos+XYyWRPhorf1N50
SP3BDnZU/vY+AKrJk1e5HNWJkxiG6n9lE+W87y05GS8nopX5kwXvM3ENq/brG5HHSb8SXpe2Fzmn
jrRWyjE+o5YEjlcgAZhZIxTJv9l5rzz1whwv0trQuRhrEJmdKlKqYGs1/XTHhbbu1qHZtvU+kioe
uhoTyHsDVWkqRBjTN9zMh3yz09KYVmyYQJXsyzzv+pswreyMDsWwiXd07gRTI3QAe5tBeMbgRDKu
sBP5ddhyPUrMxCmaCRTFYA813phfDbTEKX0ZZpMawOG1ipG9O2qBwpeIAPeERllYkpdJ2wC5dePG
fl5mlzSM6EDM9tYYggEPxFlXmsbnsM6Nr1beJNMqtYfkR2oG4ceES+XniapQ7qKD3p2lfSu+dbZd
JatWNxHQRMWUaW4jEYLaGWE6DDR/lBgukEPEnGnf/EiluiULWSTZWcG+57lWF2eP3ZCYrqGgNHex
rO6cS62yTTJR7UsAvfD2mlZeF52X//CHqTBcKmp8Y1NEafLop5EVOXhYuMIjl7jIFUELo1Xrm2ZL
QrV5Mtqpu+wafYg2dHFo6XERjh+jsGX/m+oYvp4hqGbhytIFjpfIybDKu2zqz30g/XiprB1nCrmU
Q//P7IiWcmNUrexIN6/UfAQAWZfDcG0MkXQrtFD6apdq8VAlHr3vOvCtN1U1+TdSLPe3UAXDH6wA
A5pSYVOSFySDY1ZWTEWQpcYPo2x0n/qhbH9MPS7WjAq4GGgsEcFUxhkBRasCD/fGzrzi4mqbSC07
gD8w+GcGiH+Jiit4tOw0RYEAyAcwXRIbn4cp7O80SZdvzbG2nmp46zvf1OloIKv2DQBozZkyXXOh
v1m7qC+Nh0rv8nBVaMOcx63sqyHugJLHhGauKhDhn8pCqGtg/sJa6UoefTZLKPBxKMY7M5TCpyoa
gP/roX4+4MxckDiWYApCOM3oXXEo7VqmSh3ZOyxA9pwogZ7p+3W0wpnR6M4yPalF366KipMbFHAV
HOSQefJoFHIeF2m8Nujs0REVaPKdqVrdWaDmww+Ri+nGg+C9UXkTLTGdutsYMtDwKc6rjfC0YVdB
Rbw1iqIBEKNX67rK7ZukScynIfXDRyX1YA+kcEh1r++urCLksmTYAAYTBepqU/UXLJXoRjWHFtJZ
nTmBMUpX5qCkZ4qd6q7e0iEikZv6iy615cGzh2ifVbLg9gWiPgvi4DxLlMDppSbcqmpj4wpmygEv
vD4fbDhRTlVMkAxyzziEoxXdqQHd2ckKhrtGItAO5tRb2aZk3spGIt31fj7d5VZh7I2UJVUrSCoT
xVE99SlqyuY8r7hr9ATPLoupBxbp9e3BI5G68UQJ7Ytr7xVnlnEdsMt/7ObrM6fG7GzjH8upAczG
UqZ0FctEKESWJLdFN4lPmjk2mzKoDVdqNAVnx7eLG5ajDaYZq5AkU0XK0CmuOnSRq/hR5JA+bfZ9
UIh1pNvTtTIW9GfMlfgCPqq3jso8OtCiw9/5VphfeYoGlhLiFOBLRQuieyv3JsfwR52rnNyCPU57
iomyAEkbzd13Qw+ngWrEUPvq6Xq6Tzou30AwpzMplsSZFmbqxUhnmZ1q5ekOx0qtVzIMjDs7y0VM
GYRNe4jt0KsAzldTG4MP4dQpNx731K9ZHAIcjdP4HMBneU8P95KDVp/6e6UucWenuvKuLMnwP4nC
l9bBoNkXcVZ3JNgTSb/Qsgh0ajWhVfYhYILQ9e7ZczPX0kHYreWeW47cTDT60VNiKZ4q8n5Fz1Ir
cYYh089FMITfLDO0L7NhtqDSSDTo4lVMm41qRNbnJ8JwjSI0b03g3t8F+9bB8NTwAmSXJZ0RCJov
LGOmPLbQy1eiijJ8wBneZ0jhmVZwe3u+LUVVM6zMZIy+ZPT12cIc5kajVT3BLo1orlClj1NQEf+y
Yq7fpq05ERDtcy5B4dlzcIBDfPhqccDpK1lqxUMVciGu84KvqaKaXzbR8wOcq0y4RkphHz+H9+SY
y10ezIEaP55vUnOYLBsGLpucPPtWT7xbK9L9W527yjl0VeOznmfhvUr45bOFwHhd9nHtSrWQ7mtN
I0hcEXYlrhZtVZ3eLkmci5VZDFm7GvsSgtaQVQdfNvuLwgzsjSZJkD+MojznXljTNszaNn6bOKnW
5+d+X4iLMRnGr5WguouCCP9z1nYaObaCPTWPpW2cWdMlSBE2WmG1NnTqvrn3C336ZvRkd+oiDbiw
WcO3GPEC/ZO4oGo2YdwaGXazmu9uIGyz4T7G0b6LA+wAR4egJ3HDHbfZZt+plI6uqlit8bgjtbyr
qX8+74aRwIhk8Rplg5tvVRJyENRQQI5sc3MH5qhqXcKVwnv6fy3B86JJ8ZvWwz97JNOBd25M/Nx6
9z7/d//T30mU41/0qpfxt7zNmrkzMrSc7FXyB63Aq3zR8y96bqP83hckX+i23H6n17GkyB+oQ+Ez
1/olOaWuv/5AE2P1V9Ln+T/z3xnqxdz8t6d//8Hetnd++z2vfvt/beRszJ0h/zdPv/iGF09vf5gT
wGjWfua3yHC9ngTD/EDHTYuUPlnU+fMzP/cHTcJMKP3dWdA+KHP9FQ03fz7k0hQM+QNYD7JQJuSa
+fPHmQI/nCzi79oCFzSZ2mHj50PO3/hyQWj6BySOdMIh2vn8+TniH2QL6BVtim1+axp41WB9QDH8
z2cxD7ryAYajSmBF/zlRKKP+rI0BrbL4X26M/31rUNkYZap1ZO6Zz5/FNIjnvyMNM8ij/1nPT30V
0q7fMgNJUdkaecksiMUysD7oFMaxTsxfJvKnPf5z6fpcD/x7M6B9oMhwfvm/zFzGzl/tB0zEMyFw
7tL6pxmA+vv7ofmBSAjVXwS4/rPOXz2/+ACHSIMV8+vw/Dnjf9B+yKk2SwF/zwwUA0WNrEH7+XUu
8LZfToOwPwAvJeeBLfy9T/xh1kAR3+9vhx+AQgge8JcxLFeDEGyX7JezrPj5gyf1Z00DbFsZU/1d
e1D1D4J1gaDg14Mu9sfZHiyhgwFHhvX8+dMmgjKpGUn0m8sCoRl1odSIIu96uR504wO0cATNv45N
+49zk+A9/l/mriW3bRiIXkXIAQR/ZFtZJEDqtm4LJDDSXoCxhZqALAWUvXBvE3TtXW+gi/UNScki
/elnvKB2tuUhORzOV/NEOPW89Q8mMWFkJWjrbLe5y4YE1iHpp+jos+ozOO2omw3ZbOjFkHVU2Wx8
5KuFUQIxAfj/LRSkvoJzFslpZktDH4EkGnogDZYPnq+QDGO8X3aMe4KVBoBw8JUCVCO8LwSI1kr4
bEhjgGEBv3BgbaUJXQNyGYAOlBrLZaAg2+TMcU7lfOiQxngqmkDsGmPpsWGYQFrwrgjcZHRHcLaS
DgXbgcZDxT30Sx3Y4HtOgxgojgBYGx0saVguA1pKqHOAaSkQScE5BDKqzRv4DgPSL0BaIFAxcwVn
KYY95D24bECiEfklGMuJfxomMb6mOCM8T4HcWe7CR5DyEUHTNQ6Rl2NEXolA8oASZuMow+qQlCLY
wI6jhpRZuh0B5snzF/tYPrQNfjTib4xxQMs/1ZdxJs9+3iZA/AcpeqS7aRPPXwRqJ3rXAPyqr+Ck
gMBFgePIPQ5pjK5qMv9n0ipjuEo93AFEmEAZQcaRqxVg+hCUw+41STTvVCDlPsZ7bPA2KZuTD04c
cJAJnpppG4cxYHLRsET2kS5QdE4Fki8DNCIQNrC+gjMRwADnRw+oLOB9HJS29paP8hMUBhB8/j3V
/hcKtK1lTlcyX+oqpswq7emaKt0fb2hKfccEbAnv8/LuBgxy7vu2A1Ko/iZDN9tmR5/vHc2pq4yd
H5uqox7G/t2u73hkZ6xmUc2Xn2SmhFqsdvqHnZ3lk1ijFvqwUFm3uKrri4dZ3N04c+yI/kWiufhe
iqpL1xSr2ITX4kdZeJR1MZBL+Z1YSdGdsKkncMl+zJbgfR69l9VGycWmO4I5RdwRPlSv9V4BhD76
ij7JsjuALQlxR5iVsn5zN9PkmLmEH4USxar+6Uwa+LuUuOXTBkdmqqyqMlqCN9u8oUmn06aBrjiI
S13nGrnU50LVbw5dk664Al1R7188adfFEzbpTBVi/bJduFtq8gtc4s8SW5lFX0SRSeUOYELWawww
g0hiEIjMU6k2jmpEYEyB0XVH8QXTRB3cMUgViGiKp3WULNyNNnlg9gA4tdFcbHN3H4x7xCaeKbyc
1OG9jca5lC82k7d2+T+N3lq8uufVPprAnfQjtrCKZrAj0tHCNonLJT+XYlvvG7nWvotJhHEJP5eY
8dqRPhtF8CkXy/pX4RrsNlTjUofeFYW7k20ZjUt7mvlKvS3cXyZ9yvNrH0w79gebB85O/c31demO
RY5p3f8GAAD//w==</cx:binary>
              </cx:geoCache>
            </cx:geography>
          </cx:layoutPr>
          <cx:valueColors>
            <cx:minColor>
              <a:schemeClr val="accent6"/>
            </cx:minColor>
            <cx:midColor>
              <a:schemeClr val="bg1"/>
            </cx:midColor>
            <cx:maxColor>
              <a:srgbClr val="FF0000"/>
            </cx:maxColor>
          </cx:valueColors>
          <cx:valueColorPositions count="3">
            <cx:minPosition>
              <cx:number val="40"/>
            </cx:minPosition>
            <cx:midPosition>
              <cx:number val="50"/>
            </cx:midPosition>
            <cx:maxPosition>
              <cx:number val="60"/>
            </cx:maxPosition>
          </cx:valueColorPositions>
        </cx:series>
        <cx:series layoutId="regionMap" hidden="1" uniqueId="{860F4A35-BB1F-4559-A346-B8D326F56499}" formatIdx="0">
          <cx:tx>
            <cx:txData>
              <cx:f>_xlchart.v5.4</cx:f>
              <cx:v>Bolsonaro</cx:v>
            </cx:txData>
          </cx:tx>
          <cx:dataId val="1"/>
          <cx:layoutPr>
            <cx:geography cultureLanguage="en-US" cultureRegion="BR" attribution="Powered by Bing">
              <cx:geoCache provider="{E9337A44-BEBE-4D9F-B70C-5C5E7DAFC167}">
                <cx:binary>1HzZUtxKuu6rOHx9xFIqB2V29NoRKyVVQUFBAcbTjQIDS0pNKaVmvc2Oc9135w3Wi52/jHFTomzs
3eyOthwO20ipHL5/+P5B/vvN8Leb7O7avBryrKj/djP8/jpumvJvv/1W38R3+XV9kKsbo2v9Z3Nw
o/Pf9J9/qpu7327Nda+K6DfHRuS3m/jaNHfD6//6O7wtutMn+ua6Ubo4b+/MeHFXt1lTf+fe3luv
rm9zVfiqboy6adDvrzfX5vqvf3y6fv3qrmhUM74Zy7vfX+889frVb/N3PZn3VQZLa9pbGGu5Bwjb
hAuO7fsLvX6V6SJ6uI/JAWcutgV17+/jh8lPr3N4wY8s6fOCrm9vzV1dw54+//l45M4G4IZ8/epG
t0WzPbgIzvD319JcTyp7/UrV2ru/4+nt8uXF5/3+tnvm//X32Q/gBGY/eQTL/Lieu/UElQttrlX+
gqA4B9whDhHCFfcX38WE2QeMusRBCH3F7F4g7jH5gQXth+TrwBkiF3DMvxIi6+tGv1qCxtb61a1+
ddmC6LyYxjj2AaGICJvs1xhKDhhiCAnM96Lzc4vbD9S+d8wwW1/+Ypip4rp+tbwDXapfEC0kDgTi
jICN/orGY/tG8IHAlMEzXwzgzL6tf3BZ38BpZ/QcoeWvhVBQl3/9wyhQrcvrotEvCBKoFLaZ69oY
7TV45PN9xwEcH2a9t3Q/saT9AD15wQyj4BfToqVWf/33i+oPO2DCxq5N2b3+OLu+iIgDh3IwdZx/
he6xL3p+QfuBeRg3w2N59mvpzIXaOqLr4vbu5R0Rtg9sLKgjZvSAogMHMYHh5lfIHkPyU2vaj86e
V8yAuvjFFGfLY4u//vvBvLwAs3boAQFq7QJR+ELjnmoOByaBwPvcXw+T/5NZP7Oi/eB83coMks0v
xuLkdaxekFVbyDkQrgM6gcUuEpgfUBs5WLgPhHsXiWcXsh+HL8NmKMg/fi0LtrkzxXX+qb15SYfP
D2xOwUaBcuxlZRB1CkQYhofuVcPdReTHFrUflsdjZ9hsgl8Mm2vzoiYLgcUSGBy9sx8Wwg+IcBnn
zhdnD4r02LOA5fn+er6ByP2wORi/mKJ4kEH6/u5/MjWDD1yOt4yY7kdja7aAddmIAid7DMPzK9mP
w8O4GRDeL6YVf9yYu4cDeQE/DgGkyykHT/4FBrBFjyNI5h5wBOEjc75EmPRh8ns//txy9mNxP2qG
xB/er2Wf/sivy5dUiS3hhVD+C136/MdT7gvZTHDyzhelQTMwnl3RN+D4Mm4OyOYXAyS7jvT1S8aH
4oAxBxiV+yU8tGeAYHrgYnD1NoDyANhjW/XH8yv6BiIPA+eQnPxakFzo4vav/1e8KNPlBy5DWxf9
Dc/BIOllwxNcfEFtpiU/tKb9sDwaOgPm4hcL3cF4TRpykg8G5AVcCT5AjrPVgy95e3uWTIHEPuQp
mYOg4PL5mjn2H1nSflj+OXKGyh/rf1lddosvj4tL4Akfe0oXbMOO7v/ACf/sdr6+clavANbfPq0f
bQk/1MtmxaHPcz6q4T3eEgKEhIsgD7mzMwRZ5C1Zo/dGbpuS+d/e6fopP/Z0pvNPW1MyL5R5oHz7
Njrb+f9yoQySYZAIW10Xd8q8ZDjpQGQPCUgbgvgv578LDyT5kYAqpniIa/AuPNt01o8tbL84zsfP
dOxi9S/r2L8Vp/U2Fxb/9X9fFKIDqJltE2FfSLQNLuexBhECJQCoAUDl8x7CWcT/Q2vaj86joTNg
9qjQf1SleWbDHtZ2b1nu/dHOIz9b/EdQV/l8zR0RxQf3qvJA62aO6PmV7IfiYdzOqv/Dy/vbYtf1
K++6uTZQzXswHC/ABhz3ANwFh9Lkg9eYqQTE9wRxx6b7S5M/vrD9YMzHz5Tj8l8PNr/JDBA9QKDs
NuIziuBA0sPmCEPB6f4CM/HYkc7X/FgVdtZ/34jzpOlkPn5nzO+v57dncupdl3ev3t6Z27s9Hvbt
f4CHvbwzkSphdd8+l59MQoGJALYKAurODDZ2D+DH28ahGdf5gTV8Qx4fFj8HBUjaDIgHOzKnOf8R
/UCX4Dlfba7b7EX9Jz6gGAsmtjRne83gIFCndThn/CE7Mkflhxb1DWAejZ1j84slQB41zrykklBo
+SECOCbbNeGUHdgCOxi6ge6vGSo/uJz9sOwMnuGyfvNr6cxuQflUQy/lC+JDDzjYKujTfIBhlsKF
JJUDRo7Y0ILyoFyPvc5Prm4/XHtfMoPt4vTXgu2+NxU6ghZ3t9C59ZJtdlACZLZLGXvUmPU4YKBQ
iwKWsDWHewMG2d4Vun71h4Ku01d/tI0udK7b+pUHfbPfE6394H3/bTMUvT+eoPiHibYCteWPc5/1
x8V+4vBt8gQtN1CEcx0GYezjIxECmnkFweTBCcxjqLtB3ej/4QmsHw+eb3j9/smO759/ut3to/sy
Ed/crgVk0RXQ7GqTWdaFQOUFavYUasl71faLUL566KD+edifvmG2c3/xZOM/y02+uXGgXtRm4D/s
L/x/5vIZ+1wktwn6ElSD83lstZ4u/tuscL/UP33DfPtPY4S3d8Xd1N5leyT9LRC5fdD/W5MbG3Xd
/vWPh5N6gTBuG8pQ5P6zl2GW1CXQzg05Q8LpP/uAHsP0/IL2g/MwbgbJ5uhflsh/Kx5v4EOJrWWs
XxAS0ByH25Dve9TQ89hQQh8Dhqj6c/V8n7//oTXtR+XR0BkwbyAF+28NY2YwPvqu4esXIT5kNYLP
n5L88N3P24bk+GzoTsS5s80HXI9uf3+NQTfAAtybvO0bdgzWg+W8146H5++u6wY+VHHA622DHwHK
RhFmLryqv/t8y4VyFrAEh1CIUpkLQdLrVwVQyPj310DsoKkYBIEjAb1ENgGXWet2e8vCkGuA9jt4
k3Axww5HX7/e2ehsjHTx9Zy+/PtV0eYbrYqm/v01GNvy/qntQimDqoBLHRAr4CxkGxnD/ZvrC/hA
CB5G/8c0vFFuNcWy5XH1jg/I+FM10FUrKhLwqU7ujeP90eyZj+7MB61RUON24ZfjQiYFuC0cx+P5
WsfRRVKMseyHJHakcGqm5ehS4UVdmvqPcNgz2Xbx/9wcI+CFGOTPYYOccBdKHbuTFRYuUJ+LTk5l
odZtGLlvxdDEa5Y248YQK1lmaU02nBgBHuOrBOyZebbNzzNDngh6KxhQG+g82p3ZZFbjRNOUSVV3
7LZvo+hIoEylMo9E+8xcCBzqfJvuNlrbSsp2NpCjx2damtFwE8WDHCtRwG7bXiHsq6yL+brUQ6xO
WTddRSKLJWH1W5E2SSbdsOuJn2ZWwcE0f2/vQG92l4Mc+IoEsoMMBAshDHRudzksdUVrdRJZDB0l
7cBPhNIuhH4/OQuGrDtHHNkubHyLwCPBpWlrpZGOe0msMvTHxq3XHUj1xfdnQVugdkRo+wEGaBm0
xEI2CSKt3WnqEdeozbNeVmPfnnAWuY3kOqz9amL0wgl1IauMdwGu7WrBB40Cl7fFqSpK7k1c6WfO
Fu3qK6NwsBBbOC4U7VxuQ+5kdz0o63mqRzuXQhirlCi0TTDGpYgBfMteR3Ryg6QWdBMPdk8lq1ST
BKkInSC2xuR22xRhrVy3IW9rlVXHZnTwGVgA9ZxQPlEABApOQc05EXCCeCskj+CJ+rAfJhV2sovy
SmZt3nldR1hQ8aEPvo/R7EgIg6mg5ZKCCQV7BiezO1XKck4rZsdSuVbo10YLiVFVHjZwLYs2KY+/
P9+erW0bbjkCqwTBudiq4+Ot0ZqmeRr10unG6aMIQ/coEVbt22H3LNzbte+IH3W23zAIhiGFtu1g
3J2LW21jigZ0qZ9ovXCEGYN+itkyJna0yEWcB6yLwk2lh1omvGW+1cInkrLo2/Cw1abwBKuLxff3
j+zZouCs4ZMWzqD7mEI4Z8/sjeKtPYkKDtzCzrkexg9GN8gv3fhEWxNIX+PKfAqDDqnDJnagkv89
vZ/bdJhcuJQT6MK1GSXuHO3KaeIcjJqcGEaLMEzfDHF+Y+XxUR0Wxm9SsOVTxiEB+L1Zn9jYz9Ny
AX2mBAQbOut2gaiM0JnpSCaRSMRR3DZ26Q0NzwJallSiqSrXfeGwoGR2dEQc2/Iax1ZH3B66w+8v
ZWZeQea2n75iQgnGHLqYZqdfTVafDo5IZVfk5Vll4/68TUeB5fenmaP8eR4BXwTCb8gFojnKU5Qm
2Tjy2rPHrvQbwruVoXa25CVpF63u4+uxq6msp64BtwIHMUz2+ffXsDWuj6QfliDA4G2tL/g2aDCZ
HXoaITGWVdN5RZVYjewSzF3ZMW0+1NADc0tZU7Cj3hL5+Mzmt2f4ZGKIzqHWQxg4mJmKl8LWbZK1
MDGj3Ot0b/l5asXB2DjZ8YiM8eM8t8+tCNcXba2sZ/Y9k3HYs7N1n2BgXCAxYEF3hS2acNNRtyil
AGKJ/bHMhnwZ5WFDzqpG8TJwuDPpDXWrUUQShxGlzxzAzMZtT54xhoCDghYBFd3a3Ec2rkwMF2MW
th5plPIS7JjD3O3cU8aI+fmpXAShJqFQBcB8S3UfT1UNdg3l3C6XjU7Myi5ZnktaGD3JnoSl932J
mvmK7b5gMmBmLrhOIL0zd+6WunDUUOey5zX6ECUZOmRgdy8d3cWfQrvLntncvvnAcgPJ3tJ10Pvd
zSURmlLwWL1He9GdKRtlQd5GlaewG3s2MfXR9/e3R2NcCCbALm+LXA6dSY6dEU11iHLJ01qsjVGr
JOmLG9W56brKR/IxFdREz2xybhw/nyo4AsIodcA0zWetFAFLxUs4VZMzadoqk8BTo1WDI78ukkVu
WUpq1wvLYlhwMoyHyI7YM3Zxj8i6EBDBbwKpJWDgu0cdpUM+ZbrJpSqr4bDXaPJbNhmZcqae8UFP
TDAoBIUPqcEiAfF44oNanTYdYA4i2490UZgwPBI67N5/H8snG/pM9aDXkSKHwq7msqq6qosYzeWk
W+TpdkgXbTWkXji02TNn90RsYCrhYAciVMK2XGP37JoeJQZZRSHTyVw2g8VknNq5V5kiDKre3NCq
DS+/v7un/gUYLHK3xQuyDYvntA3FOi/HNi8g8hTmQ2d3xHesDvmdPZggNAWSQ4Hqo9gCwRHjcJWk
qoeOpe959e22dsw8LMEBcYXmHfifCThzdrcdh5Rng+UOnsoot1SAnMEKPUYLoW8zVmLg06UVFv5I
dTccjuNgxX4el7p6RoH2yNM2LU6Qs43CwRburiMtoEk/UsPgVU1kpVKp3rlExDLLn94uJ5CQBsu3
Tfw5s2mSlKYiTatCQpTeBFRlxKtZaJa4zXuvqFs7qIc8ObQN415Grezi+9M/9WpoZ/qZoc9Ew6rQ
qQsJlLKVcd9FkiTdCrvhSezajq91/q5JwXb9T6Yl8FkWNLDCB7+zSKTiKrOyvgQ5C5FopaADU35F
mk7LrKqHj0PcUgb+ICzf9S5GxTPTz7QYMjhAYrZZO0iKE0hBbO8/8qRuTO1QYzxIl/NEfUIjacu7
rEc8u3TifGR3398thL+fGeAjsX4y5cx5C2OaMu7TKigb90zVrlO1npskpOBSDy2YtAX4iK7Wkg+R
a/eeVetO5GC3rbHrZWciCK69PnM0X7ptgjuZmtAtZFi4le6kSHuevx/bqE7BFkExjLgBgUhc5X43
pWPa+GVRW6bxem3sYeOAE6BXdkZRlnrFOHSMS9GUEKh6PIxqLXzMsymJvXbCuow9WrcoRx4XSJfY
60xRVMgfLVLgeNn2JnQ2BSN1J4Gj9XpRsr4OKzlOPO0kiXp7WMQkGgJLlclRwox7PJZOrKVhVrIq
qgmvKtqwk8KOhEecjMp2UPnFWHRdC0aAoNpL28kOhlxMF05RKi80lToBglX4Wd+LU2NEtZgKx/ZK
NHKPV0XsTYjqlckqfMF7uz7JVNsGDmbFEnpeEi8pdXhUdXa+iNnQeeEU5h7LHLMipTMeDrlrHdVA
HwIFJu/EaqJh0SBspJMIeky7NofsmNWzO8uh6UKH6XRGHZSvohYzOLFaB2iI0Yca28kaPrniH4ah
T9eTOwwLCJetq8nNUe9piIJ7H3hWeWF1lnozVC76mBRN5tvtlAQWpIgk0XUbycy0tj9xu1/nkOkI
eE3zy75j6pOV6fKQDWp4E5uSL9QkLK93+8xLaJZI1TX2lQon4zNkZZPXTUmRe32u9bWLq2g1Rr2n
6uNtROHKsu+aRo5j2l3jPmtiKVA4LUXRYGl6kICuWpmxlalu+Uc8thDOu3YV+RmkG3xjLL2cMDfr
qBb2UYdIepbnZfWWDnyQYWnUSUVGJEvVNKct0C0j4wblf1qlnbxlcRSlMEfdHCeZVY4+s4CKMYsP
vm2xRmainCROs/wky1zt0aSiAUWD8xGSO+Waha1ZiDR0L8fMuF4ZI7SMBvIuH0IlIRcSr0Rqii5w
8zjzqLboYTxN5MOEojbgbuFIHgrjO5Ub++0w5GvLTMgDcghChk0XLywa8cDpeTN6CYmipW7oedMU
IrCThvm6iJvDHujGSohk0cc0mMo6qmXNpz4KBrcYqNemaHhXFA27yYck8/rJDgNVcNcPK9RDQshR
SNpuVS3ywWkK2aC4K5dgA9FFOHaQPRzSDSLJ+yJu/8xRekXjLOgmdTNl4rDS9WHSZsdFUl6VWQX/
eZR1SwmlnmUgNBBTXh8OcaE8Mg65HJxqmxuo3li0udIuRBFqmPqgZqNZsQo7a9KU0qpbJQ3KItB4
8daKCwCBp0ea9OvEwpd2XPYBLt0qGAQavLGyySYJ87MsU4NX1nkAthoEDNXAEmA2e6K+Rcx73aor
ppz3neCOrCCG9azGinwnrI/SrDsBFmSkTqePYOuuSJvHMkLRCPlnNkkap/ioQsl5Y0Nqw3GKc8GS
uykvzhRX0ULpUHvYyiOZ6GqUJM7jQy2myOsrG0TSDi8KWiwdi+EFMJXaGwv1Cahu6cUl5F2jOE78
Im8hOVsJPxlzK9ChRd6FiPjD0KWraUoamba0Pym7bgMSva6xAxMaJ/JCiAZ9PDQTqCtaNZMDlLDN
LzDNL5oYLTmct6ygrgRGAyJ1i+ZkEfYsCjo2OVL1ia1kPpraFy0bS4kzB3YsYktWHA1Aj4tUZrZl
Hw4Ouk3jlMu64oUcUbFoozReRCVRm5Dx2E94bUlVhFTJMkvKJXxB5ZYyx6HxES7MKRrxsMmTyhVS
sXbaDF0kzior7RLJeZr4Lr8brfhY5OJsQOEZhJ7vwYyAbAvKJQSHF33ED7kLnD2r+nUfm00N1NGr
IKW3bIaSeRD3LCEbIduEHI4hCRw7PYsEXpU09MOwDkRbyzbOiYx6VoBOlkQypYHeFf1NXE2tN9Xp
EtKgb5Io+dCyYTWRGHKkND1xR75MgKEEUTudmGm4wqZel055DikQ7SsbXpdZxqsGi3ssz46zER9X
deZ3QB0UlE6CwYrOukQt0yi8G6owltDukPh1riMJcW8gunGTm8b1oRlOedpKF32uYtk5ufE6Zk8y
7pyg0Na6muj7vM8/ZhMoU51Jo6tzXWqvKYvWs1IMopSDpWrG98LowyIhMstsH7lZJMt4uILEGKAZ
VYnM2XQXlUz7JBFBV9p3nR16HW+0x0rihZBIidrxhHa5s65idolU9l6zqfc1g6TtINRFnadG9pVa
CKwOM5MegrWXIYoPaVmvrBFDLUOALHMbxBER99ot1MloYdtrgBjIyY5v7HgKHLeD7Q6fpsnGSz1Y
bZC26akoybpt66SVdKzRuLSpSoTPWitMJGtweWbXQt9krYpuIybyY6czjm/FzjtjptADCTGygCc8
kL2TpuZB11mrqUwnr1ZD9zEjownSPq4lV+NCUdAuky4NCEgS8YsG6OdhO5XGj6y+XpiWJb6wTCs1
r3NPoOi4AnsG/4pOETyUIr3ETXiWpzhfAX/xmI6XiUiDMnFAjDWImAMUmoyHOs0TSVO29T7Zad84
C1F2a9Mrzy3MxUi6AHzGaWbnG7dgFVCxKPOpXRtPNGHktTWu4QHc+S3qKt9O4qUFUbsUtfBF7WxU
jgLI8qnTOBIJPK1WNc0gIDxGojqstVqFhQ5SFYHyJNqDfEbtJV3SyVFlq0lEJyTlRKauq6STqXd2
XntW1ZVSWWQRT5BMzMz7umWL3hULwTLgNxm9iYraU+An3Qm/K1QNdn4CybE/IHtcZH18ha26liJJ
goSawO2mRRsWHu/Hj02SVjKqrPORsUVeszdCO+AJIi1d5RxGTrSsdRiMJPVJ2y+IRU6LNARRDqtb
FMafIuq8pfbggn8wyo9LJHlfxNId+CZs3XcIT6dNQjtJFVngpr5Me3SR13BgFkgqjq5cPX7IHah6
Ec+16g3PxMnEieNRVB4lvDypWJLKkYqPddqd9yQO2ob40cD9dMJySJxD7jRBVibHQL1GaUbILyo7
uhzs7IOtFJUQxrzrRghYdRZ+iMZiM6HpyIqoFzr9eS7wJo4GKnE/eHHvfEwSfkoz/VHUPJMTLjoZ
FWpDTXgH1SMgXqPzkaMEgr9Y+MpYm4IbiW2zTR5DDa1C13BzWYyVLIYPNOr9KiTE5zQ/oXi6mmJz
ZG3LP40eTnU0HClgRFZ7G/UdiC9aly6QPAhbEwfOeQQr0YZWkCYwBeT3SmC7aNXFJoicAhgg2RSV
XoicHgoS/gkpkGU8md7nDkxeWuldbqtPlQCthvreVWYX76JwHCXLnbNJZ3fUqScvyc1hqrkvdOtz
A8dJ88qSaZ0A6oh5ZnIyWVjIkhlSy6FvM1n1sV9bwK8ISeRAycpJnGSREnttkvHYSQg/NJY4HdN8
GVvFcZK322O+tKZuiTu6GpzaR7UTUDYt+4oLiAW644mbO7umIZjVeEGUvqTa3mSRyQ9Fpm5LC1h7
FREdWLm47N1qpXFyQXHyJ57683QiXlbGi8oqj0NgCNAeA8W/T5DsB5rFLiEX/DFC5WoAgh8W5SEo
zpGJlT/W6rCNLD9JWz9NigDVdSJb7V7kduRjcF7ZOCw7F4WS5GxhWfSo6VmAqzYgbvUxD1kqXZZe
jBQHQ4aO444ENBSnfWYOHUijlU6xgBzBenBI6pEJTHiRNEaGuF90rfK1Nb7j43YmSFpJuwBhCZmX
axNUU39E20SmA7ttqjBAHVRlyhaKxFcC/FaT2ef2hC+GQTi+U6TuctTlOwEVeXAW5l3DQBnqaZUn
eQbgaC8dp0uMaer1pjmHbOq6hSqfhGrAIGnHIKLHvQ/lOjAbcASQOs70m7gmFxV2pR0Wso7M+xRz
iP4zPx6FtOIImJJZ0oK+KbD2MTwDzrpsud+mkR8Jc6oVPiKFCiJen+LB9cdR+UPYyjK/AwUIOoyh
FDTI2KlOEosD2ljaKllyVS66uD3XXbqxNNyP1wOdVnGeXtI8C3QxScuyZSzKtXaNLM0bFoGbxdOb
gby3+muNLsusX2qrfNs0fKGBfbUKAmjxlpYf7fpTnaRweNRTfQnySK5Ue5TDJjPWSjV8CNMTNWRv
8cRXjSp9t+JyzCqJ9KnuTy39RsQcJGb0+6aXUVf4RXkDtm6J8XRk9zZ4xSuriw5DKz2D73AymVvo
BIiOnPrQ74ztd/UdSWzPTZUsdOljvLEK4Ap2dko08xJ2EtvXbeUEwBc9h0eXbT+c1igM0qr1Ta08
20lBNTrJq/dZFgY4clZVnspW3EWQiO9ZHUTlhTLuSe+UZ1bzNgw32VTJvA5PVVYHvHir41EOeRO4
EZMTUYuBjn5GjJ9ZDsQEiYx0JjP9AdfpuhmN5G0jC3ROwCenNpDIPD+qo6OxaYEcWMfQorGI2psJ
/Gc6QWCSTaBx3bFtg6MT4WII0+UIP+MF9wYRLeKMeRwityQtAsgxrBJ8TpqFhXOJo87H6EJbRyi5
atWHDKrwXOggqeLFCNFNBWafLRDQaSu6zcfSp1O3sMiRLk9RtibpClp5PG6In+ECSuyV9gW2vIF/
7EgsazuUY1rLPkOLMrqKyJnl8Iuiedfky5A4fmoWY/nBQAxZxxxSDoQfjTb4gZYMlYzrG8bOc4hr
a2ot2wEDy9anJrMXNIoDpqpV0p3akOGsMMQ9uXtsiHtiFUkkh2HwW928cUfhjexdGCXS1AuQsa5t
TsOsflvzT1BhgBSHClQSYjnG7aoAs4/HPEjzK1GNRyFT57Qgl2NkL8KkeIccoDuiCmI1BT1QBitM
gYC3XttYK7JtyBm1LGjrxQV4jSw93JYbU77uq6PJagKdj4upH49o4UDbgdMFg/Omq6HzIXrD+7sR
F0FOLkv6frKJj9ONZpuoXU188kVqBXXI1pZaMqKOa0gxmxJMqO4Bj2LbVwFtKZB6ovEC83Klq36J
sxqiE75yqTl2AIQwziNfkUvKu6u2g1XnPVRjoyDKPhX5mduOkFVSJxiEOa3wudUfxqGA5o3yjjmQ
i8HJggL/VpnxhZkUxAnHLEZv6rJd9VW+qLr6RGeul/dKUhFQwm+B8SPJyLCpSnHdMZp4kNDYKFRe
Z7a+MNUAAX683UUpHcvKIFOdXChOr8EWHPaZlXsobM6JaXwzYqD6KoLwSgMhTdWf8ajBgDuQ8YBW
nTcawcN2WHX+iNnaCdkh59kJ/B04U2at48LyUnsNCafDugddgtCgyvXG2JZPIMprmSuFOq2GoEdu
kA41luDLPEPpIWqH03CMFpqiq8Qo8DDukigbvE0XNEUCH2cnK6XKEwPhMmRQOr9gnU/LD2mxCSP1
pi26T0PYezWPD4U9SFbWAbhXCJf/xMMENud9F47A3JKgrJjjM6c8bkNguCCQPQHCbI5Ima8z4Zw0
I71Ieb8osgiCFSakXQ2tl2dKNuxDjdhxPClg1a7nZgwcQfunwxIvtu4sNl1YIgsy8PBoHIKwh7Ci
x0HU4SWEZzIjyUmpwZdaEHVVb1B6m4CxMI1YIBgxQg2xaOlFY4aVZTky5jeVg+B01Fr0G9a5EsK4
Mh8gLYWgY+nczYH0khZQd3jrh0kZGB0vWpfL/0/RmW1ZikJB9ItcS1FEXx3unPNY9cKqqs5EQVAR
cfj6jnzs6u5bmQqHcyJ2cKXBOUHj5Li69cULdjEke12ZvaD7fqHxu4rCclTiwnxerWFTJ/nLjqmZ
mKhOzSnGG90HyEMoakG/3PV+fIfKdOhMfCbRG0vjporc+JjE83XWBFJpXmme/BEpeU1HqEcRmlBl
T4GE7xQLdWVtfofe4hST4ZOGtljxAfDhHoh4tSos87w5ax8Xuc2LhNZQCYslX8qBcdTQueZMYDoy
darGQzNjt5t/ZKDHIMMjb8VPMSkde7FhX0/RjThyNn3/X2TqmJ9U2Fcz/yvbjuExulO+RGdcNFR3
O6kwxxUQf0+gfwoD8MelvGLBXGl6m7TpSp8v6BXNqcfST+VHMs9YOq6YUW+S/XfA44ov+mYGd1Np
AwQUIkUK9YCeLd7Z2PY4PRykpfe8PbZSlEKcGvxhN7TFLmixA3iZyH8CjUWIWhVj4sfMfeHEfALb
gESwfcKlPYrsTa8MbF74L2jcZSTNgc3YMPw9HFFD9/06BmBo1vU8G/XZY39DRSsWGc+naM1Q0AlG
3takn06YezkGNzVCPltz9x+fmvPKJ1vbfIuqaSbP4zZ9N6MEoRaqe7g/XSExGSdp8p8Mk/c4GZ5Z
urwIjt90Y8vDsMhXcAHPcazvsyH/GwzRs5o8To31bW4O2rtDzu5FOL/M6XOSukqYB8I+O5whdvpF
I4cJXVc86s5C4FiLcwziqsqTa77fT3lWuia4C9etolNy9E1+ELo7bfZ75nk1pgE82rakIHegSabz
gsLzr/d7rZe+ZvjHhC7FgsMgC4om+dtwchD01+yXU5oBDJDVjtOsRekM2LfDs1SYHGCVpTh002as
MjWWoeFHLeKLsihZ4wlmwDGN5kueBsd+tM9CPlDf/OEJ3nMgCxZg1Qzy5Lq1IHbWpzTdtnsiJkhG
UKJQo/L1EYv4POx7RfPgoJbT4oJq3X+16udBzwe/f+SyLxqqj5juz+mYn1LxyXJ+2br5KhtZyHks
wt6UW8aOUv0FTQWvhJSyYSeNsTtYB1fsdH3Rzf66R+riU2w/eWmIeUzAKNDmNeDRNU0fW2BP1n/t
/CFfcY6hXeqh3YntIEZ3khJFJeyq1HbVvsynTEKKjZ8IemdFSJGYu2l9YSJAo/2H27RgwDi1f29G
UVr/0mJQ7/Fg2/YSS2gU6gnLuWj3rOi2EKwVatX4oYkrbXajLq7mGeMKq5Lm1AWnGdaO6TH2b19d
/JpA4uHteoVoUTiCD7BfJhyKdP82/XqEmnszu/7jKIgFzSqZBNXsRN3puBxU7NA02PMa0pOPH033
qNnr0vVH46Fj2mKEfzDl94a+0R56Rg8lnx9ZkP9e2FDNXVTvUMIHSws5YoiFuKTpNfPvRI/3m4eu
lXWV1hx6L6BO1p9CshyDaasndMxtshzb1l0CDwdFyhny7HJwY/bMlwlcA46RPuuPvGsOJlVn3Ir2
0jl6ItKcVBo887Q/apK3aMKWO6vN86LBmMilCQsC1cCGE2pdlJQNhVS4R3UQwoAyQ3IFH3SSg1E4
vOe0bGLd3jV2UZU34p8aR+BA4kO68Rk4wDXd0poEeT0QcdpWcVnD6I8f2OMOKeakm+yVdhgm87Br
IVI1OMHV1hYdpd+dt5Dr+sz98+Hiz0OGHln6xpVKiguQ3+OqMZznwTwUIay9YxZMD1GMnppAlV7a
QRyUhSBt7fgMOscVLm93eLgNxr856dCU0VOyNqcdwEjB4eoXJOenWNlX7wZS+CV/G5IF4orZxzIf
u8Oqx+Nk7aeO0ofEod2Y0oeeY07bG7yRPsaGDFL112Qt3AKDvyCC2dR3LSgwMYXQsNPoADsO516L
6rvcsrg7kp3QEmIBJnl+5j8rUsEXQ3tp7sm2LqWWsLzssv3pFPk15AzKXT61D5Hax8pH5Day7TDO
8XnvhTv80ASVlzootCPDOcqb9jDH/veQwqpfeuqui+3/w9CWldOAd9vDbipzPn1McrznbH0OLaNP
TWguLWiHnEr0vXQBbkQDzIfSBOgiLEz/tpNV2mVLsXOXQxmLKdySWKdbuRre9FPRg5t4YeFm3mw+
qLww+TK/Jxxa4pvCk8YiJ8SesRhUreXg8h+rQl7RSiz5q6Urc6A1XQijx0KxpiI8L7kY/uaUd1uh
s2Y4BY2k75rpJLjt8zzoR+i8e/u3XWOb/euD3spD4lIFSQF74rbSKb4bMyyrzfb5XZgu4d0awpzA
t4aEnxMc7oq4DIMpxooa/kpzgcPZ/yJzwk+tt74WLeXP6dzyvph4t96avNd3qo3HCjPCXnR6mZ6C
JkrPItjpNeZyOcVaTgeoG/0t3Pu9JFK39SjnBJpnPMpDtw+6ypb5ecZUe24FhsXcdPFjZPteFiHk
thr3347lng6s3DofYAhQy9eSj7IcFotWmeWlBIVyTaHx3HaLOtBxmBJzt7V1Zzu6HDTJ3Bmykqmt
0/4KoxnAms66V7bCy8Se2grvNbTibW6eZLSGrA4QsdmrjK3NbWniHAU/swatHT5t62U6FLM36hzn
K4wSL8KnZPBTnSgyvgR8MQ9Yv6QKfTyjZaDw+ppIQBdJYO70kV6Oy5o6SL7GYxBn00nx1Nb9nvNb
zlNWJmmDOS7jWpYbF+Rj+1miS4dROlEpL00k5WPe/dS5NVCVIrQtTRz4yzCysYV5IzHoi2jbrkM0
Nfda7XNY2CafUrRzKDfJGOlzCEGw1kPTHDkJ+V+exnBZQ0unN2E2d8nbJqrEsKGAgQZDS7VCgNhC
AtcozE574/TNziY6Jt7TIttyBU8pd/Cw0vxiAii6QOFxoGQT40UAg+LaB0l8JwgI5U3kETxJs9az
bFm9iVlfF/UzkkBsPgy7UXXs0QGbnLB3SvVvqhZWpDB1jhOdgx/pMHql1NuScAsxU3n1Thwg6Kox
YDLhZsHB2W2v68D47jmhffPdMm/KqJtEOXVDfwiHRZdkhGTppPO3rZ9x0DsRvXTa+JOKvR7sEcmN
BcfsTMYu+tgMTMC9gCfSLG/7FD04ZegFj1s1d3kgVDqUXUSVglnWDHFjKtKsPr8NNlTg2uKoJ4OA
ZNg13TXu4tD9yUOkQ6O3BtCBgMXRmc6iyQi07z5Go8Pkj27ifZ0OSbI7N54F3fYOrhEz48ce7Lx/
HGRg2eue2xT/Y4ui16HdwYvwH4zpmH4nxNEVTosKIlh42e6y7QI0LFNPyiGSdJH5kuToRjg1h43h
fLzNNuh+rKEW/E9UuD1vg6waFKgF2GmUsu5XNKQ0/hKJj9O/fSDY+t8eSIIxIe7zDZ5Tuqwh2mAe
+6kV9TCoBFfPDPts7/y0Wz5WEV3RrRVb5oL9se0TnV+idFx64Jx5vw4foRpSwQtwr4RC5ElyXApS
ZHaR/VCMJsmh7UGC4/qXSqYFwgcKTzN/BQy+GSb1JpzC/7DYGFRicCX4kYqBtW78NXejmZ/SxK/5
OUhkYj84j6b83DFB+DfD0t8etp6v22dMkym+yLTnrgSkLhB1SmZDT8J4m2I3Dm0LZFCZ8L3PYdhd
0wTDRY1oUeaKaZsSe4DPgV0Thwvrf9FpJNNzx/w6oBFYEwGyMzTAm9aUiZNxJErup3G0cbWMCevq
dpp5DAYlE+xIxBb82kif/ZqSjGF6oeHI21qSfWrggzcJMuSlBv6sw3OGgAvkQ5cg+LUc+RBkaCGi
LlTzN37lMa3NqBlcOdWE33M4z/7Lrnkg23L3wttfGpgBmslkZaGG9sB3174F4ewRJIBqgdcRDkP6
meUo+JDp2nYfz86tIVpwmdI9fu3jvvlvysg6XleTrM8syef4uA2pkw95aomudQ8dHKpfHAd2K4cM
fAorTLtF8JnJJDz83GDbxVSJNCTDr8TvKKsjJGgsVUgzGIaLfhjCrkBYrhfVijRKhAlcsO3Ke0HY
i0AV1Ah2+PALjPDmnpFaIe3RjXk8XhYFY+57QygG3L/sxr4cUxpoXkzMT6CuJO9aDGnEB+Ug5ig+
JGxC82092eQ124ZoxMOZ+2D8O+jMtIc+RJbqGozU0squuyXfo+/ZWsWWh/Q9F+HO/8VW+Ttm4Y34
H1gvZnBxhOD9cdvbFppX0q8GXUai+qYa224IvjLaZNl7Gq6rQKcbQNn/27thD1/g0+z8vgn93Nw6
bKrmFAk5BzX0CbJV895592fHvw0+mZEon0W3e27LYA41LXGZ5jZ+84nm6gVA196esnQWK4FOGOat
BWzUDQZy2dKF88PUUTR/Tc9k+zEPMII/xcpWeuTcxeyWcZb5V9pv6VDTrQ1icLy6C4ffUbuwcjGI
l5Xt7MapXPFK/uuiZhJHfCxNim1RUlYJh2Kz83D9l6i8+eFvo08z2Xw5TKQhp7VrluSc2yy77lJM
FxJ33BatGIFDyWlfl8eO92tfcG6y+wbW6D0KJX1e+5F85i3MaQRgLC9h2DXvfrXumAr0ql02075e
pk1tRTSNEIC6Jghkmc19AmzNt9k9YDW0MzkPr6DCQbQlm2r1g1R6+CunLP60/Y8fEUyMfQ1RNh8M
tuITlYl6jpG0+t2obkDXaiHYqswr9Cses3LicbC7IUz4fbT6bTr3ooE0v83Z+jKEeZBgHsn4BMwC
LkA5A24BItQoaNamFdM/4ha1gMLs1xw0AY8P82pJ2fJtuh/Huc2Pgeqyp9QNfn91ne2fMauYr2Xr
W1c5n0hatFm/T9WyRfFFr1PzgMzZ+NBEga0Dzj8TMf9C+/U+sGkspykGeDcOojDJ3hfRstzEPh2j
dH6negfvR2c4Smk+1drFWalp8BGuMNlSkX60OZtv1mz6IAgAu96zxw6RL8yTq7lwBZoqNCpEdzOL
d06d/QfNWTyaYOK13foTYgtpSYk/d3oKDmiqgoKxvrmqTe5HnIbmRnlsf2O4aNDwjxcOAq+c5BBU
VHLoVH7ci132yVHwKHofnZ1OdliCR4nTICxDGS7dPVM8ugO/hIfYJfA+tqZFOx/AKfP+zJKoe6LQ
6v5ugV7ex3HT43McqqReKPfROXPYW2W8jvoOKAHYHo1VmVZ0HfPnLSDxxaVzPJdRKoE1AXGZqgaR
jw/wJK4YeveFbx1Kq30aYOb4fT7ix//2ZggOMs93COo91NX0p18wajqYwZBywuM9r+mUVGNmbw2E
rVRbVawjhqQggjS1zeqSIPOFv24a4yKiPCj7IdOl23xeRzz5oNbCbDcxvUNyDLldHKaPQwMFY4nH
dzJC4gxZv18t4eLZjXv70w36wpD4znXkGuYdBhXESctBx7pcmzQphjF/2qPxhtYGiABnqGP5ur/P
cwYcRG5j2fDo0M9WVGxlS4kDG/s0wRAXrXjiM2ke9x2uuPI0KXNtHxKraNGnP1GAH1Jj7UCcgqpL
QbuxERHFjFbDzMjVz/QR7cifoEOXJOA5YnHqvQRaCjpZDegBGRp6j0hkQemOwS+M8FQl2rd4SZFD
klnljBGX0ceXWfRgiCZlShvmJfedhkoNUAPbu4gyxarchOFl7ff0QAcLjMHPK84eKAfIzBoM+Kov
F2zWe4SuGUxd1ZQaxxDAyqc1R453GLGFA/VT4+EZnUPXqkO6hlOhSXyFRdmUZI84DkG91wML88pn
7WfuHFRLtK91lpm+7Jrx3wLnYDBsvQUqeU0mNsEsnt7ndI/LKWxouZFkrXG1mTqvTI4VzhtXKTG4
Y6s2egWMHhyBBSxvLAHRjFBUUoOTuA5+Qd9hEOsdFSppMw2lxaFcDuNCij4mZ9D//XG29DQ2sD7W
Hvig1OpRNC38STdXrcCE4LzEew58XO9p9NtOCIogfg7vyuABI2S9lyrpujPU9QiwgIK3IdCYaNUd
QXLAO2j9Lcsp7C/o1/Bj7S3hE3xGReMzVlVQdhpNkmrkBwHtD+4BB7bYX5tVDVXSuWuvgxdG4KQP
7FPGkMBhkJ/Ap9MiZ80jGK+3OYFGsS/DM++TzwYd/A+rQEqRjP5J9CPYt1j7R5nL5dDNJK5CG1V8
1Wu55OYDJTeu+xZlulXU1DlQxnKjsFVC4cRZbASGNf6sgFcylG2rEugnmI70jzvcbeprjsK0UnHI
SmSz4qpx7B8n80PUbr9A3n4Ow/jLzvaB2Oy+beYHqBgHg5a4wLdkXlITBO+tiB40MzAQM7MhMJxB
I5rfI8ufGxvGB7ZHD5HfoJq10/rdLzo7xrSF+rjqUOJj0Ku0kF+7EBPUJM+JJZA9SLqXsJ30edVQ
aYueSnHHEuVA4YRYFhnymLOL6WFzMqxdoA3Uhql9hko2wV2Iu6sUYnuE4OCfQ4DK7yaf9jebJP5Z
JjI++NybuyHL3bFPV3lbPWkYrPMeGBS8LZrVZpHj9hQOEzZlukTtWuWpGYGIsbcIdA6y0huBVBnY
1PUV300EgWjQKNFjON1NND6KOAyL3SuACVHi7tU6Bu8uTLdD1oZThQf5T4QUFiCzmCYRfT17jF6A
/Jb94sJxK1WLIbSHxFP3GAeqlM4E5R+LNt3apkSsBZahy4YC8zc55bm4rrz/RIZalS240g9t4YUs
3TaeMRQP9Rym9qo0xnulmqoF1XJocbdCEtt7Rdekom63P17B9siQz6x5EC0HKDsnsQ/QeSN3brkA
BQLdQGYG6DEmiuNmWFiYWLsTOG6CWUj/gS+138+zQF0bJiASuy/DPcvPG9TSS4hs8d2k8FjwVCOk
WhsFO2mib8LmpDASpikhzUOj5ntolMC6A4l95y2wB9E8JftqjrlIupKPIz4wvYH7w7yNG6nKdVxA
1CMhDCh9jSuD1/XVzROk8X192fN4hrrHLAiWxJ6jrgF04sKa/UiffQSh2vaDxDmn7tGIQ3daMIDR
fCv4MpzoirQOd2cV+h0Bgez35Py/Ydrg76JtPoLLAA3UiC/XNnftKM9DN5xtZw9xYNQtwSSxa/gx
dEQihaHUQ5AHyAMNHGNPuIraLT/VE0QT3ReFaFle2lg9k1xcUKOruSH/5DR8dB7SdjftjzPuUysH
OmMUGPtfTA/JQfX0K1pbVW8s+WcaLKF9HsOyWVGg6TyeSRcflIfV5H8wEr68Ct7kNYaeRBXURgvw
keaDOsJLAYITDLvp3gcavUSZBkCmcgCL23ZjXn2oZTppgql8m8N/S6jqrO88kLpRvKccBRooh6yo
yCFPuO7k1u7KIh1cQo/CgKzTitRjZ2+ZhHuyDt0TjtirE8tWGuVuXRZcTIxe12wI2+UWBhyZ+KVr
IWZl2W+s6NKz7o5sW7mt2UMo+Xu0LY9zt55IArt7a6I/cbdBxl8ULKUOwilCVU3FBsR8pVw7YM0S
2a/F4ufsTQ40dpYl7pHAyjdgm9rIpwBeYkh3acMK1YHfoMyxt5WJaIQJzZMLumsk43MAA7Md70aV
TQVr+rZSBlRoQ9hNs+i4NkFb2SEOMMrjJ1FKvUOfBJOWTXBb9J6AThkAhPatLHec25HUGJ72KySm
AWTy9rA2/rslPzhiD94SuQJfpgtGKD5sDxyda0mW6Akx8LimXVSNkIbBY6x/rOjmCgH1BCjx/MXz
gT3gLgWEgrj/sxn3W2lYNgTwfikcBlI7kqfOx0+is8eGNwauYv7ShhKKBs2+Fs/ApzDXlS0ohHKe
F4l36tC2tNPnioGynXDhQpPElYBbdB4tX3E0kvEAMzso5omAvuzG2rOBHpZcX1Q6u0sWAKmOebTX
IWI7VzdEMGO75LuHXlvgK0Tehj6J8dvBS2vMtyHyGEl6N8BXR8ACoiYXzWnemgum0YdhFQ+TQCM0
QV2XbPmdNfzZYmis97H9z6BXh7xpznb3v8je8WIfc40SF81FZMVTAGAsC8z95NkNX+r7vYotxUUO
wR9QdmfUQUADNDl0EiJzo/J6pZyV82ZL2wxHMdq/IgMS7xGO7/fYPrM9OW5Z/i9u2ryEF69AeyQf
I5WPcafu1tyL69S6X227ClxtEX1KyGUwSjDOp/3+C2kKj6eSnTjQ+Se/Leth1jN4iWy6ON3eFswS
T4j7xHcZhmBovrQk6XrF7XobkhMw0gU0wFx0BYJxh31tj3aOuwqlCc/FxP+FBOhs2AXHBiJmVMJm
TK7dGv4n2fRL7AbA5KBfd9E89vH2GRokLcLQwl4L3FOA/64M5/YoSXdmq7y63VyRD51KRAHCR6Hz
swkcgcvXgtXy6DmGJYdm7KmAIrvI2o9AdtQgL3Jx56SPSNXpoSuRiX5ueI/Tn2RfXC0vGNyPKI0P
PApWRB3Wb6Rsf4L3JD5NFEocfp90AcaAs6qOlf/CMXxv4AXVeYfecBH5fRxlQLSC51REc4V7p56Y
Mw7dz3LArwf2hf9maBCgfWMFyqBHBV3OkQcHGozyhGt2UjhA/WkXNiw41Vk5BpxUendfzdiKKlrH
3y5Y6nRM3pEFAz1GHgI+v6PPuWNj+hf3cGAqXlRf2wCwCqSy4GYWrotkbI6Oa7ivQ9Ye4RYhrgLD
22eNqdvRTXfLtOdot+SdCuMLFQQY0fIvWuNPYTA684nDHcDPAv5GlgKS6w/iSkqL2RyFEzKW713F
IAaBnAewojaoiQNRr7JJnjyPnggfpmJIOAGSiuXLNgriQ8ZFg8bsB4TWhrbnRmYODjKqT6Ix9gn3
3iTsBE8OpJvozpHO3vKgvwY2OTEHIMCSM+W8UjpD69vQox0U2Dad4WjoK9I55Bz29BfMhc98m3AL
kcSWbM5bC5m9x10pYCj2A+SQtALG8pKlsqngOYnKWvQb4XJqewKLOg+uAq1A2cfAFWYgEc7S25rS
n0TJBhVR/uv7KC1wz9HZWG0L3EURnhEkOKp5WUocMfIu64KvJJ0R15mnVwg7Y7FOpOBBep0ApPox
RkgQNF08Ae9YbtgCNW79rm36lzfDE3FDlbv1XxeP1yBz2HLkfiL62UPezZ0/DmT/bHNRQyCrV7PD
LJ+2FzMHVdyhqkky/6aENyVb2suSzFWuk/CIgfppGzMkq9hx7CVACl7CUq0DRYoduOcCR7wdMmAh
rMo2lNa4vXTbV46LnECxIXSGo/e1z9bPiC+u9Ct9cXQ+TiESre34gwPM03bXu/Ee92gw2NlYdqNG
SmH9RrgE4UY40aWQ+5uR28eWkRc6AB+gE70mUR4cl948b1hF5dwGpx43/jjofghw0Ie0ZfDG9N0k
wE5kDbJBLvmdGfaXOvq5kRQ6SILFgvRhjez6icRg2XrIw5COQ31yrT5bDTncWXsgQ/q9RRpberpo
mGAyCU9mZ8Vo/VvWmZNckitk9TtYv1ik+r7NTaVdesQ9FAqAbXoZm5EXURSAfRNZSQPzGM2JqbkA
w5G3y0O+8auLzFlyeot/Ip0AYwAXpfY3BegFGPNiBIT+br2HSDeB8ZkOEis2cIBkTNM/G2Pfh9g/
8siJYtE/4SU+ICcuUTxiedTzCuCvR9uSvVHAAwO5Z7s/dRkopL4DfA4KvQ3Gcxq3Nxv6M2+R0hwz
WOvsKXayavOgnlfxiMZZ41FmT80wHwMylCID+4ibeboCQ0BfBIa+B+tPgKxFsAC3N5W9Xu/XfD1s
Kz9Axu1Qy0Ai7DGOYBT+ByWQtQxzDelD/mMTFtUPWAIuMJ8A2KPT41OHW1yiq1D+v0GFv9NN3OJE
vwehf6b7utU+Y0EVif68s+UlpvNh8igQif4M1FhB06+RgEKP7hpYgxEm6iiOTxr3l9jhJ43l6y1N
AOcg6RBm/DEeEYPch/akdHrv+fJnz5dXKLqYiPV1IPoCi+diHXKWW/YdYooryJ4kxWQ5eCl/73AV
Qmk0uw9ZWKdxirIpfgck+V69e0mRGSpin35As6RlHLbfe4sSabMIrjfZukqALizM6Ot+iq92At1t
KbvEjo61jpPzuJLDwNRh2ykcSlUirHZqQiQMEv9LUH5uXXtpUGT0CNmQMgjYUC2yDZSUXf+EQ3wh
Ky+xPg5tsH9Heqow6d8idBRWkWpp4wdBMD8sqT/41l9kuH3DV6TISMu7Notg/YAQFH+XH5pM96Bd
nTtzvTxv5CXtug9cOIW2OqtSZCJ/oHMCup9OOy2nhf8exhCW1XIVbXsguBsFdXR6xVfhPUGng4Eo
50uyd3WjoecsP/okF4CE4YWwEhgFADkOlosv81R5rs+Qv/5Krmpr06bMe/mSEI4oxLQcGN8fcx+9
Lw0uBzP7cBJr8F8kzYoxzDznIb9lYUcqN4o3qjAB6q07uGao0j1FI+fTu2zb/2wpfcwVRBIIFIC7
sPsGcEjFuuyg3KIIYoRJLizyZ7CFmFPMkRhXxMCLPOk0dD5IEyYdoJcbtPRjhdbwed9k1QAg8O2C
Yk7vmp38GUT0V/QgS3N3EKv7WcHHNgVZ6+wOeTpMjgrW1JRFdbbmxw4+rtT9Q5em4FNbdmOsy+oO
Bo6T/l8z6GdEU+8l0nEIEYznlfBK9qya1um9J/p/js5kqXkkC6NPpAgpNW8tebbBmMHARgH8oDk1
D6mnr+PadUd1dAGWU/d+w8n9kgwtX9BEJ0LWgMjo5908NN9tZd0rQeaOwpVONovSquge9EGePBrW
Zn8dO8BV8SL2iaOOfmY/aWX6OZGqaXyc0sx7tOP3uYTwFNXHkjKGef9FHWsTT/WxK61d1Xj04LRn
uAYHrZ53xhifaUMnK4cScD1aV+HqYWK1DL2etmccboJp8ntaduRyjFLPNx3x4H5567FEjTI6enFt
rqey+Etz78UBYBNKqhuhO2ZqIzzaoKwFMqgqFDG7/k0T6H4kanB8JPObg/WCetsGc4Z6KCL1TN+Z
4jetgVTmVJ0sHIUmyn+92ntYfFyTxSXFzhlT5MbTFPlHd6l/Bzf7MGV+0A3JdxD31fQoDTY3fYAK
1IyXZjgThFkp4uhTKj6yocPAGDNskLFcux6lY/rxeIbQ39gVfdYB8mKZtjxrRnfpjCokEUucYIj+
9Imw2NzA3yEPSiHa9+xXvvjrMrnVsb4thLdLLZ4mj20qnbYokgE9TzKfhbGKsh7BjEW2zL6FSeKs
FmFnevTrnAl7IrLpK+oyjCerD005JQ/d4tqbZkafJWbgYF2ysBnWyENrRPPjmFDp8Z2eOUy61bmJ
0x5tX6hjo3pz6zldt2mASD51NeVKOsw/Y+zUhC1lHBgNAmGh6/LLpV4JMgkuWdGKLNRJ+Zx10RaE
u1CfIDK8t0lMbKCM17pV/hVadWDQ23E4r93pe66nzzZ1tqNcftvMCFzUjLjc4hnvW9wfSXKA2gS5
CdqKnN+GWzNqTKsyEwdV5aFssL5R8tDMz0lf8OWMh6CbxY5A2L6mYZHnDECyIC4Vtd3WLuqNb/QP
KqV5SaY9oXJoj9XadhUPrH6Rur2O+L5HZX2+1+Ed0w0HRm3TGy76/+vneO4TdFdLhkkuw5zmkszn
wDWmLtSyYk8yaJWZpJfi/qvWo+00gqCwKWnStimFs9KK9EVOrIN9kp3srHv3pXPmy0Gfz1xFw7tw
Kwoy9D/M+BD36TEmU+2xcGk/46Rz6FqBFhtn/lintBS72qIjy2pA2n7ngRJNPfNWxtaPbzRnmTVr
tA/GfKfKQlSc/EdO1RBgPmebdu7WufA32SiIrLV8XkbouM6GxTYo2pKgbnqa8WCoQD3J+MJPtZEz
/oWarD8tM/YEpYK+H84WgcYo5gfTorcmxlhD7nG7PJyo89rzNi/QjxB/fCd6yzSHIONrNb1U04+f
EYd30Qm74pIjDGELvZjp/J47YzDI3y51X+LGgavnPhpz/+pk/SZapt+4HzcmOXJ7TNfjQOcYx/wT
KACWLOUSZIbxXkhIr04lt4NR7sy+WGmoC5k0coY6HuJ6+Ejjs9TT7cCbpZuHH6fqz3RDwyJmVsDO
Jslf2cEi9a1LqutO8lw8FgrfPeCT7Id82I7eK793WOXqOtLNvSMd1PA1uGrd8yA3Q3r02vrBrcpj
FbOhlemzXOKzP8yHfjKP3FN2qhZ1pivrmwmjIlI3Kmafq6Pl6qcyrvg4J/PAxPeox+l69rxQr7E6
kvmZyivltuxQ+7wvtfExsRSkB/tMascgX+qeZwupW1uO0eJ9F7GzituKPGO60yiydrP+0iXGMTL+
9KXYi8U5DszVNSJgrsB8NKAsVl3NEeiOn3wJfn1bYwjNNgxIj4XaD84FR/M5EeU5arpzZsuglupC
2QKf+eAjnHjAbdXdYIzENsUjUD4q3FSbeLbatnW7i9mar8JlT7oLpd7kfkMe/qmLiAac7UjUALkv
beOUD+V34dUvHEzhXAybCvSa+h/KaEDL8dZdqn/d7dIhKo5GljyrVFGBQrJ1puLdqYqbyD0jIBZ1
LiJypL327KfAnVI+GLVs6oE3GPiZzd1XIbLUrZhICDjGR9gJ1JSch9Sp2D2qrYFVkufVsYI6Zdd5
6HUDYh0+UsJfkw42H8+Fx+dUzOqvcAoLl4teQqO/ySS5ukb7F5OFWGlLB14h+RQMOmkxPE/o88J1
d31MlnRyl5fI5r2ViJp+Z3Rr7nKe3b0Y5HfykQ530+1SElrENMS2tnXyitTuUvR40jLXodOezGa+
YP+uM8t4cv3P0Vqot1eB3ttvTurdG+YkYnK2BtPmdKUQCA2Ifxj6bP391IddRiVg6pI3lpl9SWuk
bK/RkH/VGfns+mnSTb4bxcFAQekgmuqtCrWoXdfE7ksa+yWuqxNNG6dOjiZx7cE7DJnB+tJED3ND
Tmvsdq4pX/PMPCgqESrlpeIPG41UarTQeQMIYeIHt/ZrE02PravVxBR6bzVG+gaDtDG0f/RkAmQR
+mLp72xZlzmbTnpzG4HIxXnMh5he9K44UJTcsVE+aPqyW8byYaQk5iuTIjLoWMu5Lx2EZjB4WBr8
wgzymOE3QwgeO2TnvPgZ7apGFm/2Ax7CYHY/jHmH0mK+aOp7DcS6mca4bUVPrF570sWybxL55vQz
LBOKdKR4NbmeSTiJxn1y23lHq4sg2J6ajs1JGXOeAB9ol7+lKCG3LJu2n9e1BDK6MMwWx2p+40Vx
4CXxF8EaEbW28vTX1PNJjZIUVOwQFNL8xn/1eHGxOIeZr/q1k4m3fB63iTR2mdnvnSHfaF0eGDNv
Cfxsj+nDoPek/HOS2mE+ek8W8sds4cK3X1m9hGnk80R7Z+aXvd1Fqzga11aZfjGLraxOC0wytxax
2hrRrGESzKUWyjlf27WxSQhO6wR4DcWaV8+w53T/tdf0X/Ih26JkQHZqbEyATUdR+JskRjpvpgvZ
tlNvI+rYRG06oBjStNYcfGGbuvTPR+ghi3aqLP/WE7Edkop6iPNvrujXD0uIPL3PNEneJOMBEI22
XuxDnuMztvo68S/aZL2bKRFgb6DqSQHF1TauaAMFBaKK/Q1eR0gPDJX4l62A97fcGp35Nw7RsUXy
1LRXD8hIKOrpYpXqYBGPqJDaJCHRFbnRh8kdT71TP7WZtU76/JRVRPIr89/dCklncZks4zYbcieN
ZCsqc7t0A2Z9Foywopy52xeTT2NQrjMC1osdH4y0PHTRVzTnD7zgsPlgUtSSodF+8g2DILZc82vf
TCu9Ilp+aFPWrmIXIY0ODIK/tS5Y/5u53LhxF0TTq6KWN9sgDuyFBMaU0VKw1pWqj6JJYWUI4mmj
xcDRxmTsAPAQMs0J1MWLhSk8BBJFBSe0xI5JM/NtBoi5wgTGPOaxiz5qSXF7eLynnFpqPUrwFXZe
oD+RuNJFQMR47SMUiHIr7XbrM5EOaG1h5J0FrkDXn011TvOvpuMkamRgen8mCCSLg8mMqi8xswRN
nREuRnagW/eZTP6+RERn/J0ey858rzSHmY5IQ4H+lerqVGVe4DrHUhMbu7sM9DMs/R8EpIeusNaj
cv8qqg/AsmHL4KVBr5Btf5qsbyujbp/P6wwug4qilZn8DbUiKd1jhv6xxNHbbX/SjE5r5J4ckIBa
14dl16CAJeeCadwj/s3en0iT0RfKFTWtEw2zHSIv+DXOvD7vDhH7lee22zzbR3oSkmjgBOebZYuj
6t77tgy1lnJeIYYXfD1Y4en8MBbmt9PyXl6G6oE5+CMmd604CzgSKL56FiOs0wxfhd1eLO1evGwC
23OhaETfjiSyZicNc5FTBQPELd8m9Ffwp9aTMoiHjPLi8DT3+WuZ2eHQ3uXqHDoEeRcjBSLVJbeG
fzUQykdV1qeYP+gkSGLTbifRgqbBada6Hg3naxx91+kHb6bAujt4tofpbxF14nAZFn6uZVBbu0zu
f1R1m1PjM0F6XwHD/bUbneSse0dj0H1PYsapvv6SOv16IS6N3XykhvdpD2/o1vpaqGgbZfqmtJMb
qttn4j3OMv/rlXqV5bbjxU7RAmrHB1CyjWATqtNn+GAf+iRPvtGFUWV89an/r4tqjrGj5CBoi+hX
082dhLplu63Y6j2IIgcUT+DDcA8ptPNqK4FH5Kc4YhyTmnqgeJZevVlFn+39kczL/jVNTY8wIUYh
wTGFPizStVd41VNfa2WIraFCWxkJGR2hU7vsvKNde9Ze1D1UDghU6z43j8SaIsFXIeH7K4ljSHqE
YWP1cDRclntC4+AlTGAfudtTqC+a+Kh0uyHl3zfBbJhUSjRLkd71vojFfy0qx8Px609X8OGVxl3S
FtW1bKp8E7nqa7IN2n4+TqA2U2mWs2utUhW/Do3Df9MGcOKiOS+zM2wbCwm0y3owY+Z8TAZt2Nsa
8R8khmqj3YFOfQPQEtnuMhn43u5QFEEsMSgcJsrRTjckB/i/KXGyiEE+jsq7emPqIqOWJqNYs44E
ncNkMNJVpqTYeslyclAOOWkp6Q7VuB0754v8fcfE2V+gm5Rs9SToOjdGG5TfIB+BGBj8BlaxKek5
lxhOKxEbF5H7T6ONeG07u7zG48pmmtS9g63uDc+eHHa1zr8CUbVOxcbx2nDu5R6k05eHUOKih2Rd
dNE0rFN1r/0M5slvh7txpb0UDJRL44b43x0KUf9NlBETaQySQiDrUK2y5AP/12TZ+ZvGkZmuhtqm
ptIv3/nMF6Zdknm9lOy2kwFAJfFK3L65pReoXyzh7fl4/oGmcihganvpFE8TKKjRVU/oZHLduoCu
TJv2PykP1NW83tiiOLkVwhi25stExtHO51vaIThkBBCD2SqIyXnDvkwXHye2ZiD0ne92XJxLWVbo
XlFbbcbRjQOwMuHCcZQCCvPN6ujpTK1d0v2LMg72hB06WKzixejz33SZz1nR0VDsr4PQn3Wv+mct
6v4aQhfzDYsO2Vj/OKZGfl4me9oFYd1an5FHCcOyqcH7GS5V2lhEhctfI3UMcoJ0FbqKyaCSSMoW
WULZOtQV6XI4/rIXiSJAUPTzfk6bx9pJzkTb/y2WIQ6spd/8XX+MstbBk9PANsSFnNznXdyq7mMJ
mFz0pzZIGvgMwLDTQLlG4JPURVP1olVGKSSYkikJkmz6NPrl1lFHm5flK78XwJto2DRwTkN49A9V
lZ9FyjHHFpOuxjIFFDQsOanKeAMusSeEAMawNuZsIzIoFAancmDx1VplffXVR+J54cst+WLzKQKi
6gVfxsQ0jf1gIgZPBPfxAgm/SQsQx+zovyW59bXq6Lzwrnzz685dkSMjJpjBk2HhXfcC6Rq6LJAw
emjE639TScymmdwGRBtVL7eBplUSsMgKe9eV8y8KwLRrO0EdKxufoPjucLpZj/K9RjoRrNoUdneN
0yo0xHlyIYBmDhhfX4XlrWv+Aw0/oivTzPhpaRgVhTonbknx3YBREo06o/fd05+EcbIBL4WLHCcO
BUHLl83ZzThwzVzb4O5sklHn7VzYx8yO+22k6pdqLr48n3prWRvboq9Z52cGzDF+MBs2OLOxVxNo
lCA2Sna+fNw4UfS6KOexl86PHHxeUlVYFPIytvVn05N9rDRsyJIsYpqx4wjxXBMpg6MjrXDqbBWY
SaQR46+OTRk9EMI/tbM4Zq2xM63BRVr+sGxD3xTKeQY79zp6BC+I/lylGn7yIXlUQ7+XmXvOMiSe
ktD7vb5lJcalTdFChCi2aT089ob12ZXxbZnGN6MRN3R95lDdPOKUbvReQ2P2/wnStvtk6uZQCWTe
NDOG3eKRiC+WrZnov1haq8y+Ix3pbdN4psFpr1QVN7T64Q7OXQwfIGOu4bCMrGHf1SoOyAt+sIWZ
dI2o/zlm81XnmE96xjmJK/YwT+U1y+7j4UL8VBcw+rKWhyOz20eZe+XGx4FMhdTD3OWNo5Ew0L3s
gYxyvHLL0g1EnxLIti1umpHTO3ydbEWL8kPEdPQXQB5235XEk3tqRO7obuK2KQNVmc26TaY9z6kV
4NA/N8Ij+ICYatMaWucjD2AVKb7SPQ0fKtixii8cRIcuE99el5/mnEIAJCIYSIU/rqNGRpukJvis
C8I7Yj6mXMBhePXfoiPOK5dBFUIn2XWwLfsoVueOfz52+B6duY9qR+20Eca1a8P3MhvIp3c3bcng
WTUZurom+6OCYxmmdvc4Of3BBAm18I0njLOFhJHiQI7H0nTKNewyOjtZ+8BqgTWredesEv8Ms0tC
h9t/EK41xtDorj3hFex6h3d0NXLOqrzncJIwgBBe0/Vgu9ck4ZyBH7HLfJ7JDssnIvFDZorZcB7X
Sed/dJp9c0HZRGl0psO0c1P9yS/Tg63hMlRagZ0L4poqmHHtovQ4AStdjYpNtXaKsOgrwAwCSadB
DaJmREoq/WzIXyxs3Focf+sjsKFZcGIhbxPEFHumcJzYeUifew+4SOHKd1miilJRWw/86uU9pKuG
EbGmQIdlPcwcRbNdjdlG57rCIIm7ftf50Dxp6rSnWB9ZwWuSOaNLUMyeIvdCONzdtVF9gv3+JIRl
bAzpvPqZp9OSBpy29A5EQkGrpUpBVY6y0cO+tDLS3yz3rr7UAE6iP38A1cNsHhC3zTeZgQZMz5Nc
Y3PnIqCC1jYnzdRqnGT9ta0ntuf4LUPGqTPns+YmpZVFDD+X/sYirRCYRXmWRf5GkIqPpt3ZwNMS
smODwXpkkhNIOPPJgS+q3/Wu9rJ44jK61hsX9q1sfH9v0d8V+Kq8SoEIC/esK7VmBNlMbb5exiFU
pYX0nd3j626O0Qjcsanq1w5EXt3ShrQT/bOvpz1o773ZuO/NpD64LFGHpDLgymvWa5kDI7UyYezS
Gsm6qOI7L1bhiRjmuPYmAbzEr0+jCf0idptV21YfmA0PI+LwKsbng/mnP+cJA2Lt2K9L1T13TAWW
7PaaC9qjW3b35TOr0hct0R5obL8miXOOfI39vj9aiXkS7aOrUKDYcu54gcCoq6OhwYEY7S3V0mVV
o9oGHXAjIH0bq53PjqQ7l5bzV1w9+1n7WkflDif3MBTLlVs92XSAbOQgzB0NxRc5ruzRLRmzhsR9
5Zlqg4koqqCAht4VXRZbvXudnOgO2n92A4o2ZgfTEV3xJcAoZw4rvhXwaMdHQo7NPaX9Ohbxo8qj
Y4JPOMBjUYqNKCbhMohXzy7+5SrZRHr50KMj9MMXN12dLVBRWe7dkIQe+8Intorn0ne7YfjCAV6l
tc4cx7ZoLaeoqLiox+u/K5TcUBPaI0IdednsRu4jKOSncsFeKePVxndP9elUNf2hden3gABbyYE0
B9lqOmKnqtO/I52cjMdL2DL7l6FyACnDaoRMEE8MpH73hwrdjvaehOUq8u2NcLuwWsifzYV71DhM
a8rMhLge4pFrN6b0VPpym+hm0Fadw3FrwXGJyreoHm6m5hwK8jXJqN0g6sHZtB8nBhb0XI/vqsd4
UA5klmQH7bFtkzCydN79g7K3vc06K/ttYqIItNktIubQSXlI/D5EMUGIrQMtqrfL5MEh/GwM+0rN
bEfF9DO6Z47Iye+5ZeHRBfnra/OLRcTPkl86appRkyImodMZCxgNx6TlQIy5jHfFyJOiYv73U8j9
AqG2xIgi8t2tLj5v3DiOQ8uClND/VDRUGYFrkuxLeht76wuFBmV47r+ZGp5pk4aQkLeU9a6d660r
1700hfuP9gVgD3WoR+2XsXXN5WcIJ951giU4Dv2mdHw+cBna0RyUHMN0eZe1s1h7B/2Q1ZK5iaxT
nP+JnKa2SgmXImMs+XRwuVPqvgy+NuxRvMs3hjNuDS87RBbNLVe7WCSHC25iYuohtKk/j9K8S8Kc
EPAmjIzYeoYeAfbMnrZ1NJ16i2GzUt65x9IfK/0JWifdVivHN15OLic95nkeNhlPPD/EdiwgilQm
6MCFQWzpps++cbaWtjApass7lRCkWrHTWu1ED/ppIgkR0yPDjVVJCNZzR5L4qNw+UFl7i2fSY3rJ
8jH+mcwDgTOTH2iacpfU0dkgTUZT7Fj51bH1wbRGZc8uzvUbGBdDxm1DQIzzEmi8K9ydHRk7z6R4
zEViPUTePjDaItBmqmh4ITC5Wp5mSce0Fhr0InmcoVOGQvXvcdXekmLgyJmZcLj6ZasVvBadcjgl
Its3TOY1QMXGAazn8Vp2TaLuBkIjrOZ8jbj+VqY6mBXXDiYf2EOZK7EuEiGObK0vtmFRzSeAxpuH
RlMeJJT8A38hPV+Nn5asLpOrCHO3q8ETD+RUu5WQEPeSpn2qU/9Tlf4cjFn0kjrAdGpWAT8513c0
OZ33Hcf3K6p0GLncg+SqQzdaV8YGlneNY1Vb+eX0UEEEpEznGlBnSV9O2nS0CI2xq4cVhtlUg0N2
vm0AI3UJCoQAzMJ0V5HryyFleM96+QoKgm+ZR3e/PcqWZR//UifileQ32jfwkVC04bFBNKrYlkq9
2o1Ld/Sc/tknDne/qgoxW7UXpJ0MWFDCxgata2aeQox1fN62flldUTyrVU8GVCXZUSaKICYfEYoB
FcHavkUaDNwKSlhvuACzkleG1cDozfVoqA+DWZfoJSeb6VPdGRtN7ckeblOS7qvSSajK2JB0kt5/
iqmYOLl2q7PyCjV5YtAUT6mhQ3xwfpSR7scWw80FC4vTPTGKEf9IJofLl7x2PdTDHdWI8TIb2ynX
0qB0f2Gbc3pxyli8Tes8PwySaUF8Yk6uuzZDHfwHVj/kBRNEhX6aG9B53GOyHts7U9s9R3aGft1q
jwvEopVPQCWMkrkKdTHcbNd8XAbiOZFrXfzaZxF3NKazLDrYOMwDed2wN7yNPzWcvwtbofOsi+S5
dJDb6rYDLuLAL1T3K7PEbH07M29mQskhRBAe7EVnErbalFmxuuqeSSTb+GmR6U1vWtNNxR6ltzTT
QG8batq59VBn0ttqkXctlIzXjKKXpPC2+kD2Ct/gX9zQP4On/9JquQeEoc2DtkyA0+T64zSmT5Ft
P5DC32ZJyvRAEAx1rdtaOTPN0LO3pTX4l35EGCnVayX831pV7AKITh1hoyrBwo1tfrIKxBdJdTum
UwydrrKfHGTboMrRTlxrIHeRvFAU+0mKYtMCEutr61mU7qvPkrESZgL+qd0BqX10744tKyanc/Hh
a8aLcs3vQfcelDYzWkbHhVoZqghl94mWhlNzrUKErN3b0IMz0aCDjtMlHewXfD7cg4S6QOn8OvMD
zQsQwi3FDa5nQ2SOsndntp+ayjxHabaneBlKh5ghRpE1TuT2+Rl04zamxq7goI77u6vRtSxu/HEE
w3LUceDZ2rrwrI0+OdANQAMptXAuEUWR4VIaL/VC38CNui3VfOb7KExs1gngwvrUfhAFmXm0Pgwr
CrzO22F8WlshEIzGOD4li8ELMUbSxo25SV6FqZHA5lOHIiqR78XVtSoeIJ2lp2V2mb3lnFR3Gqvz
2Fn9aWiIWvlcJ1BhiRfD/NvyXZZLRrDK0Hl76rfO5FWA9vBuL9xyIXrtgV0yjHSN7HzRBzMNbKVf
y0kECBzVPcgUaNMYTrzUMoLCUTKevdQ8WZO/IwoRGhbgI+FeIkvjm+1wNOfY58ju44hmQ74wRf1O
0QVYLIxdROgsqYaNZ14TEv/xCChECGbZyDXfaOU+IpNlJ+pk1dHv/H/2bO4o1R8oAVI+jHI6E0Tw
nB+zUds5gknOjWj7qckYCfILWJRfkh+85rXofbSIStJJWYI+bW9D1F2X6L1J1TnP5ltcTFejzeTG
FfAyPK28ZN28FjFBu9xkbsYGn3T96LRziZ6WQ5KpvMACJypKouqUCcJIySVUC9Up3X9qF7mmKbOe
LZfPbkrXpRqfTYcmXy1bDCUrIbvflX+mM1y72Ii2TTQzSZCGpYtVkpkml4/M1RA7XhxmVucaq+ZH
T3kboNOxpfuJsyJ6vbFNeYq97jsWRMp8rwq62C1ZQ/j98b79sf9oBqMAGynWLO473TDKlUbEsS7L
TzpgDIsN8yRP6BPq95W/RAAy5TDcpw8T48zrd67hH+8x3EmKjeUQV/HttfDlp0Y+Vu+H/dQ1J79P
v1DN9mnVoojgdtmWkYSmNm1VVz/Att77AN/bxL6SvzQCnQYwFrymb9AefhuyGJpnVkyw9XYwjZ1F
gFLidWotrm/lzwZYke5rmPdSUFwxFr60MfeZxBN4n3Hv2NWtUMmdEkKYXnFBSo7jj2hMQAWycOa2
m6bxdnq9sWL6teLHiAgM8hvZO0QhL9BaG6gV8Fc1aQQYAFcO1vM8ERbvy4c4Ap+WtS9YfYTr4PVS
rTWi4mmc1dNi2s9Ebbeam+/dGKWfMPXAs+IX6qQmBjM7NX/p85IYnh6HiIWUk36T8ajqLdHA+4SX
2YMfCMVbl0+cCoWtVUyryVqXCy8D7mjx2lGDe57xA3EXApK4Q7XRo2y+NF++IcqASyLuWOCOF1wt
+cvhUgumW4guKx/nFFcAAlvJcZ7K7tfmXMaGEB/CAJTRRVe/j1/Z33b9Yj8uiXnWqCsBz9d4wzNq
aZR1AkOO7+19MSVyc3MkESB6Vh/piMxiFM+1zyfpVHg47rgiRcas8muytXRZbG/TmOrTrAVRSR/J
1NxbpbgXBebdd1f16ymdwoK7Kqkdp1xdoVUU38nvQBNcTzPMsJG6b9KQz0q+S0HOMNMg7+MC9ryL
DVcPYtdg5qvXrplxbxM2iFp6/Glif3bvwwluccFyXrZ6nZ2mmKZQnalToYr1YkVsZbyB25wPeRLn
frD2FpwYkXAdT5pDfoya/NhrRAWVxWhocn0Kupj31VATGqzxSMaoJj4ygKRP7lFvKbm7CbayN9nP
5ehfjZpjOE7IBHMhgXbhdhKfOaE9waA62RQAq6k9DCadAr0hevMPLTvQdBTu3PhkUSeYpdHjgcJ8
nUX/w7V/La1iiBN2rL17s/Nc1hOjT2ev1VhsqPySnZMk2DNn6zN0riies0iN7j8qwK/VEr2VRvej
IjQxFJaDGH5aEyHYypPtgkUfUZIUIzmLNHW4VkNMf1J+aAvNBM97lmwg0s+35WIfzem5dHlPGcTH
x5SV2PWNE/+Da9Qzw5NbuTj69DkU3hvFTyJFMEi2djrzHKb6e5Ybj+Psnr1u/Eu4A4dT2qsOdmS/
1F79M+s00uu7/WXy140jiAtJciwnmpaOv/NYNgb4/U2LN1P15iaR4g0Mxy8120NuPtj0/KV/hBv0
LtEVRO/+i1LtQfJHbuf54GTWba45tdt8Hwk+ABeJCNJpF+sXlxtrB608pxOGK2Ps4nUhvGQeQASu
tA315dXBWdcNc2v1yPfaUSWPDb+dQeQxY4byJ6oY0Q4C0v3IowjpBiZZzKxq+NEfCkiUCuuxIpVa
Eotdih19HTpl86ajbz8l437StDDu2NIINo8GR9bSrIVevPj3lAyHnMHmtlCNKxCVZYdniRUcmG0f
DLH1pCPhyyJbE9ia4q/x3tyqXgXjCZgSvuf2teEWlR6WIg/Mmz5nh+WeJNTKbe4QxDfn+DSkX3aG
M8zXquGqArTXodZ27lzyxvO2lS3P1mKdPesfbQw++WxV0G5VJhuMK1et+5bhHTg2ubn4n7f4AeSq
F1U4X1jxXlzcw/TQJLl3ZTd27qZvqZl7PZKc+MaFDrO53+aoHHr8Le9sc3/iBlFs7v5lRH1SvAEr
zd3lqY1Qk7OaRNvc5HmXzFW6+HJ4y3D5Dj9aQuUQIwNV6Q2AxVnKeqO4iLWrNrbrbmbgtPecN0l3
sAPlukP3Ky2cTNe/Y0lXM1q4N4pADHR7m/KgYVAUbbtvsPmrO8w3ttGXtP3IlVstEtvgnTJi6wYB
v95HLQHcNWG24+ERWWE3YDaq5bc0yTfE1DERjOJoQxyPNmq8bbXhIPQPWxIQWMxVBT4pNQlHdh+a
eYJxyscPBGB8UTRhRg5DGuSMn/tKQYulIgomD6I2pzOv+M7otg3cTaiqD0P1VmqUprmvLUySU9da
RGvNf43itcdrpS4R5LkvecDIVc9iOBXTs5x2OsU2f9otwz6bm9DWoFjICDWH145bbLMxX1fxj/cf
R+e13Ki2RdEvooocXiVAOVmWHF4ou22Tc9jA15/BeTtVt2/bLcHeK8w5JvOJFO6IMb8QbOHLEn3D
Ak0390BIzrZe+CZiBScKP205PE6F9qdDIp8cCM6SUqx7tXfDPgRXqrwaeckUuXEIXrCQPPXDj865
GSJIkofMI4WRc72b/LxmcD+qWHMbEhJoQkPsgdUeYMlRs+2rkU80UCmO0vKnaaZLO54kgDvGEBxU
U/LGWFqroMdidrjj1Gxa7l5d3OkXEu3bJiJZMJdjNlcJnSpM8QRkO3pskDPUs6LGj8mQO+fFZpk7
L3OglgSLqt8xjmT9YXsMxrGcVEdIlp0uVmkIo1FSXBu/UTnnlBXWdu6+OofBp+HshLjFHUw3ZE0p
7nQKJubrc+0rvEV2mx9bPKL6OYyg+tX0+Epn3XBcE41w6er9IL+qvItK7OqSz4HDlP4rCaEdK29N
uZMiMnjETVBehNexfRTpudNVghOWvcU/FEyrinWQrXjhsjSwdU/pULgZz4TtDJZIY8y2qmBNn8MF
TmQ37vXVaC1NJ5ESZee3oe7NAGNVZOQ5AnkZ2lnIAgNGEa/LP30AJpZiVV6o0tFEXKL8ohdEHVhH
2fLpkhZmvRJ9z81bRUMUzozqqCHHiE83AYiFc01Ca1XvbC4IDRG/0Pxl/qnkn6jrsvpYTV8FOuoK
j9cc/tmfQYXVMz4XdKeMgm1kiwqXIMgAEEJrAziF6VnjZywD2r6wXTFHn+00kzOcdBvRbMA5hvXJ
WsDhYMESqGXADU2aRKPyc/u1zV7Nxh0QIJtAefB/0yccjfBXx/inEUnWzu4gIYFxzoQMe1047g0U
MZKOST4t9iU3RZc7hBc0zBxHryGdp9EczglsPJgSQw2PD8tYBppeHXHXU38S1UcRtytVzwl+TIPE
vPSsOtpmtKV1zgzDZn89GYvMl1i/OT/qzo53jsEz7v+aQSDmANV8cyKArGq6Rea7b2Ooz2b6Wybk
bJfNby8Z8AdlNABj3SHiw0Ce58rLMrMm2iOiGYsiQA2z+NZDcPYlfFIiw0YfeNPedsKHoyJAMqzk
yj4fpgAYGzgaMT6QcrS2pMq5OeMCyj5Xi+ndbJ9EtGi6dYEAsfyqV8jycCIMxWpW7xmwykZOPLjV
uP5hTfbmPmq1tdx0V4tKki3EGxm9gFcNpnfxLpcvtgzR8bUzruFwYiq1UmmLpZm4mvlzZCPV69Ip
LT8GBSsE2kBcWbkRv7UTZ3sFss2sDsZwlxLJs9FBwh10u9jam2gaoZbRNrnCeJdxEiBEgWO0ymnS
mLXo5TY33wGCWwFu5MYtmHQW5UcnvbXoRZS49SxpRkyDfxB6b0gIlby8ZdwX4b2Knob8LpuHJjgP
ImReeZ6gOHfY9iq2YG4CvE+Z9tSrpsX+jumw/i9Fq72sOCBkssB7JfqVpUC6awfHV1PeXYJwcnyv
BkE8mf7azxvdeSmJPoIyijSy3Kk4uAf9n1KPmF/PegIbaEOczcmZPwSOViRIHvwwNwZi3dOAM/As
jPOE1DF+WPYuU+52+Q7I1DBNT8B6NO1tEtxNHkAj2c2Kj1yHMQSiDlt5JxGT2QX6Evaq+0V/uIh8
RbgdRni4pGA9YudsslDHzeL0mTv2PmM3I/E1BL0aK88YM2/3EpC9ZKAkdbJjVBMt4bUExvCECvyz
gbB8/EfHigsVZsRyV68ycAsk6zGzM3wlmV6cspcgPQMbMzUuLzu03xkjCAIVeH8YRwYx1mV0uThr
ncesDTcZKKYyMKSTun3fpPtaYFipLmVe0rff2dTvAehfcyA2USmvx3heA/NhoFCtIvafSup85igy
LSpg4I8M8C1Xn04sAsHuKsQk8D20EDPjxjdI72NUoDXPGmBVu2uJzZqlq9CPYf0q2suIHTLbFFnh
22r2L454UKWuPIwSniyAf2x21xriyyDTNlByPydicIhQM/1UTjcFAnsL3bwzIFZMlGOXp382NonW
EDcKu71ExE2DfZ1rnm2Usi3Ykwmm42F2bCqxH1qyVCQGc6qNsXzqoBHX+KXGNX/PrpN/dFt25dgE
iUURVE0/sya/DMXwnO34pLTzxpQYqA01p26pfYdEdIeAvubcWOkSgGvW7HhUoAUHnC8WqTgimJGn
JSo+ut9Qqq795CmMKbqPkV2v6axiFQ4AMYssUqZdVmMmeQQV9dLkdlN90Qj8LZhG0iwDsNkGU+IR
40M45HbOxRchiMhOED23hSdZwz4lliDs8jdbntZCIYhym7QDx6tYNUV/bROQ1bytJ7h/TNJymcmf
7LaoPVmYvucSgn/N2PQyHFX9d6gOM1W2lZ/mWd2YDHXs6SgplTfUlxBojJAIwsLcwO56SGSkrO05
w91EeEGgAo/dS4Ff0hSmk3ZEyboV1QWfPCcKaVMd4qgZeUBsiDtScncgLKruGMWl8lUxxWbo6gec
s6OBCkxpUfpbDwyS2ZJWSYurosAwNOlWOdJT71lqUZAFarRN4YEV4ooz5UeXnGtZjZSIOWASovTG
cK1ZULwmHlbYLVRM0EUQsQUuxfELe1S4AAsSKNpoMZypRt8xw/fIISIH8q9nKBm17zIVxIjHCa2Y
E+116b1gd9NI/8RY7FT5xwQRnAliG5hINNVpqJ5w8nm5KfP1YC9i86iyKMZbu5kEeHQm7oPNmcn8
MhZrx1L9YiG/g8ou+GPRnIDImPxaR+zWd9t8xHLdRDvSqV4TPXiJu1Nfzb4a/nACIQHHcyGQAc50
VaQU82oog3Q0dH2Xw8/ph1vHJSHfi8ba8e7L9j+ZYjDv3tvmWRp8d9kubR4R5viY+jMJsPLU4WuA
+jdDg4tEwksNgXi8/ysWNoKIKKHg+VLdInjKgIw3mQ4T1XPoy82qYt46kLZgurWG1Up84OCM1H0T
KlxF0g7P0lgxJkXsrVdvU/ScQ8KBQnqRiL4wvxIhxo/QvJqvGezmpe9QI8zI6u19SwcTY2uLNYyN
6QvGOb6ezAswUA4Dn5QYyYskN0lxXkbDnZJHp+6GYqJRv0kl7akibYCdemipLKk75RFa3pzW3dDe
Aj5qdKBF8W1bNxuYX42GoSgvI2tBJ3u29Uerzm5r8mSP7yLZtyiqKqLgWDbw20y/yMgxFhicINZ2
uXPtpNmSnrz0XFQtBE5znTXuJJA2C7EyYKaxkl3LDsgp7Fjx1PoV2OFuYtuHg5QARyx6M0k/6nZJ
Pgmk0k9QmdPq00oBIrDLQ2pXm6oxNwF2fVmTTwghX7klwMdJ7IkndF/xTvSal6bBuq+ZtkTNusCP
tayuMJW49KHoeU9Wb9xi8NsK6h/bGLc5L3jJCTRDupsllZAYfY9dbQt65YjAcCcHlF1V+sSAdI+J
B4TTux7nwa0nBx4Mg19IWRHJWVHTrYhX9eIMNwZvW6UywTSxtfLal8OPTLnL5YK+qA12IOrdDvFP
MmMuSJUtBOPdkDs32fk0kvgSEZYQCmlbGTDFG0pcDW4BN/yk5/SeMmRZ2c1xF2pJDFoqwI44uXVo
3xOLszEGyxIkGyzjR9ypOxO39dpCfnWZA7bBSoGqhbLLjJP3wbQYcVh0C/VEIgbrqnDV2Rl4wiz9
rcHPFj2gwyE+per4mBFWpVZB1mZ9UTFb5n220XvtS0ow/BTPxphfs+y3KULEWuJtFGQSK9o5xB5e
a8lBjsKLEO2uM5y/cHTeIna0TSXznSzXxxWemhemL23OcWnIP+xPfjtlcG1T8fpJEPJX7WHqwyuq
kR7WyACeRYm80FmmozZFWzsD+7bmTZP2HgoM19bzwzD057Krn83UMHY6pjpwYyQDDsgsw/QBzkvS
ALWl2NvMlaJyukdM0sii31iWfOsJB50pXFt5YO6rvWCr2cBgY4T9XuXXwWTt7+w5sNE7TYoHsNw3
hfB0ymbOk+805nfk4AUd9wvM4JJGmDEx1+saTzqzh4Tfw6ZEyYZi29v6KVUWW+FJEc6AzUmlRgZ0
J31H2KJ4r6yPGUl7p35RAWUkL1j5z4TgNkskNxqzR8dhEinJB4RODkFMJXJorWLgciZ/ZaK+IRdi
wPHbGayMrYxGMqYXM8x9Pz8B6v3f8Ewj5kMlPUeBh973N+SjF728NrjEsLcDEKG2toxk02C0KuGo
lIUCSv7fkL2ORJsNZu2rWNpEYCJZJHhAZ6Nlm6dxKi9NmblJbeIlxHFbNvu5bYFl6oAqCc8Yu+eA
f6yQg7OYK09hlsqddAQ97FoN87UquqqMNOxc+mWU+TTSR+L8xPUjkcCbBgb5ZvCvFUGt27r6fJkq
AyNbB7IIIp0uf1Ua91mKVt1QcA/wts9wPg3GBwXiDGtq3NIq/NoiR8VJttwgrpgJDUyHYxyr+7TD
WiduiBl2evRYgjtImuSjjanPUg9B0iXOEJT3xMw077EMUqAfCX/r4DYsw5/wKMW9V6cOOh71Fqb1
VmU0v3CIgoHOaAJXgUlYlfbCpnrotb0Rs4jNIkBXDh01FZoet6TdUArQ9AP4NRTKpsL2TW46icRE
AuT+gOPzklVelpnEmMwx1vF92iNxJ1yoLkPPCDHJAEo79ZmBVT71nEqDvxn6CGba3oB6wcyWrOox
vzH5ekmDDr+A9WpmyyHEzpOfWCNga429wVxPdcyNMssfcrBQZgw2gEBapI4uP0HLl/IrdBJa5rxX
brKR7eW+/03nFr7R8J3i66OahmUUjcgaxhyycKql5mrop3/QBG/O2J8Fv+U6nzPEGxg/F4U8Bb00
L9wIYDh5bviN1Ux8CGn2iiKuvRTTFFyiunzYOtHdiu6R9s1Vn9f3DBIWgUfdZ68BYCCbjiOiCJDq
pdrrFIU/GN+eUpT+QgN5Mob4HeeI2lvh9KwFiJiY2DnPqqlfk0r5Fv1IW6CxHCon0XtaLXAvi7kF
ZZ4aG+BqhwkkdsBXXTU9kmijqejcy2zjGNgP4vFiRkmLN0T60bT0StBNvJnjkeVW8JLTvbgtH+xa
6GWFwSOEt5LqD1Vw+E4C8ypgT2XjTKQ9GItqWisCcnL4NxMJTb6j4vQYjDgg6lb9q1JMbWGmoV4Z
xNnCVs/c0sLSIZvSeigVB316dZeZWC9ToasKoW0NaZJHxTA+wnja2Glw7YvMD+dy3zXyNlI5fQv1
1aakVApto47WGVu/5SoKIBszRSuuvzQa43syuVa6qP9KGSh5qD5DGK/46SP40vhGDVnaR03x2lL0
rnINbgSGPU2INzlJofek00OT40fe6KZb9CZXOWzCGHpDqvQHzKLQTTt0jNamWELGUyu8GDbqIscC
bsvCtJTZCRq5xFDcwvGRHgeSbeNJHM1m2LOw2YK0LjdJPr/FJfZwsPdY3yx3CKU1ekPftocXkTF6
DCr0x8aXLeorhjJPS5yrPDI0GhGEgFMP0vEDRcqxKlsmMIh5GUlqkUWIW/MkH+GUdc3NUGhIMV1i
QpetozrOLB1VfyQ9u1m4UhxxzEMegpE7zpeXUu/AJcjKtm7MrdDZNjCj4D6rKz7hPr/bYXgbYqQm
jWofyjb7jmIGxy2JTD0jgGj+YxfyqdfkK4ve7bTqbTCIvYo0ZmmpcS+1+T6NrMoAbpBGYaZHKeDE
IRnXMTWF+it4I5/spikTQ+n0Yub5c8iik+jCr4WtpInx2DD+JGxjF5Zz5Wt97wcqo4CabW8hey0Z
YlqsnCs1/GPuCo9r3BmyvmuRjuIFzV0xatWq7SgpcgqdqJcYBcrnVLE5hdQtcBmsC2jPKu5XEm+b
xt4lbGpzadyDtNo2UesCUEEY2FGjskVAwnSUJHgAmfmobZYPaoqpaWljKpq4fLIuk5rSesWbFroA
EYKEb5isaYtdMCl7Ejp8u8qgrUNOcuA5svxh6yOnL7Ma+EUFEmP4V8dk1YktmgRvrPD8cfsRQrjK
7GwN9mFoqH1RIzK/OCE13xCVtCtt9WIa3Svwp9045DfSnV2DKjPsc79XpGtW/8bIywYDFTjenM3C
F46C4mZP2YWTaavG/WGUQW6wjpFK69mn0rYp79b8bmAWkftXWZZ8wgg+bWnJKbRehHqFWHwONYgE
Q3IQbPpEgruSlgAR/nqerFutpV5k5tD1CIo0kT3MKIQSu9pb04T0t1w7znHBWBEW7eL7cTsLswF1
YOHEG1WyKAyJgqh77ncdGZ95DONvdRnTSfVewzyGCKd1vouJ7KIO3hrLhyjSPGuiwOJlLGAdJg47
M4ffh2GJ/jKH9Els9krnTWY93DAzYAjN80wAuazvuyA4FbZG0BdoFG7R3qw2soq9IfjNe8cfM92v
NWlDYtOWOAuvsHBr6ypDI3zqDnPwlMnd0huV3JLU+3xpf1pVfmUSOqx+spHgnmSLWBE8ggCjgjnd
hgGz6XTixa7+qB13jfJQ82JLZsWqNRE/RF6dpccG0LucfqXFs2qVtTTpH9p4nHBihhifDDLZU1T/
ZCKtC0EJXTOIRFvE1eKDrsNR8xpDDC/Qy8Yy0fasXroWW0ICNKTU6AMZG4NjrFRgXVnTv6iIq2QF
/nk27p0pwj0xrhUpp2trEBIgeIbgZGtHO/+wmaiT/cMEtPBAL4TZTZmzjUxbpy24siU4JBPMSUpq
NCiIJWyMkSq3aFV/kdo0ggMcD8UEeaX7Zw4PhVlvb96XUVNvE+JIMlxoOEfiNbaaLK1nJzo01P0l
NpKQuK+g/1crh1QYbot0z5j/kUi5DmXlRyWzfpXMjAzZrtUBm+UOzIiZu5MSfitp9KIYwivi5BjP
9SmfoeWN3PVNsCuc3LNDnN7xH5KrRFQ3c2j+SSEhUsKhGkhY5eJTYTRFWsTBtok3xq+FT3BnV9pm
QLk3Wncd3BAAA1I6LCTpox+g2HKI+0FG71u8xVYKd6j66qO33CY7h/mKgqhXhRERLVXLtCAFGIMP
lKg6/jywOKgAjpIu78MIw/fAsTpNnxxhLjf4ER/0UWZF3c+XUHt3ZE8SbxBPWfXBr5VDf2ytZ52M
X4VpkVxZYbjWnspk/nE67sEoQ3CQTyKHqMTGSs1vivgz0auEtDJQMvFXL9oGpz05GBes6S5TaZXL
11qW22IKPCSgXma8Ere0Fi+1FJK5dcoZhpu8XF0F4BaCHCI6VXmMUvEMGvlb6WqM1Hhg0FLyL+3x
icrKWwHFQvQOgA8+LKA521Ft/oSk/oOiMSUjq6mIYSrhDRwWTNWSlOSmed/imWYek0kXa4mLRaQs
0IbVDB9bCTcK53UuI6lqs+08Lxuf8VCAq580SCBsxjsc2omWn2RkZzYiqaFusCA1LpGW6IYVgmvh
zEDS/0t0B1V4vbfZhfCkdzyCOQHTPQYngm141J/pjC+YrzZmyS3qeHEBPYmy4bVkuo1rj5hv4ixr
cA7ZZoBO4OiPNnvBCC/EidrQRrEsHapwG3fHBL0vAIvZ2aZ0OWhgiX+vp1OF6C5MvE7eMrpsux0X
tYDTcTFhrzjvav0w5/d8QFSHdnfW33Pt12A1Yu9N42qVise0hPMrztYds1B8X0K7QoScJahdAL6+
FDx3po+NlCUhKBLA2Qo3uwUHIOP1QwKAooZyrl1Cuka/4VTU8BAa3/n0njE9aX/h0szJhjmAck37
ozYQV+LxLi0Y+vafDqMdICaru4me0JwecAQIHrjPBoArKLbZIdCxs1FrbnK2dbEZbUT4HAdKkOhk
AfAyIH7fbe17TFA4uIpzRuq3ba1PlA4YcFUIabnT70J1Njwre7eLR8eFSfKUF4MjY4NmYAMYN2F4
0PJNL+0ZnhMA7pVJRTO40WEDDvZEmtQrlddaj5DMSWhjWHF/Ss3NjP/K8VYbYC6BsQGJO9f9Ss9X
dQaDdFW1PxKW9vbNzDeWfKIszOd/drboKGEvQQsZyKI7ioLBZfVK0H2S31AIJBI2FvEUFaJkrzB+
4pie6GiAdCH0DeleuonfIKDYNjynRS5UH6DqN8aOwJnMdvXBV+sPulcZkmNQQ1gE60FCdFM+ISxY
5YslJQC06Vt2UExBISDOylGpARGD8O4VGBzHP0vxxmtFT2XV5wxSjnIv7K9FzG5Zp6lh//ueoQaV
haeWfm9fMvXZLbmTD9guM2YeRDizOMFgrPIveYnJmLyYDb8KfRvLREiTACdbxrK/yWL7lA/hzpSu
Q+6XCkaWUL8yRuWuWQcAvFdEL2XOtR+hNJN4iMGTsK6YympTmJ+jTpZhCLGt3EdMKTL+UMdsSGKh
k3TG2tFCYqjZT9yU8R1xUNfu+uhOqAevFqa85rsQ7oCRctj0NZ42WBgA14eLWT4w7HNdliiXMVGE
rPiJ4UWJzdvTMbJ/r94KsnoMTtZ/NDnYp84T6pIA9Z1G3DtuVqYur2165UmxcNQ42oWhc1IBQFsy
UfyMRsegbhNw/LDKlqQQMUCPPLU5yPmbym+XRre0/O2BHlBtSFejghKPjCXK/UjdJWLXtTcxXvHn
7fF01fqGRcrAJR4NCPh/IH3G1lYDVQy1nxn0EQfYK3R6dTE8juKg8aU7FP9pu7hr8XPGZBIgpcqB
rkDRk/msEjxUrvYPrJAU7iHsKPN5tB/SQPqDi8IoukgowDLo5rw4uGZrAuF66DRbIdlkUJ7a6aYx
/VLoGZp0fo6SFyzHGrbnKj/hg0SGuTHwjDi9O3yF8w9BKXH0x+rElgZPxltByiK+85C8oOvUbnOm
vBDUlycLtYArlnOvejpo2xqFulD9a9XQjSbEbWhGQmp9eWTr8IrHYJg+NelNoKQp9V9t3iHlaGK/
sLyCgPLJdm2qsDY8Kf0OQkyKGpCIW40HJLWvSnhQynuOGaoD2zT9S4pjox4B4dEsnIAtVta/iWm7
xQsd3TPh42Llp0fmxXaeYeZLGDAZk4q/lPefxLD+7sA/lbcmC+3+mCOHotBytDMi6tYSC8oDKj/M
B0olFLPTabKeMbnnCiehXwzgJmCK7AvjK2s/rMofwkuafBiaHwc03DDm7hjI8B82+dfEk6lv+J/K
2SVV8hbgsrd3UcGiJXdTfZ9ExwH3naRvR+QKs/IOgaFzWOSCZCIBx96Bebd6DNbM1GR18qVF+Upy
ooqBCH3U/CygF3byPxkzYHuYjBMZ64SLTtOPiL47cg24OyEXlM5mUtcIzyJBdY5PkwiDxY3+yTzc
zNaYhkt6JUpJzj/jYmO1IC+Fpv8+xIe635ISqCd0RYwxmFaRJGhx/M3ZlZHWMB973Y2WlfK/pOsY
pa7nj7FGX7bl5QyHda55jKzgqSKyNkMW5UgDe+mSh8+8eq8i5spsa4Z8PmNrr1tctcwMOaCd8DNS
v2XntciAGyy30SFlT+o8HO11hlBpeQvsSYpgY8Z+lr8083vIUsqShqMaR26Y3Jbsobjkuhm+W1qz
0E2z3ZSczHBrZxtQ/P7Qv2OlRTH9kUGel39i7Suv0XPQqbXhW1d94E/GWAI9PSuY7KL78cZwp7ab
MXyX2zdJjfe2Kq9x/vHYOSz8R+2RIuNsdP4VAx9I+Rr9sCBvX5JR7O0Br+e0aodjXn5TArmG8TWn
7zqLVcRF+b8kClxGJcA9Lw1oQxUseA1nBNJ6YFxGU/XZJJrQw5GKdq8RhBtlXPxuH+HwYQyDN86j
22U4xCJGJ8i8DewHYJW6+bXg4MKTCVyRU5kYpRr1FbtBQfCaRQGheiFI/xItp0UT1RToEw3g7Gco
XzO6lazcipfMVC+sLUrpUhi+pKC+0h5mPK0s/cTGQnu35H8Jz2GGG6/QAAqhvgXC/IhsD1vsypa+
LSRA4F/U5NXMt22667Orkzz04IKXCGVGBv5HeZita3cHlOYOK6GB45JDkf2+jHDJCzl5Y+hLjeEX
zkvfA7rR/hS+GgY6QEMPanuXkToWxh14I3rbzTw6q1qM+qoz/vjwouSik3mkmx5xAlRUH/zc+NiT
NYn4xwnOQX4LnIes3TpjpyhnYV6b6i0XMH39MH/X51MDGV8lyJzckJDjEO4CWgYa9Ko8SqAbGgIE
SA2WuZy36uRW1qOoPhSKztCRXRu4pcS8ke2xSmwzMpSOOxiM1iqy9kNHKnmzS7o/afgawxswC8RV
LjhvWP09rB1vMDzUPilWSfxZhPyu+TFTdtNjT3aOsfGm9yQikWQeUyoRtYku7a9lGQz8i8cJ/VXN
t9jsJCrpsrXO6cQwF4JeuZaW2KrhIUs39j9OcVlErgFj7WXhcCtgncWycdJsHdwyRqBNolCC/cqI
97LP3gIAxV5u/lbEl8PmOzK0jdkd7OrNZIQie0Tk1RjLaMAoCPHnMYLRwW0mI8hIaVNgxylx5WBF
aRBeJ5cgIWGbFTT0GsBS+ibi1piZNd+76F19gzmim2wqSLswVEib2CBfq5adfPc753fwFF22b5DG
Me+JSGlJ4PJXOIF/pmQjupNtfhtcSu1VTN8s1NfR9K5POzvwMocylHuCFao0PeOIVQ4N51pIgDsY
K9nQxsgV3Frqrh8PMgr9RDugQnDGvwKiAcL6lqgJ1miBJJ9iUjWYVCMic+l1wNJODsSRbc3cP2ar
rqC7R48ZNmcJQfMkYwub1r32RE0WR9sln2JkPl0S4F0uO56mojfA4iq2k+IH5iNUPnL6VzQUPfob
kf7lzfeM/VOxQNGAEmHJyxy5lwAZD0yaTnp1VUAoRybVAo/FzNzE7dSfEUikkYOsST4Fc5Va3dSc
TnCUDaC8yTapX+0eS1h1UCpuTUEFo+8szifxhoNgIhZrfmMsAFt1z7PHyrPQbhHTunpr1p8mND6H
OS9IoQ9Fwbyy/Bfwk3TbJftY5sUoGBZVm6b+ShMSns6T7s8CO/vwgT9hkZbhY/VgB4ekQbXdkcgL
Jtvjugb8FVDFdwXs0p8SnX6fHHumn42PSGM18Ri0QAPT9FwGfwl1n5JmvqX7VnXV0EWBzubYMPk/
G54IOduhaGMDZIf+1iVgRx/krk49clrtaRcfKk0tcr2ofrWUP7W6tg4k+Gq1RFWXNc6WdYuMXH0L
mHdgQ2DDR7pLfjPJc3H4Lxa6BX9NdRYgiBdAF/rkGZ8mZ+gHcdN6XLqsLmMZtiSGhorDMoundQZy
nDSExtoW9pMEeeaFJh993Dy08V8OXtL6Rk+AAetmf8AzM0O/zs7N/BvWVAIEztvruPjMELRW3TOM
uL75LWj6nVlQP4auxBXuKtG9HZhvYHjxh5eKJ6BxawQgvYEZch8ayBhi6HSu2f7pLTlfO0V9b/ET
Gw4KwvZcWO54xpa4XtSbChx+6JkhVz3gsN44jByNAS0CI4swP8TgFWbxo8zkR7vSdEzINqLDgXsJ
N1/Ev0nEI/tXFv8qJCzkc+1S/deeP6N/BuoIVdpl2ic2Lt/IE0KMNoKvrVke6zfknrb0IlV4ey1u
FJbI3T0ZPgfERLqDugu79GmaLqRlEaZs4EmyAvLdfBmpM2xljhVF/mN1kkmnQNrXEkGId9qQgS11
M5/7BMdZRiQ6TF8j2vZ1tXESsmOhkJj4OugOFOXXJAaMP4NBjd01qt2LiTUNU7M9bcwQP9hTYwhd
WLpnctzzozhHQa0582eGLaupfvToMChH0QeuTFUSZ26MLzmPhhOp5DL/oDQ9pOD05hOEvV4cnOoq
h4eAZUbwNF5QznXi3ZSYtz0yqHTG5BcRTRdb2i8dRZSNNM4kgKpL7/UP4XMwLKLhp8RHyLwHBuAp
ROAKKlV90o/0QBPMrR0wF13DO8yHhY2yGuVPxfxNKhphVjRrY3ha1U9jvGrJDnrg2uz3Fa+lChbw
bsxnMPFOwoT3pLASCHTKkOUr1rh779bwlcRfBG1E2IK1wTdKH8kZGCJeeZbI1vgUGXyCnRxxrHuK
va4sX+QnY1yzS24Z9Bk7LvHZxG8CbQQhYMphytMxlTv6Vfx/k+P27YthT6t6/Jy5n/j0ZA7q9AQo
ukUdm7KMNe+0eEStpAzW1YGx2p5UVh/GI8q5lRMR0HJDmMpE18wPc3wOpLeo/JAGn0mant6jHJNU
8TlkrB/usozOcUM0AcBIC+Vqo/uBfrX186B4UJni7NZOL6zEhhg/efebIq4bMF9Oi6+JAzIZYiJV
tlTihnpO2+PU/SpVum243UF7uTPBouXXcgCmOWb6mIFe/SwXazojTK1ehp40tvmnFX1XSro3q2+b
ESvWNtZPlBKldS1oXjCBEajIRp0LCilG40v2se6Z921zcUp6csKJciC3jVhGVMb9F/QFVGW7JP/9
v2h7KPZrhGdQZ3zt5pgyW85ch6PJRD0Ngqvn4h5KevXkqWsYmc4LcV7w9UQRjtpVtIRj/CMNHFXR
icRfLd865bWVLgPHNJEqAwfNdFQJDyZBwDY47veqSW7cPjb2JGKKH8g9ffU7q0BlYOUB3UDTCCMc
JQIK4PQ5sZWIfubpx0IU0FNM5vVR1RCkjiQzse/sWaTyyvJUbtryatFhJsZPyKxaTrALPqf0mrZ3
UWxbBTnkNtBuhYMKAtN4qa2kBJISt2CKzhWMA/qf0h1GlKYEKnYIG7CaNRgtf/sQf+vdCAd+e1AE
S4vHVEOCciW3MsEM4QneSsz4HReYMw8n5cl2KeXl6/cLfhYFC50P7lQTxS5LhSL39d9lX6HZsb8A
NYcZLRAolNfUxCC51tMDiwQBppzTuX832hM0+2jekWRX2c+s3wO5Rr0EpKqmU85HKOraSr7i/OK5
sK/sKfvuCIJqIiJL68+D9Gdp5/gpBThqsDk1yGJYhSaAFDJW5lXLXXOGz0VQgof7jMbKbrnuVgs+
0daAHq7K15ZheZfE61Rhl7N0eGScojAg8AguSra3my2LVNyZCFSWP9Cqzyq/l/Li6sPd4HXShzmS
HbSJbPoMgPETD83sEghWIC7gnoTuJoUIt39rwwvHQ9j+x9F57bZubVH0iwiwbLZXSaR6t2TLL4Tb
Ye+dX5/BABfIRZDk2BK59ypzjhmgxB24ZxzFIOcD8/fdiy0cSDC1v4R2L4b1yJ4AU6BgcI1dCeUU
KkGZoIqc9wJV0mI8RtYbkSXUECtSV0X5QL1DsEedfOZYouAJ1YD6Y3dK6ECAlK81G1W3RodwamlZ
T37sNt0VRAjVzJEc2YIXKLuxp5MGHdg2bQg7acUNg23B6xOMh8D8jLSvQLzX088g3ez+Wy02zHFb
1NhsNe0W+Lgw2bNyRlSfinoPGo8B05I1AAM/hLduXe4NXceFAanuLNiS6eEuw8mL0UcnMNjCt2yq
d5v9d1hsGWCQugohhr/xQ3klz8EAaJax8q/jcCdP2r1FHakoM8a9WmCwWajKPoVnk/zmGHJll1Jb
QTu+M+8mwp9ejJvgR+6OZXPK2QB65Z+G9bdjQEoTLrM91hAJr33x7L0FZWsqfvm41i2vk2H9wJyI
JizAfYFy/MolgnV/UvZ9+4haXPF8Aej6II00r/orri5hehriczZ9C8QNGpuuArvKLmC4Yu718jra
mEW5jSN2Qihdun2NRoXRh4bF8FKIm2VRmlUbVd8VtePBEGnY5nYbv7h0wXcHLbicgFu2nQM9a22B
X8/6Xz3e4NroLMK55UOEHgseGEleTDDgYWfhW0OAb5L+E8O+lA9Bwqdlv8px24QWeno8/We5+Kjz
wgHAgYJetrgxtiHvXN5vCHSHrHKJo/WAaCRRwFsQ/smPYCcnCawgnY/YWgQo044lt1HBPKOfxW+k
5Kg3r3K36ybSE9N9SpSXV/DGHWI2FPI2ncjB4Toa1GuvXOjnivgS4uJijL406KDUk4YWIXbMWCM6
ql9K9htmbmxaUPFyqnDu5MmROBILjB1EFFIxBUBC0uaZc8ogy0zLf2rvIExT6cBHDvm2rh2Zvza4
fyKifUSwREHdELmV8rvRIZB/XqAJjt8pmmT2tt7/t7zD+9dqbPoUrgtusXqe/hesyWr9muqrRrb2
wfCVwnvoIA/n1JItKr8aZfejG95Adrg26S5CXsa6AywV7OGv3H3r+ltqXg1Uq8jeqJeYjVXvgCu1
8sKKpJvZaEv20S2ppGRtTEa4IvN9ncYMKtBa1B4MyuCIn2kTExVshOmXVx305J6AnmLMXHH+US2+
0K5gJQ8h0WAhs4iqox6qN0y7OyjTXBf+PwPnpR3ghvYZnx1JqiFWxZy+a4YVibdXun/i1xzPiuEa
qlOn+Bf4VP5g346ALJN4HaE4Hq8UfxrDFvFmVIc65mlfGx1r/LNRbRStxzHtNJm6BURCy+n6EYY+
JNx5FW9sGJH1VL2hSQJZMIbaihtxIAkwqrn+qhA3LWf5uIyyrybaz4VIkFKv98oiU3d99Bll64g2
kNOH9JtRPAnT1Gel244fr6Zs08VWRgW3JYOzhgKgWYfhg4AgXVva+oH9kNd9W8kFgI1ugn2K7rF1
VoonyzuEssI49zLwLvRi9Bh8BXs7vVTdTc3JunNZHxWJ5ljdhQG3Zu35iL3wZum3CtFrgPF1anam
fJHkU8etj/CH3Y3FtE6Nf3oFMwVKMZTjfnHsfYjaEdDV9mzUp5ghu1Kfw/Y4AvjqGDQQQCXPZxLB
rQzR5jt20YRbxsyGRTWD4AN2nUIKmf5S9YKhGxAP9h5V/K6AQI2NHxaV6MUIJ9wSeOhip2BxSGwV
mbj73IKz8WzaI357OFYsYT4KQNqQpxZC56u9StrFNvGlMYLKxcXornpy9akSVPUuPkr9MfVfhByp
JFPSw+S3IHmbF7MetkzxK/y11zhB/h0q3ibTASAX7+XwDLJbT1oeMYcGDeS2Ke+jxxPuFDbBdD12
5MUUYGwg6JdmmCW1hHoYBVR/8RhoZ87UsshEW5BsPaav1jVW9tJ47G0OtEcthDuDKSugkAlF/29k
MXZR3CT7S2Tt2OjMvRj/o4Y/RNqcW9M7ygSsH4elJ2idrRwNZO7WlIelgAL5bx6rqOOGvTCWp4TP
gbMjuZj9LVJWo3wJxblQDqDCKOYiMnxZrqQackaiIZplpL1QRXvaquwA/Pyllpsy9KWkaVGGC0Y6
BY++UryTzwmRdVsHh4zaOgBbUNXhQnhvhu5Y07JGA1mHHzanzjhe9ewXf7reuxNSN7ajKOrV4sza
v8wDhOXPNCduaO1RI3E+11wbs3PnlCnf8BnwXfotJKJj9zsp48I2pp0oSCaffb9P/s6mhoJQQ34w
0E1kqCXwe+N/t5hkhy/0KTz/gDot7xHYe5kviNsigMER/SvmI4q3vIr+0vyTD5W9cOZ/NozhIKtY
s5agAFCYHtS/MWcjy02EdlRD1ymzbH4YdKOeyraLFQOuJSYPO5M3TDBNu0IQNUeOK7xQ0hdPZjys
SSkx8RmXG9u4SQwsK3VflmuZl67Gs5qrGzx8MebHiMCMeB6FHibvj0IElDRDoqWWb8oYTeMKJfYo
cfsxePYBJLRdudF62qeHWfxotUGiwK/MfGNgFNF/8bZBtNDEP3YOZbq3MqQOiDR4U/cMruwIrOsL
3Qj9GpzcjLlfTlTEzmYdgi8tVlFqM1wlO4bobvlm8osADFbsc9synO7I4OIm7Bx2D+ozqJu9bX8q
yWMmmyUKqF8rWo6nIDgX9NtSajMrK0Ett04ln8OqXQ3FX4tgQFlp5jaCgTyhZEBVSMTxUpqekfGM
hgtEF7tyMzAy9bOJKB/za9AwhI13oQDAWnzKrCcyMjmMpjk02A0j/VCZu6IIWSvdq5gkXY2GRb6b
7I6jpxa84aO2ZJbsp1qKV6Z8Lib0UzekAXaF4/Xi6W479xnqBaooFe9BDt8GjibLoP8YHFGMa3aC
FnyxnK4I2S0t73toPlWmcSPgRJIGxt4xo3fZP9lYbsryryIVhk+AOYG3hy3Av2VYHDwwLFvqT4Zw
+RIC/iaMbgEeubT7MNnPeMhdjKeFThEJMVZKLtiYYif+lPyrWp5E+bSGazy6hbXtT1F6pIEBD9KH
7sT9lP/L0FLl8RYvI1POPl2p0zVtKMtbR8a9A0o53rHeSuqN+kB3phmbyVg3+U0MTqrQ7DuDxqqg
ZvCMzDLvvlIUKX52JyQVR/s1M86sqRhVdqw4dtkADHflD1doCuqwFe1b336qQMqDLzU+eclGY3Lt
l49et5kWT0suCkcX9dYQl8F4k4FAyPZXHmNKuMUpxcTg6CPja/wuS0FyKOVa9W+kuC2sR1KcYlIf
hq02/KbeZjam6KOxUsLNOPzZ+O5SxKD8CXht9FM2gDvjbCZXR8UnHfvfKC/IXxgMBEZryl/JRvTd
37QEuTuJkzh/tHqbBd+oYEPzFs/tzRpYgSdOA4U1H3AU/au6b/RVcbad55x+ehyAizA1Cky3GOi/
8ZfiFe2Sc2a9yf3V47NNEfELpPgOOla2O2x4ui1xtPhfPHJr9WPDai5iplxBvscE/9nQmgbYHjpy
ayVQIEFyCVH5Q1YV+YcFxTh1QPxZ/Rq1fRvdTH+P7S8sviXzR2eJjWCQVb/guK7DdUAGfbgU0UYV
93GicGzQD7yJELuv274KohvUy4CGuEFZIs83W0sqktv71xKGNiY57VeL8VehZGUAjn6EBrFN7nVw
7FqOEHsle3dmGMIsCVC9pahzCqxfbhpucDoO9aVrvJWdnUZDw7b/Dy3Uuu4LVFz1shX2Bgb7qmPU
P8U3a5ao159i9kp9auU8tiU9LmZ87Qnu8N+qfRYWYGiLn59WlmXNYqQA1yhgYqqolJ+mkeU7obXD
IasIGWRY9vLjV0/JUYYXyWSLSthjDjCQwWNA71wor+qm+iyFn/U9idAjkx3BS0rPyeUnWleSD+3w
KUn5hiuAYl7mUGnWNM0QRirvT2WKZC4b7WRMPN+byoBH4Y7f4bRRA0r86ROeisTevh++hfEIQCsR
W0B+18Iyz5J0sIbnnJYyrsPOkXR3hMmNU0Tcp3zPjHQUm5pfRPsJ+58OXMmcAZ70+1680mirjB8e
7JFaHH2FmO8LjZCER6rHEoRyzHrmCCnL82zCTv/VrzIblhUKMBZYanvXUIcUPII0XUnoTMZRGKdR
28XmR0qwc75Bz41cQXswo/UyKN4rnBsUsYCbFiaa8on30prDVp8ZW1KT236ynInn1cigX7Gzgn8i
mRgLmAq8x9WbMBnCfU0J+Afvn5YeZH0vECZgh+5QEQYPPGHa8FS1fZZQi/IIEN5AM11VMLuPOi9G
bLjW/HX+avmhnudx9R4XZRLcNGxgKoXLQIUTs1gc/dtQ3otYp4D9stKzkhNjO49Z13G7Q2KC+TeF
j9z6u0H7VHp4hunK+JYRNcNYacZzhHkxTz6C7Duyr3q+Ex9+s7ThVTJBhs8mcNIyDlBSpOSIDFU+
TwrLaggWIBN84yY3MzULnVbCBU1n7Kn7vgt2HSi5iLOWZBoFQeKsrJ/9io3frlp5M2quBNEsf+bo
LUdx1fEERCj+1cxJs72EOwtqg1iq36q6UWjjEu8cI//NpDN9Y4pKW5pBZT9lu2LnPWbUBYj4WDWc
bRBkPXmnpKcSCP4Bf8n8bIJrMslEgQHcRMcFYon8qbZPXWvslv60n+SD0v2W0o044lA98LGiwG7H
NY6PRfUlzfuPDu0sgz9Gmy0PgoVlTQ9XVvmTeo7RU+H4f9Lg9OKX4XHiuToAB02h56LDCZSforQX
BpKblgGE+IjVZRkwV3gkXBFIz10MBMpRZADBHqOGhqZ4mtJ7B2Ih8W9WfcEmxiBS797gE9f+MzZN
Bpw0EO1mQNmg9FAacMH59srnv4xMcD4DHQknd6d9mfU9a/nRk2MXH0GD9TjHE2+nlf9wdBrytzWu
BFG6OLzU1lUkUrgnj2/yd2jPoBq77tmBpR3st4GyTFI/Q7VYG8l1xGjXoMoN+FEIiljGjLaUmcA3
yxXZY9oRbp6V7K/zKHNk9dF4m5kNZTpi+hiZZdboFluq1/yQDa6tY+9IzypMGXMjqh2pZ5zgezPe
B+LE3ggP33dJjtiksSYm5mVSLnSAhjjm7bEnNTvdxcVKMhwf76+8x2so8s+aQWZsPQL9brX/gDoU
5mXI78gTOQzK9MCVXEW8xs5YUT5f2pJ/h00rdB8Cb2G/rupykwWHkve8TtNVoN4E2nIYg/NFVASb
sblnzR29OpDOQ1lumy+uVc4hSfvMm6sf0NUsEgUC8wptSGreuuHKEN+aANffUvXIFdW/DBXV3jsI
qmV5Z8XMSoMVZsgdlpOXwWlDaAJ282aD6EkQyKLeuvyufKbxrWm7ZfOesemU+VRJAnkpFndrS+yh
HDsKmV0cx6jsw/COgijn92WUw34cfa911+nN5ryHGqF2jJtVRV2eQD3KbG2P9Y4H+2UcZHudlecW
2Xzo37126ymrzNwnTXMBWbYKmRiFPjxEmMKEgLXouFUWw2us2qVgIDW5sy5/fFamj9T6hpdZTih7
3LhyuJCK1gkfndXd4aauGM1kE9u16AQCF+6c1/3BfagrklFCdIMEbGlHabrqLXCx9Ca31wHuprfX
k+8Y4Eky/OX6JS64oxklVa6FgAYgL4mmFQvR7hIHL2/8aJCwcyB9hMFfJRCZWnvAdgVxxfawKgt7
LVH6SS9KBGu+KrH4QkxNKVxkFjuUgvjpcyQ2mGHZeKfdm99vk2cQookVAkDZFfURzbGEZBZ92ADz
FbVNpb+PcDs6lL22/Tdku4kthuX99vKHqo6ODx3eaF80ymMBYtNCXgIdKkCLIRhCJSHnarSTdKd7
GDBJ8XEHOxxCDG2LZMXlXkCwQ/GrMM23yNx1+umbcb3e/SooKgbCt5m0HmJllxmHkvJw0B99vB+l
zcAXpI6QwRQ2ILm+5ZiZ9PgaZ4zBlSXvHqh4jd8uaN574v6ahoLWhAJ1F9qxYF1VXaXpCM5oSVON
sYRTMAtcA3QLPCWyvj3Z6fgMZrG0cCJQxXVx5JHL2Bsy9snNv5QyiykCZKPa4Arpv2vzPCQnQVJX
GxUc3aTnADhWv0YTBgrj9wbFXHpUi4VJ5TWihkWaUK55wEV00uWtT+9PMCVNOfSEcsHMpzY+lUcY
/aDrlmQn0pey/6FVrzL6E8CQZUJpp3kBqDbPotzZ8FyLN5UbGXN/sxfDhS8ZooKwTzPppGdfT9w4
DX/JCC5lOlz9Fhqszr2KYASQub0xavSciAU3HSgsmIfy3tMJ2kONhhcFNRSnPfOFWXKB7p/zpeA9
SAakB90Ti8qqiu+xMblGR1LI0DxU4xsjmzvpuJHAwvpLSdwEOmiRN4tRAsg/IGXjn81UwfafP455
eZh6iKrzDxMxA9lJl9IqljkM645wdFJvWl1eC/WeVh+RVG315ok3uwpfXqZzZ6E2Na+d+WpDHJzM
pLTuPjKPTSijW09ZT8gFlOjU1v9INnRqRHUqhQEqwcEfN1ok0GIHl5L08oqP32ZwCJo0qJcSkIoC
YaKgPIv1zzjdtvmlqo4+1oMQMrEWZY8E67+N+a5UXMm7JOgftdQJKcBtGDsjUd2JajBXmuXNjFrE
cwCvTszlsgcoR979KmjUhYCr0nbEILolezeZtFh0pB0kJCxh7uT9G8lWC75saHCsCtnY1oeGUK2k
vqfES/icipbuDr4bMbMFBrzoWTfieICXRIQO+hWLPfQUGeyxWAxh/OuJwwXqSf+wIVJq200kVHmO
RZBCyQQjajjD6HHwNi1Fj46CMYtGFpZdxutR/IaGQdmhon9Btzi61ciqxJhwvjBxWeGszNjyiTFE
tYjDH+sUI9QBhoKBB9am+lEhkQJe5xE6YiNzIuRd2fBOaMxmim5DyF6ViyNG/4PBAHE11jFVX6oK
tnzy0ITZvsEGPSMz2wnNRoCZoG+tvxUP3kFVxwvWFVG0TQlAGW23nk35D3/8a60rBivclVev4hxk
cwubTGRXW3pJ3ldqHeAsLofx0XnXRHmJ8lUBzaM7mE5ZdgqiT1W9FqRX+rxwFbfeOLCCZLlCOQKh
YISPFXD+MDMs1ZQr9x3P9DJS3uTkLprPKfpQ7GPNGm20njJqHVaeEatuvfSWPojPhcqcWuV8DLi3
CIxkf8jIZZqsUzqU64CpV1gfZ/99IaPiqv7iyLqPs0o2IJYxDX/sgpoRPmFGVw0tYVEpZ5nwGeva
J+2i7+cbDKwHeM64OQdWsSdz1A4+IsTyqobuUCKeKeC/QG3QpdEmYWbY4RMjD26ZMmhUUfcZ2C8K
XQMsMn+h/VPG02933DNq7gyS5LBXANHNKtpomGDSt5RiQ6ADF4aCXPynq1iR1Y3Pia0d8r5kcVv+
a4DMmTwVYMq4qAGqayH4qtIp22oDwdsJESoOHUVN6CHN3OjVsY8EoW3xXal+ImIdE9KIquq9bHxi
gG5EhejNph92XlacQxHj1bEWMsupUqN57UaHJGrGOZ/5/KPPH0bdOqNtcBdk7MING8Xq3FYBbQkZ
YKi7QtX5IhqAsE33L9WiU60rfxJqpqD/X6CybJldStabZpzJLgBFwwUDL0TXGoSnAz7qdpWgRmBq
atjY6FyuvaDBfcfiIwIapYa/OCOAalIzBejTt0Lfq2wOkKR64uqZH1Z3EBHHbb8WdbIvP1Rqm4lF
co7ptTH1pR9/mt3/Zi2yvCWwPUcyu0skhF2tATEmqSWO3JDKrZeChUfTMwEGsGtMif09jbkgNinT
NMNiXzgRgSQo/lhrHmpl7g2vwriEvc3OGDAeFL1+baOh6dJlKn7y/HeSY5z/E/xBt2KzXBffqBlP
UvQRoD6XXhYlHfVZZbktGl/0n6GPsIil6FapeMz2RQMOSNvJDblJ6lH2v2T21QUqFXnJkO5SaPp5
1NNnxqqORkRkuxb0fYIcb1IIEo0PeiDmTISljCbQwrZj5j9mMbrt8A/ETIw5okKgxjiGvf4MmddO
klh38s4ytH2cmRiueip3jS97JoMBDaAmsypolcNNMX6IaJuQ98Czx/9SN98auhuSbVnV74C2aIwO
h/4eqTOCddFoDN90Qn03Pou7AO/PipeAgJ/gxxwvFMiq9B5ZGIkYgVioYpLuUZSQHuRHHkeAxqi1
4OTO6U5MALz0kPZvthpjzKM0R4iirnKeppovQQk/SovrhLjzPkMoa0EKdaPkG/Gz39664ipKwH38
zsnSQg6ARW7RmFjh0WoLNubMI1eaAmZ/1dsfyAmiTFtpbETXvvewJICB6krm/JaszoWzvYgYbsFQ
CVhWcGTF1iqDQhVsY2Ub6AbI4+fgIT6D0MnWinXMr+BZL/Ej5Gbt6lgkSejkTxoB+DP5G+K7bdB9
9nxad9SvFf+v9DZCvsjjPq12w78UXJ81SssSucjcy7JlU+oL+ZWoP4i+OuQZGvTLNCHpYK/mIak5
0TRF3UbBMNQx+BtCpgbNKe5/hV4CIsY4sDdVQqQVftqfvGAvPTPLEirW3q0Yaol0ABG3Ah+JGcrU
zYWPeSqRJ8e0unWsUE+RI5zCGERNWTsjaH0Pe8BMEen0DfK3FGmgL+dbU32ESPeHJF/N/5WUYUre
4GOK7g2EQH9dNsex3UkW86Rt+sik99b/nj0G/K9E0KU5lbdL4WXVYGGmNyl0kXL67H40HoErPh2r
uJkh2kmY5hWRjsq8AgSppQG5UrFyjMiRyOG7Yu48eqhVcvYfI+PomI4388vTFM8LXVim9Si7qKHc
AMt9gveAOLuvkSag6dptYye41Jk1KQxjg2TLO0U2p86ksrz4ebtGdJnwaPjE6+2Z4o5iPecTAI8j
laoHoHPGtBRobkZ2h+wS7mXH22RwjOSSkKDoH2ggCHmYhcgYxX3CPTvm7bgbCWG10GQywxxWOoP7
BqjmW1us4b3o8RpaE7aRkQVMsRlVV9XQbTwlXO53tTzn6rLA25ORKONFMcyeO1doO6GK+ObP6ero
JbN99WV3YNHCDhjfC8oMmwjoWvvOcZEWzdlot1V2b9AEDH81tXZVchnV74S5LegWiR5I9Dk946dj
wj5UE7cFqR1NfkxY5Ncc2LL5P1p01F6TfK5r9hTqWvXtA900EzrBWTEFayHCVVlNa/TquBu0QUIh
81RpgeLofYw6N6+ufsIWyd8WZGzFbGch9aaytx50Koezr2LZ77lKBqY6eF2bm8zaWZBZzAeo8oEJ
cjvZjKeMix9F928Cb1vDB8fxTkTOqRucRr+XiPwb62nJFeX3JfYPTXg0qQNVyabAPgTa2W4uusl6
Rd7b2XMwk9VIJ20UL02BsCqTuI25FSdkmYNWTHx3hq4MyTHVrpX2L2AtISnPYkbZ9zsby6Oefok2
ZQaXIeA+ktlM/nWk0YnxT9SkYBVfaUFoG0wGyqWTJV8TEtqwb4fvebwhyYgpDELezRgVO6Z0infJ
0UMk2Kkk89fmkBhpJqv6XrWuBlYYBwggcxQ3UMXAN75FptvW/ioL4ntOjptyGcJjML0QDYT2PFFv
9IpsMrHyTVJL7Y92vPr6qaQKhyHvTtkGFgtmJk3HoYdUdVboefjWU4Ll3ydmHC0vHjN1vNQ+2aqx
IxmNi3qzg0QQMgX3MopjvFuozBQVyQcca/WfApom6i3cm2ul2IYB23nf38nhJeh/YlT/aqFSUkRr
S2eDIL03HOQKllbDn72cSAFm/jSbjzY6ywmFr4vTbNuFp8m7WdXdJA7CyFD9gAXNzwzMoCaj8KSd
bVhxf/tiniPBTEfi8Reqq4SYJO/d6I9dhnQIQZBuAxRDqR6Jm/Rh28bK9l8RMZ4l74qQlui0iGcz
BLbNZcnCL2NLEWxSc2dC3c0Vde9LLLB1Ggve7ehqKW8xyAYoOm4jTQQ9N25SA+2qFGbIACYR4JkM
ZhWtWpdRxYrt16IRwqW/MBEt8F3HDR5UPvAKVwlmBu4kNLcOoB0DjarxEuB7wmHrGbvSex+GvSil
P/bn96zOWEUb+Oy5RIh9kMlF9TkKCFfbGJbH+QL9K0cGL/FLq/i15W0Q/yrhq2WFNpjjtu13WdXT
hHYuYZvrTmUvQS0f4rvoGQwWJE7kKUTuNq0/IynE/GSvkvBS2Ba0Qd1Ems6ESjG6jaXa2/npLT5r
ZgPElqNVLpiOTQ/ZovGWOyKr0/eJ3bAaf7UIawosPCkqGJFRbyDFSDwUb4X9Z3XHaGjZEmJiUwJW
OLaDuPMrZAznKcGh0dCV+Qz4PMi/VXecmhFlCUB+JuItxgpfJ78MMI1nc1NpQ73vjf+7VbIA6cV8
z1iZ9IMtmVpSViGux0dTD/W6RH9iqPjUuXk79ryUXbGoPzKYSfgDhq1FLJqqCLAEODoGfozJWCSi
WhfT02DOS7nsv03IYmzSgRQVzjUlIvLGiDm+puKC40lLtHqHAGZl1sYmnOAhQbYrGxO99DwbeYQT
mO7AdHydOFH832q3quS7PgQOAYW08s+Bx19lOtgRE0cYWmP8QWAA1hEes5hA9IhtTZr1/zDBMU6r
vXvgpatiMNwxT7CfmKPrG9qnjqM1YRNl3aWcmWyy7rGaphweMYp7z4eNidOnGZg/gjfWEPyHFq+2
uaUdozpn7YpxxeNjxgy3NBuOorr6kNCkVVjDW29ntt/cWz7ilxwDQ5KR3mbKz5D9F1A0XBWmM5EC
j9bcI8dWEsU1mzSCpct3nLXp2PyUBmT/IYdmkGNPImMQUWQceiup+RplQBtCO/i8nZk1q4f9bcJB
k+spnSGmBx7ZsuzdoGE+z64i4jrveGjyCo+4v22YoffNV9peCA46kyq+JBJ7YWL6tpFZ6dV4yozn
DFmQ7UOCjqCfPEy77dJKELo1Mawnm3AJgdTDt4OTwXbDLH/4B69trm3l6bPLMXQyn6pStyGZzs7H
B0YD1jrZTDJ2QoRGnsLIEidyXNl7K93L4MuM0l63SXguO2ZtqfRpVaO66ADWml8B61EfL2bKACvS
lhrIWilCVJ/lbowp3e42RnboUFQM6VaL2pXFqyxPGx/d9pgfJaQjNsM7FYxz1v8UdO4jGhulw+kN
HJzLnN9dOK16hr3nThUGX1IYTGjPVQL6Or83cN69+eMd+CNilOn6iIBjbJGPnwoE6cSYLyJb3kVy
SopMtMzUdJdMTFfQiqKfytsHH8OWrDsYV1wmqAs0xV9L6YHQG8ZrcMyLcsISMxM521WYKIeyCs7V
iPsHm0wLpdMwmo3SM/3VM0re6kJA5Ead7bxqckvNYVNgEBGIGnMWt2pzM7gebYVmt6O7L4OCuDGJ
lPp/6ZiMi6rtzmFAGiYMOVu2aeHWMItWdp2u6CzWkkaVRCfqsS+itupa1mMBlaT+8LAWejWnaGh1
K6XUDvT/b3HAtN6C7HBsIVNTRK1sxA9ZWyw12lQJS0FK9s3YQq6F6WZoIGEbayVpMNsxXAFdauFb
a5q0leh8Ww6Qp9avW9X+7mlSPZ7lSCj/JnZj3B1sW8XSUvUVO3PMN0sZC3eu0R5o8UekF8+AJlNh
sdukKjOLzm2w4qC8XHTdnwm/byopnIMSWgRzfd84K320GpB9Jwh1IDi7szObOZ6r+T27T+oHZd2k
uzY3HD16MxnrSyQwJuOvHkLm1X7GEt3Hl26Bo2khXmvR0UbVLJnJYzCG1ygdEfYNKtpHKyHZDYJk
t87k4kmiCLL2vsfJKPyffIz3nW/P+thVVhRvhvnW5DpknBowdu5DwoDx01zt6mFaR1PLkW992hVx
WAOeQx9Od2Ndi6a/6oi9Pa7smntYQ2vXPms0VoShxLCu00dvmvvQtzepViML4FRLx3Mg2b9jGULO
Q5o8IImpApyL99bGrJlT9wJ3IhhY1ZFLqrOV6p53ErNtfRc25qaPPDbpKBtK0HGkPGDeRZnf4NQL
aXvEL6zWZR7Rus6iBq5HONRCj+hwP1TtI2Y6pcbfrcmoPdL/yJale1IA27Ds9DH1hfUmHsnSawLi
WCP6h7PCc9+2wBdwd+T+14SY1/PbkQ1Nhb8cNFJQ3NQMy42kr1CM4OfPsh9m5UNJVmT6W9nWjx3O
Ei4CW5R+JVgmsipgX2s7OcO1EQtbX6OoxoFmtBIhI+fWrPiuNxJqX42XR2NMkffZLZmzPj3KNXL2
uv5ZcFSWHWfwmTWmzPot0O4g5Uv7UOhULtXDxh0U0b0Ee61FGEMYQC6YP78i7OGa7xE/Qh/M9jts
fdZhR9uct9qzvqhH9fw3lt+VAKnqX9IYMXCPFZjzeo7FyEcw1S14EIKAFCZ1g+nCuafdj+h8gWiU
oeX0qnaX4GNMCKhgdK86trUpfjWDe9lLQXp64WZimx3My18ejJrvrALpJ4fyw8MU0KoyVPUeYa/Y
RMSOSaV5mMJoB6+QULH55SbbG+zrOa0J/vA4KiM09QLHnm+DOOMqsf3OVWaJLaIc9uzaX621Cxyj
pV05U269unhIGWeZayo/guBilqyQO4lAM+BMo1G19esQMCxg8DuZqIJ4GFWMskNwq9mu8y/yXH6T
PLUNGzjgPNdMZDHM7ywIRFUD4Fz+EPSFtbrqUXvrJdnZGeyce0UOSY3VsMCIVDYd3EtzUWTfk46r
lfFurdm43UhFK2rXwLtgptD1rV2EA1FhPTSkpVvhiZbTajvqES1r6Egstgt1n4xXz2/2NXHKaSUf
NewZIk+WqX70knQTEpEOme9T65pdamlAMFqiUXfxnEOn3wpZZRWILpUBjdql/yS2irEscfNAQ0/n
ZOF9zXtW6oi8kCOpOGJ6xo5hLDa9n22rDv28Nq5TJJNkxjgx9Z6BpFG1wnVRQ9aqys+xM98TY0Sk
9ZMzgVQA15qeuoyaV5prx0hn/cxhldjNjbjylcbWu61U1p7TCaDbImRAUcqwEPr8NKviYwB7OQMH
cHU3iB+E4LxZOk1ywzaxUVZcpoQGa3vVal2wAlV+GdR2zhz5nbOTB+rZSr4NUXtRqHmyyaSoa9aV
bWxJ416IpHw0QU9f8Y53D/Rq4phULXlZOorotiPFid14kNOes9TsP47OazlSZIuiX0RE4uFV5b3K
yL4QklrC2wQS+PpZzNtMzL1qdRVkHrP32hpVoUfcokF112NbS6twp5zxYAlvU/XFpp67Hph1lPMk
xJAf4PF2sCMnnTgBsV6k4p1uC1WKWCcIC4WKH3H4Gub6xfaRATPTa0cSlq4ZWoCa+jAfb4EgJgcP
FT7Xna+BO+PsGjnQElx/RWC8Gths2U/EHdmf7MsMomAJ91sXabkO/ueF2iuKXl70fmNVKCwC4nOn
8pIw2LKalccrVmlfXf5sOQnQaLZU5JuqGDAIzsBRnGvJOLDJ/4Z0Wlc0S60eHPwo3nhZcVFNsa+B
M3h83CEHRAXmqGjeUZzSDbQ3PvwEjZSFaK7vpptVHnuLEsSL2V1TVGlQyDxJrVj45zYMToGbXtzO
W2YDfRuJiDVmV7Y9SdpshtpcJyQWZkaythCt+qlYG7q7D2MwarTBgoGAzk2CCd4VxgnYbCkfFoWE
/5LE2EcDBwkROQ4VTU/Dr/mPZY5nxAuFD18i22KFuBjq8qJwaoYAeYqAtAa2hoHFaoCi2GW7sXNY
HlTVgFYQ/z7tunAFcSXlppB7Dz1rhsmqgpll43YH8gHleBPApXFceCzFW0SDGjcpVz2jIu6nokoP
HqlUbhOeKCRR1AXnGLOL1RerKGZfpYVbfXS3sq1WFXU5oH3kuvLWBtpLg/u2ZSswYICeGJWMOWdx
0K1Y9KueWYiI4MzpqwB+iigU7zBb2ZXJfyESbOGa2TaymKuoYF+RdeQ4kJr4pRwLK9mr05LfgPST
zyDVeUfw3VXoyD3MqNZPUH+SHxgkbzoThyIUSx8UQwFcyi+3VEabOJjefIdsq0hxd+bLEKu3bX43
gMIitvlKPPJimQp0fvAJe6teqIniMHCeJ1tjREAsjQ38BwXHrBVxR4ZcBTguExCxr9Ydg9egDz9a
kjbTHF1j3vAqIHWGDREA/2gQViA32FoTQvaMUgy/jpVkB9vx/5nWd1pSVYfa3Tedk9KHjTIHzOn6
aqT0HyLtofmEUrTtqQ3+uvFfHi9bLscknOsj/eD6Ggy0T2m/JJO/CsWvcn41O7gJ+ot5Xi/rP9NR
ixCZxJAJ5rHmvvboc7JmBYJvaeI0EcwJcv6qhnk14JIPOZtj2smUIwIbr8YOF6obkL0OXZyEPsy+
D+uPVQPVRJrUTFuaoYcT+RjCsO4yJZZ+RicfLFMJtMJT07uL3KnHNNrp8WnECVNFwybSGGzW1l43
212VRQebverQvFjy3A1sfgRjwCCwcGSzRsXu4EAawmN1xoG31YWGdMO/wgqEsY25klIcRcM2t/pj
yO7YS/EsxBhnDQ8zUUE+SrBz0XroAsloV/B/yuSqyZqvaRx2LpMVr683zoQmze24Lvi0R3IVACEA
Qz+Off3qetk+8aZraDBDc+OdhQ28hMDcC+aVU3zo0U2LkahVBySDk27gMG+G4S30xgdFHxNSsUp9
aLUmUgirhAMR2wX6hQwHurf3Yc0IzO8hFswuIDujbMAsDgyCQlSpLGcRJBupDvRe3kbn3NEzZ6T0
iqD4k1DTn8rEvIYs+TqCSySTzmyqN0UlnlMkDp1vEIn6E4cvbMk3roZdArKjrBvUv/PuAdZM70CT
Mw8N/2tNYh0FJ8aa89CycrE4IxQiXzVAWYl0JOXpWVbxg5f+PE7Rm2en3BOGUywG/VVnKm/Urwyb
tm4JeBVBVMWOKkespdX/SgJ/CHPeAu79HasN/O11hMgvaj/oBKlewycKfYxFyEwvKqLUNh0UMQUo
Izy1uIwyaPeJeyj1nzrcNdyNPHMHe/QeOmnsDXDofOATmKMM6RKCaTr0/vCvTRnYY29LyWaJyKTU
Q05J8L0jdYtnf7ZVvCnZDI8lztaBxZL+NMfhSJfbCD1flNT/ioHsToemK5PZesR3IBhS9xH1CMeP
B0xOd/4U4yNtDE8BXIQG0kEV63ehzxRPWmqgcbZ1R5aLpzRdGGDm247uFC2BjT44Ef9sBF+hEFgt
a6wd8Fct83kQzWaewhaG023Iu53dWGDrQtgXj6F9E3hrY3hAwbjXa+pdwWVfwW5hs3mMeFPr2n4l
GeQFEec1aPHmOPl8aMfQ9OIjjc6zm8DCY/HXmkuXQlUjtIcV2ZMumFsZjAwKhptBZG6Epp8GzuN4
BBOp3L+4mFe4/DAbC4TF2hlYxkfITGBA2NfY6Nsh74zaesjLW+0zX4rGXcL61cfEmyfFPrTYzLUN
u+Z80RINJnEcaE69y3WS+fCYjoreOnJ/jEK9Nhw3uWZQcFno30z3NasROFJfl2k4s15YgNUHM7wV
cE6KsH/OJmvlyeg9BOroldlhyOWtZ2MgxmynNTxtc/5DjV7GTF/4MXfpftXTcIoal4FQtQCwvyoV
r2pL5BQ8PmMYV4rtvzEbhFzvzYpoXIdqXwCKqDPkKab/22Z2jGa1A7bj3oggjPG06UH+2nDcEEWA
oDyejlYK1o/PsAwFwV/FqlL+qcMrJqb+EVF4TyO+qRT8TwUkr1zzyuzcIcS30E4bousp2Jl+645Y
C/O1tajg9BD/QcYD4Uj0ckYj3pLmitHMT51dpUr06pSEmZ5dSHF4ttR3lb2qfjrUFudjbR99U3D3
fM9hLjZQvspa6gOWP7DOovUP0zDu3KoGJufrK9UyVoqw7Ie9T1YAOkXRQiXKzy2UBT/zsT1QNtf1
3SgQtBTxRhCxJ1OkER7z07Y7mK7DFRKSZNJRqNE02ChWg754VKOzdQSCXwcAUW3vo/xVBEhR5hQR
ohA617+X4JJqNeIhmBd9DRZEJlIouELTXqfGSU3Oa9i0W2ma5z72NiY7R7uIFrqo9rU7rK2mPeRt
iQwIiRkjy786yA+q5jmcL0El8Q5na4tQK3NkIeI6a1U1ryr9CvPvqQVuUpdrAN8cQ2yZin5tTuE+
F2oXp9NzUFUrH90zWyAm3+nCmrB94Ww2p6PJDCzo3BUXM/qmHLYRMZf6Z+uTre4vPeiktXDPhmRP
kopth1wlz05xwGUS9uT3/uOhwNBDeh4U42GihYLOSLo7d7B9DhMwlZDc+9DeKR+WIkuYEmJIrbto
cxgbjqnBGatuHjt/RTZLFMcbg6wlzBKWO3cNs8sV1nRxyaOKlQgLwIg0W1Eq3GX+CSRN25fXAPEg
d+19lN1SFdgJ7JDdCKVvAzBo0r5zulIDGaYV1scs8jZJ4vyECs2GkFvdmjgQV15yn3uQRMh3+i3W
CBnLtg4lyWeFMm5A7D0Jta/iBonxb9iiyHfxas5ShBbti171l1xgT9HFxXS9jd1UOLmG/WCD3E8j
kiDYfmuufmr8YBeY7sru5U3THYxzkDuYqLpjiCHt7JAMPnmbTgdr91Ho/SqrOExRKmZMDHsdS225
DSVKWEpuu26+c/XZIJEu/C+b0XZXTg9/Yr3tlhvC40hxzrLPlBs5ikdMOUN0iBQD2qT9dpzoXrF+
X2ZOh8UnYAFv6Wq2IaUYoIX96vYXrypOoZ8uhvzuzpZ6TIlefBR1ts9xCPdsgIAgMGHjXVOK89G5
z6STAs5fmmzL+j2bkoPbXi0IMnE6njB7bGo8Db4zXLJkwtKJEwDRuGkpTN9ykQyUfzNYQHkfFZIB
s1OPccwPrjLuBjFbIqxerYgZ2eCsWvRAT6OAJwjU1VGoISksAzufHf/TLYomYBr5TXdrtIzVr1YH
LPsUc6LkR5cl5Z/ioes6G2xOMryjsiMNKWQuJGOPYYfVBMRQBZskJkiJNEsXeEVZpRuBFmWqz/VY
XE2djCvUJ0WSP/sGHAL3lIYx+CqZE3+XahQj1rGK/4WFSzeLqC9iS1Pb2ZoJ3n7AIdmXgFxq/S3K
mWKOclYbA8GAeGulOSEYSPmHf53FNB1a3UoE3V6MDtOfapOOIYZ4QOCtcaolfiG/XAYqNNDRUKVN
/ikq+puFBDjhaNNEew4951ql8dkV49pI7a0qOu7PDoeFS3zNxS5fpuBZGylnBvfSejrWf1wEeXVN
SvMwRnLn4d6a0BhLQ3vWPBerJINhoi7NvrukEKebCCa/P/m7MUTWaAK2nmfOZC+kGhZMuimt6U4h
ZOV4pgUCyYMYzUWdH9JBLJr+3c/aTWhzRUKPU26zaElFjDmG+PNYMiHijrLDbESvKwHZ19hQn8+I
b52jK9ykXb6zNfuscVmrMOSpJ+ocjFScA5QkI8ge6AxnvTqXfGKi5xUMJtFKDBMFXmQvZD5rydHO
mQnjxRYzOwe4Hu5q8W8kNMJgr5YlYudDQUkBFsOfIb3b3HXGuK01fmRuYLJAf2bDvwhcgL1jBPpL
XSPXC6+l7P4Q4W1lbL9EdSyZLtCLYcpFn6pQOELt7Yzy1ZtjvRPEmh0yqmTug3Evtb66UPmhtcBc
ZvucXXysXxl9mpzdLhp7jUy3Pg2tPfZB8NBK+ctRchkb+zwm5Z/logoq0GYKekVngiCVsjctyYjv
Pd9g0GMwrOzoG3NuCFCqoG3diXvbi01e6O67nAXYMsf+aATOoUsrALsezsWojl4YJC/DMsSbBSz4
iTvtqaswDsWfvf7ejPe6mjZ9kLKnIyhVlbs5uome8sk0o7Xrjr9t2HDqUarWTU2kJ1R0vaA65j7p
IaFDIkcDI+kBp5iwmSTf6VX2aNw3w+SJaSgeTMsFqAwfKYDK5CIRGSQJtYrOVfPYhseNd0s1QHlG
su85q0bYDq4KD1ZmnnMCd8A0WajZ+c1jQHx9WH+MlfFq+cRh0+5rubvLWgsECezKQLc3uadtGWAu
qLG3NlSqxBMbjUKY8d5aGeqRFMa83sPBgKGLE1fL5D5ORhYYDsOmYtmG7DOz9i5Z8K0j3vxCqfXI
URoiPRildZYA8Vu3/OpatdcdWu3cXk5Zdcrh5pksfwvtLygfKVF4jGfxaWPSMQpificEPsQe0Xwx
MMTNb6H21Fqwjbg5iwRHZ5U8OnJ87LIkrLXYp5HaevW3os7v5LTo+7tDbUO3grMc4Vub3ir8W3hS
AdG8euXwXk5ogRSR5/adrvejxNMX68bGxJqsZRXTHgn3GHdPCFeS+1qbgQp0WH18DFukZMks/Fgq
QJ2BRR6Y0x5lWN3SRN2dQr9pBdThyQRKAu5ROI8hU1922G2rcethj6wbbVl11IA26Rta8FFJZzGx
m/UYOAiF2ZMxVTLqyBJGvulWZ9qQ/Ys1j1ik2Scg4n8Ekd/6Ef95p3svquo/Jdyyp0jOgHT9AIuT
VimEazQV5g3h7M1NkMRrA44+mxJFR69WmQ74Kg/3lviscUhnfIA5fthSH2C+TXhw6upZOuleJ93I
cIMfCPBHFvFwf8Objzmks/g2C3WtTfe5NolbIdPIQFSNQuTKxTAwyWKipaF8jfNLbpc3nbleMkqN
SXmwsZryYBekfVa0hyXSaGQmtuZ/NibaaiEeWqufPBMHmwpbAo7ijYkmZjKts1V4mzBKNtJHSoRc
x1ZUWonxAOIPyQg2GROb8yCYbBYOh0MXsfsQMTUEzBtDNvektta68F7KmsamTYd104XUiBaqMrJW
cvvTRxGAt+s3pjwhfuTqdJGDiXbE/QxzPU90m1oBCUuoEfYeAKgO59yhLhZz8ja0EWoj2r+yfdFl
+Gz5/V3RhDLQBL1oAIYbSmTskNP47DcSSFPL4I5e+JIjBBFpxBRTHn2+6krLp6fBJxDPC0u6w2yj
t+3KoaaViXZlakFEYA9bGCvgqN5KSc+MMbynwY+NHsgSZV9qcyi2SUTPot7oNX/pUPEJoTCrK4Zj
NcR8FPJMHpnRu9Zrzboiw3eZDfKf0bP7NMhRqafFkKEkD4ejwa5Tg1/Mh0OznO/GaFg7hb8Slo3H
0F1FvkcwNbAKKLM67Qoi6eUEAUDrjKWD98eF8mohVXEYd3Wxe1d91i9zb44FQ6tS+e+lCS6QssOR
kv1T88UN6yzyyNt1ek1/gVM8HvwE//qMpKYtnkHaMhT3PkOzWzlnnHiE3wb4yUrAGH+yg5FVvBdt
RclmHhtrPMjKOVRyOld5ds37dBPkcMeMxtrF5iOCBWS2CGEdBhdI0C22sYuxMRAouIazZTLyLCNz
Uc5zRr86sfD+zSowuC7YrTImGS6fuhNKTjT2eXKuIxDqBQEAmeaxp0L4WnJ2riZp3V3O2SgokVVW
eEaxJGO4yxMIVSVq6MRtDlrTXvtSngm6W1eUEkCjzPcqQy5RJR0bei1dlI2HH9eBr2Gsyr6mTzWL
u6OYtqrqwlTsjN8Fo4D+2hidQJPFse529E5l4tBL5l+t6VRkXHjsa0W9t7X+rRyLbz9Ry6lwDq0Z
3xhxM1MCz0LCJHDfcI37/af3Wdu3NWGMktcQszb/4EJEsN3y3aimfdilv0WYE2amHVK06Xbl8CjE
V6tH+s9/ZHnBRKqVwVp3GRXl4cGmJEo8ZIm1xgIiYvgu8SVyQBIzYkB1m8gKlikLJ4ElLYwoaT1K
sRJXtl4H311eHNH3bxtyDEITOawR/YpUPVcG4N9SmzZ6ioLZH61H5BlfvQ0+M0HONVKmRb2LSpFK
GtT42DCPIUfKnRz/aeiYdBawYgq7S5aemHbKVERQYyqzJYsGHz4xfp4Aq1rdFmcjqE7OkP+lbk/W
N/jYMqxWqdES7GfX60IRL6Yl+5xYYq6bck+diqsB6Yfu7Qp6Gqf5yNAGyim8NAK+tQsJi/mWnpFa
n/kLy00edSo2BP1S4EN7tkjrrmXzYHW4MmB4E66EKykSzzm7xMnqlpqOPEh3zoagvixHLCVGvePD
Q0SmrdTsjEo7uWa8dFCTcQ5i5DIUrE3Rnwxh3suYAz8vTlHqr/NC/KUaup4aNZDnELJuyBBXeLX2
oRkiucErqrNbo0ZRHjoiF40q0ywDEVt2tRGWPY3sQ3OXRRvTPASIeO+n6TG4kANlqGHEF956oroe
EErpSXxwXdZRKZs/odcIiod73LTnxL/rRrYLRX+IY+uHvLBV6SSHSnAh1+JktKy+TYKsXPRxwCnD
KlgMXvUR+dGjDkdUafYx9dnTjyzUib1FcwKgAHG4Vbzn7vSYP6pSAX8T5ZrXAHss1h7WVimjyzAc
MNqGf00AaKHSykun9ZcIk6Xmc0Uk5smG4pz00yaJfDoYA9NL9NeX4LYNyzQx+A3UbGhxovI8aPZD
ssfSOpYlBs7CwYM8gobiqcwyZt0efVJvoEeg0AK9ZhxGXWzMDsXQSACcxU0Stfa1G1OuKWApg7gR
0vtU9PaSvfnWyUhpo05+KojqLPQOYDpVDAryvtPfAh+BPvtkIqp9vHa4lSAN505zFjaDjRKzW2DT
3w7U6ZiuiVJs7WVUYUYZ4/woBUbo1kad1/YYIYtZACuj/eS5L3lCoB0WzdnjhEhlJ3H4NEJ/r/Xh
0TmzcqUMNsKfVr3qP11H48+ONq4bnTN4u+gW9WWDqwtez03rWL5Lx7oXQb1tJ/hberh3Onmd+NxL
G1VKDgw6siIkGj+eDfoqHu+26VF3GQWLveylqxi5Oj4lm7pkvuQELK4dvZoDGM4MinsXJg/hRPux
m17ySWMRhf+mSu852ITSAn7B6potDCNlsHUC4D1xc9g5ATBgHVHhjmBCGlxYMuiz+puN3Z+ua+2F
M9W93HqJvTJVdrIJjTZ8oHmi8z89ehCNQz7qbB8CHCrNQf1I740z410PurvuMSAmIMTW79bkLOKS
Llxptw4o0khpajvN1cPB5BTGuzP6zxEjt5xQ8JouBQXAzmiuYGaxTzQr03pJwadw9cCpYl2ENtAY
tfM0IKboeWKq3H2JWR45WFMcq/5FovUWuQm+zRdbGVdcOr8mJ3EZ39lWn+vE3tkDXP/4w854P5GD
lDY3bw052FJHPUf/EhfyoJvDiRBD3KUvlp6x4YzRl6VOd0zcOeYFlXgYkydAepkvGLZbiEDL8bsO
2ADhbTWhtWiYAtkAPw8jD5XrLIbyVbMlrruMXhpcXG3seiPYhdq/Ej5g25bb0QGKbnSSYhUKxCT5
dltYbb33UpfvQ8pHFI6vcY86mimpDoilzEhQxlw6WAy2yoicEYKbRm7xbsJR5+fQieCFpAUgDFDR
865h+ogT5B6B82vrnJUFAKsUVCCBgoDRPQs3mPhq6IYVHvdUjcROd8cyBTXe+icMj+dAOZ8m10Kl
jHevLp4aOA7KS15G3SKt/Uc15YsbArhWLaxM5MDsivSi32j4nNz4qE89DiSsZKaPAiLNSmam2b7U
NUZU/kwXW1UEY3kZgSAO4TBDckoEyAitEVvN6UAtssqICQodAkhQE5UqXOpL0qBGs734qkJ5tkMk
pHpnk47cEc3JDp4dDKqWjRHLQ4y71rV+pnnZ4jgXfBvUZ9/14PxLvfYylfOYGoVBFtk+HRFep5p5
ilI/I+LmySXiPNasa+U1bNPHZQAZwmRNAmNasns18Qa1dfxPVgVSSb5yvxvPpG6sB+RqTPt3I9Lr
NiY5gUdEtN4bqPh3rSEXC19Yibwzt/2F34NULST3RT46x6lHa9sW7OnbYoN6SiybkdVJwia6QMT9
1JhlgX8DzHSax5yHBcgb2O2a9p2FI9JDP9i6Y7cVcXvwBQezoZEenU/DRRsycEeSSi3/0TxHHIuK
jZmjMAOXBXrRNCQ/sPclmYMV1g0hp/dWmLcmk7uqw0FrUOA28g/Txi2qWLMycyfoyUfLkzU9MQyl
j5yl32AJxTOVGb/WiGFtdLXPBkU8JaCTP80Ph0efg+IB2cIATKToGW7qJvMDjsnbVEhiA90johL8
B1F8aWakmF6zARPqbPXVzewYtTMWAO3QHtQAOUTlxp7bhj5lREStHPYMykjPQMdcABKg26d8+tbK
6mIU3q1KGMzXNb8z6r9rkldHIyy2VkW4tSuvlh3tNbLU7TZ9lSAZFFainKg1pAH+h800rKFkl0oD
+BXTJ3sWZODMcbCa4bwn22+OatBhvpktn3tSQwcYRbWbMkTomlsiyzdPscjvflh/+ajklSswRZh4
6sBwOQC8iNNyTLKDs5gmQ8/+gSFeTumfJ/lKNW8PoOw2qOKL6cEzQRDbJONy7pMfmEjmunMt5GaA
/dghMdrmPvFZVMSZvUu4vJ+U/2UBabYhFTSYtFy7+udY+nuXTnsmkVd7qDZhGz0qb1r7xkCiqsa8
K+w97GnhPs0EFZGGUx1EFWEiiyBpH3Yt76adX+oSCCXVKqoUQotRjiUTUeyYAgb0Hj7XZ2pYn0kf
LuvMvicNyueRSmEEC5WkCmUdytRBJzvPI/tQxyLqGfXDiP2XzIBO7VX+wxLmCxEPv4pRxyA9yKnQ
ItxoB8Tj6Iw9HDOv2ze22A28/GGWH8OqObGaWnkCn6urnVXgLTwd97lot0EM9y7h/KawxpJKG+1Y
75kF7KQdCUfjkK+CnAG0jZEbzZ3uxBDxEmzTJgTEoCKPXQu2aRkdDJFeRkN/Swvi4aS+Jv4AItWM
QwTjarpMgR1kBlXfnP0Ooyr4wFhPlsq96PAQB+Y/tjEHMYjm2vnlhit/HQ3OrjH3yrZ1QCOZdXJ0
iG1F9Ex09Ljoyapqi25tDBmZWkw1UabqIxo0GwWuGhoyJcZkPZo2ATRyNWT10UxZe/PXJKE1eu4y
WJaBKVaYP1MivGBcGgOdQ6hAaE/djO0iBC1nxjwpMDC1YPBJvTIiOB9L7WGi8Bn15NhIsMVFiNhC
oxasyEa26QCXxgi9L9Wmfd/oNzuZdoVO8s6oo7aRaUNMpv3Td965bbrHoINglYX4MKT57uX0gfUM
CVcoS50Sz5cvU47UCsX3EJdbWUzrpmRha8T5NsBMOOShtVaNMy3zKHppPQPHG8e8AachGF6SMXsx
JXki7Oo5hDxtps1wSsmy29mR+akSejKQv5eYqnytK389cRA5mkUVANGJuUS5KvEXPEk9/S5D5+f/
Kb8xvccmmbHhpP2FvvOohC9XpYa1lBjMnZcNB2L6Tmk8fXkiQOQyeS9ejle9baI9+aqbATIpNx8m
qAHKWRm5b503flZTeGXGt8lIjaxVt43o1RBWdndIRwEY02DZFcUAix7mkcC0XJrVzXLyFy3vudHH
4VNv3Ww7J833jRKortQubDhMlTf31gnSjnZgpgW5mM0Lo9w8zTEpigrN3EyvK6ZFZQSr1lKPMk8w
jyewIvqWvZNVYCiMcvNGTTznzFX33LHZ2yJnkuYhVt5bP2JxDNJUzdFqnG2tfm9kyxcYwRKrwuLk
pN7ZypS9oKAgqmNQLCtGfDKgNYVgQ+v2dBHJbIKtTf0W+UVzVB6Qcf7kH2Wy260959Xp2U/qivq1
pdN/0vzyNYdB4SuIAnLgQxCa1qx10ln9NCMMWbX/tBw7tsIBA6AHkI3X1d+oRB6xGK2lVg9QHI2b
1qvPIqnQgOn021YYbUOVMkwqDk2E7CJG5T6RUZhfuqD+sSxKmNTA+e2X6iR1+4MH9ZsqV7L4qUEj
8avRUvC1Dt6IA8EGMljFTP8gITxiq3PPNlJ4/FOZxvWfgUNzkwBVWQzUychcCM6d6IW65HpE7T4E
EbtDxuhxDi6lKDYF0944Tv96UHMaeV5515HFQG4QoExRsWByIT57ZHGfwvKV5MeV7fl72X83TC8C
BrfYaeOApyX5BGLPtilhSfkJYuYaksvtF/SvE0evRvfedZIlTsFjEobrosLCnJUn0Y1fLgloqVsB
mO/Y0118XZwHqdaiKy9agnsF/VHIF8bPufuyfRa1/QQpv5LjQvb6dRz7g+MqKNNfkLOWYpZusMSe
DPfLCvMj8cGbClN8T7aAQni7tEmb2MtIzzc1WjpSR9vvRta/FMU4/EwyWXr8ZKsuhlUpI1nsh9ph
PQqQyfO7+jDg5nzudQQmlgRPxkwJAQRw8aZyxr3bZsmtduoKA3GJJisjvzR8TifwuOD824ppLaEE
DuGx3QzvGDhgWlwrDg1nJPybKAI8wKXxl0/svFLYHg1kFCBXeI7Gm4nkDKUWq1U+0uNAN+Odq1ly
/8npI/JNDnCmeXfUsqvP7XTW21l+QhNhbxOCz1NUSguwen2ycTNtBcl0kfR3kP4Rm3SDbUr9Mrk7
W76b3q4uiV3Iy5XXFMug/CpD+KPa2gCgPZAE5YZbYJNLPc1XgYQP4C8RDiuswCT8dO6zp64dKgX5
iSuTXQlbn6dKvWJKZQAZt2v4aFV3AmllliDetxPruDk6Y2b/8wwheN0aeARYnUbF3RxZoKJSnVMS
znm/oWnH85uiCinCtxAaduCgx74NcuV1cNBg90yAFuD5lBmeWWSc8ZmCMaPfN+3TWH3FeKuiwKfd
/NOATxIowDjoN8RL1Pf5IkFf55jxhdEmryxdP6epy57P5/E1w2SRNKzJNa6JlndXa88Zsj8Hx2HM
nxljEwCJgpqNoS/Yza+e3RbphO3RbKAVl7va5/OAPv0ZmftWe2NTTySYFhzMK8bRJdtr5u9kr7K6
XxjuJod4akVQgTEFhrsSpDkMnPhtdJzt0CBEezI++Xr0mgBkb1UiuKSFQwt/GJiMW1yirPjotMr4
Mi//6/q1IjkgYjPNlrEksrekPiQsA9A7u7ZdVqxiC3US9QqNN+4WLp1+HjwvClS+In+F6azzLhBZ
5jUfUbTnMe7aDZMTks/sfj/0azQ/Tw0btOhJo1Yqqt/5s5WHqjja+gzTKquPItmZ7bOEEtJh34iZ
cC3qgfVItXCLU589R/qwQIOl/zYMdEEfGOaFkAvRfQ8Tmo+zVNfUXFvGxg4FCWUbmown/Z9LE+8w
FNbdbdmse3Q8ybzlQaKcnt3ihs/NByhISxvBfS0IvJD86LcUPUMb7+c9PeZV5LOF/Vq3t7H+rVLM
JMNvReqBR2PhM+8hWqzhK0yrXZuc6cwabAmBj/AAlD7oy6J4spi/0O8gO8kPyahuOhzGMtb2Dk0B
DhmuQcwJB4/faLrX2aHwkZLSMgAPqvl7wCdw8Qs7b5jpJ+vWeDAOXiU2SG1V+Tut2zXtT5ddJnmb
zAP2D+ShvBUh1dsN2BNxCjkzN61e6iNncAB7dIKZmD0MAihAfbBAZHqE8ccFbvGFuUFGr1TE8xx8
2iprFYfLoUTwvZ3azRBSyfSos59UJZ4wqdClonffzMIsth6Zw93A01fEzJWRLxpLQzLLv8GAMKGX
919BcnfcQ64b+BWtbTEjM6wCF0y38thcynOffGhZtplmKL/ePRHUgVbGkP/bWudYXrrvXDtVcKBq
/9TMjx/zFGepl3+muMblTQwfeCRzHKsoEYCxbTjUCflIo6+03tbmC3NBm4NksHiWQASkz/zb0nHx
v5QIHWngsHakJxFDiG2OeUD++lKwVqrolJ3eW/sSNcpKR2Gqfdl9cM+NTWfzA7D4jRaAa6oOXHcs
np7i8TyylKINW8kIEV0PLr2647dd1gIHhsUSKSZryiXDcWMPH5BI1gADFh7ut9CmgHHoJZ8b+1rG
q9DfJEAYJuNqDrueqcc0J7XJlwCVbDs13J9bR5uXHh9cvFH6FXnreoAvWL1K67VE4KU98nSmSeBx
WORe9VSHDm3wNzS0uF8ngD+d9uBwx8xEM2Jl0TuYWwgf5NcY2sqAD2YAiaB3HGMwK/D5vW1bnmPj
LWaeYMCWSbPzf5Sdx5LkOpKuX6Wt10MbAgQI4tqdWVSkiNSisuSGVpJaaz79/Vh9F5WRaZF22trO
oqtPIUgC7g73XzAWA2Fy6axombp3Awl5HnC6Uidj/wO5UNVfzfENA+ysAqV0OkwA4BOGM7ueHVo8
xOCuSY/S/mzn63j52XnfkExtwOZWdFqy+TqvHqdJgqzdpxsTdr5sFsT24tt5aB+i+rqe1h2ObudZ
ipg+WozhTZ98iuKfFk7DnH6JOFaErRGxCbe+HuQ5YgNj/AE8j7pL9T0uN5YnRwTIVmcCfmHE+2m9
T5747VLJrCfW+8wVVqGaLa/c+Q5lSTAHxXy25HBk7icQgRPhiCOGteWSfZIR7UKc3+Z7U1LT8kay
i4ZrFa4ieYeCzad2Sxh0fumNvsvY31V4Ro13obEaivc1EJ3ltpk+CNrx+rsDQSse8C19jwL+O6/d
xAtyBBtq+xB19+VypqnYQ4Tr0A/2PnfYNzEgbyVIT0Dk+hKWS9FetyAAHQQAESMd+n0ONblYLWH9
MhZXvf7ROl+NczFih5Hib6cVk5dT8bWDGeOCbuwuRPJTICMzFA9O99E4HjdehGs0yQO2C7PXklOh
MM6M+4sOf1jHsZ+yBbMNxDLTdW98ZKNp0lI6x9GJUB/TCh2CyzboTifvY+5IwGUXpf+57+5rvErc
zyUQm5DreYv5Gpi0ESudZdODuJ4BQcKWLyUOLo86yU481C398NLh8KIVxEXtxCPB5MNtKMFE0ewi
tBRn0rbnXYmQPTsuedygFWxPGXkQE/abltSAjiNtQOjp9QSkGa4DQsfFZcOdXMZfsFer8kuDIGea
Pqb2Qy1Acbkf5Li1rOjexhbLlQcXiQfG6OgX7JkjEXi/ajdHTMsDxX/TJk9z8dnYj0PLWGjvMZQL
CGR6Iu9OXzWd9ALpfagd3HZqisobP68BIA0nmMKd9UG7A4xIZEDVcrkelpFpTH3eZ0xDz1wbXXTe
crbQueVWylX/c8U+bOc9ku3na1ecT+WtUpCHvdug1PvOQQTc2/cK4A5i8+lemc+b3n6Keh34sdZ8
FllyCnxx14GGhY27YqYYVMwshx8iuNVQYICn03ACNQ/Fl/wHQ6pF9AAZtCF470TfegljCyKmTVDg
mGEAtwgUwrzewFD+9NGg4zTFZi+r5rES8dcQx5ygkWyejWgGtgkcgQAyHgSYIDELDqsKfrx81w32
hikn9hbzpdM47/uRRrmFzZFvfI3ETy7QvTiPcZ4TCchiRFJQ5P0CYperX4E+qFsib1uFmtitTzSz
DRcb+JjUk0/5aetvpDSsr2bfrW+qtpKoU4bgWWz2BD4EIV7EoApX7hJj9/0GLyrj+D2YZeamYD28
BAasNecLOg3wzrsrVyNKN2+6Bw4D410Teuc6NOd5EGJoFqa/wHc91hUbKOjz6GLQzdPSAHWzdIXv
B92FFzJGF3iJLIb29VycOMlQf0r7BsLWgjo74NaFWssOyffZ/umAoD7SLPZ6suZi9upN/3CFYK05
AZ7iRNf4R3R6jVGDH/RFVDr3xkTZPiyG5nIwgNaWrgRIqt2bqvE/BULMSBax5aaipsUW+YIojn45
igPdbcDPfZdN/ieskhkymkmd+bMOPwJzYLDg9UiozsxkUUCkf2Mu1wJVf3CS1HPrfGsdCDtF7Znt
bd5PlRquXCdqdkZhP2UmaPS+FLc0eblPrTc5XAfrtVQb03KVUOjlhYQsE9x5lkZiTGm1ky18agaL
+xoqcZ+63zwPFuVA/gA4wA213rmt9E+KhkFNxfSjUBxZmQwTjXzURQZE/3zMU5AZyKrlsgyQ6Vz0
j8ABp45YJmm2hyveNd75LLW3b6N2PyebNVF6qbVBiMjOUCsUz9MU4+3sZZ8SmidwfYOLlcvOAkB/
EQ0zPJhhy6Z6SKrtmJBXAcKT7bB5GWQMqWpUGl3fx8cCXwIIUgGklQXR+DBOf4PGxRUYF9dBP0qc
OJ0UJeakR8KsxGVtAVCuB5on1ZdEBY8j2L8YCsJJN47nfW1+lWv2I2qYj/DbmOjMqJ90zrc5ht6n
GBKUvfut7zd6uPNTptGv2HM+VBo5FEtp7zk3Ob5fA1iBTrYI3lU3qUou+pgv7hS3RRAjrRHjRkmM
W72LnsI+V8FHwDtAH215w3xLMmGH0dMXFzAOz0bDtTyI9inywEkKnxpnNuV3kDq7S890557rfiwm
sJLAfwCfJSdpi7BjD4Fi9eGW+OUtl2MU4fz0oWhxMM/6p6TjvtRZNFZQHHQ6LjDyax46PdIoAjZ6
HxoPx2BhUCuQ52OwTO4vNGlmCBq6K/X03fUS5X+LMmCpP8U4NAOzNaT/PRdnrNzF+HGC0ICSp+fk
GaOIshpLiq7Kr8pMnkWtqsgkvdOsyCyRnhnNxl6dM+DqLFJKNDMwWsEv0VA+wvWL4tqRd3EVaESB
+yJEunDnlaVV+Et2KGuQT01bg4XFb76lnUVKq3KaX2uxgbBbyWd7h+Bdi+UxdNlWMdJcmU1/XxIu
Or9dkJeYOJi1kxhIKWcMx88h/+7WGrAiGsxjM5oCra4izZlZgf0NB4oGp1jq4Esc+gAZaIKZuLnj
rjuiI1oFXUZsMIhQbUOegU+lTjLl9Fz4ERfl0tAzk6Ansq6CdhBdJUleqUYGlFdTVoxlftKYQk+U
HhGF/k3nYf2NVJsZvXrX+REuFVNs1aXOprQgC03MKE66wCvQooNBF+NZDLi25EqaAWfMv3aWFvOy
K924oj2WAV8Kv4eaeURxCplO0ctP8BomMxVDkg/mJMrnsMOMSIfAcxH7iDALqOJw1Q1AwXHy9shO
VtwHTFjjr7EzAVPBgo0HvBNNhd4iBFsvc/V7baSQXysPlQ/wcm4aZwtoynZEpVvlqzXiGoDZnHwJ
kA/DOtGZqxgiYGnjKHIQMI4UI0E3jOf8Vzs0Ppr9nZtG842bjZm8U8sQbpfutAkoPHP+JsDL2ao3
k5Jo9tv6a5YC5AOd4kdAq8vFAOmvVmdi7I3HAx3Td0qKQDNzm4p0g7QnJn2feTDp4E4EyEQMp/Db
7MItPlmKBT0VEShEBCPZpIjlUuTEt8bWIZLRo3UzRqAzwYPuX5C0v2c/zfFBddpqQVwujsQCSFX3
i4ddRpAR/aZTFOcD/8l4EhYSs4EgURjDektgvV0/9gXFQmlz5awgDYp6vjOG+hLYgRAacj341zw/
y+Nl5evBgzfh/KTKOt/6vnoOws/9mCYQ7lBwW5KfiQlSqKgdmXX44YOohGhG7OgvltFZNi5rZ1vB
QK2LqA1PTQydI54wu2c4aeBL0iOU45h1wDWYliZy35fQyadLI50KF60lTg3T5MHxEwQYC9RYMol6
vGc9fGHcTgrnbLB1NX/U0Dmg0qYqzXxwSF5tDKXNDPLUAQFusWEDC5QQ5eXahnMc7ZsyD0fkh6J+
BD3dMaQBn+jXIj7lJ7bBXjZrw7il950Ny1NAQo1GJE02Of4IgBXCPEPZcimF+FNRNvZ9O6Ks14LF
Zy5kpF0+FkEXdc5V2Q1pOZ92zhQF3Y3r6bzwT4Y4ajvoOrm3yYKGS67qb2MwRGuC4FPXqC8yGzug
rsJ1C5cOMRKDmTrhxEU0QgAX9GNwKpM2ke87GYb5cNqEXeV6DznK4mA4HegBw29Bd38o3pc+E8fy
l+qcCLxtyg5ZEdV3k5KeQh8nQf5NhSoTN1EWq4Y+b6VL8GFTAwsaDRxRKaj+i2MKuzn6dv7wMcym
TC7nWTtJOwMXaWLQx5QNIz2zGtKfIjI7tX8X2lbJS7doSpwUJZ/yafbGiist3DMe2gC9ZZYYdRGb
oUjSqPkMSoidtmsACI43IegX8Gd9dobUi3mKXI1F0qyYgz7EboyRxbKakoncKFFJJoaCXLKL3UrM
eKD/B3qsuCqHANQ7MLtg/CVVrvH6NLjNzp+Wbq5x6rX9IrkkDWvTit+M06P1hmdjK6RrlCUPqDxW
6trTYusaoD5CAk/ddM3O4zwR3rWeW9J6QxiHZ5j63IeanjvWKf3FIL1xVLB1AtvWOtcjU9n1Aonj
HjVD/uXl/don+SOfOEmvEtvq8bsRcl4v3CrJUeiKBYQllM798GGhsWDAQ/Si3HvrUFiERfrSDucq
yl1U03KHC65ZiwTFxbqPffqtcxo0j5DJHFQOg6p0E5pha9uMe4CRtkebNoU4BFWeQcfHri87eKUO
uEd7SsNUxSeqb9fAJZFAj/tq15ruKVvYo8cgPdDedCSWNf1tdFFMMKCSKGnfgwsu6CQuoYN7VCSz
oPk8dSqhmuYbOfRC2mid4EvmYQiKJSqjKWFuBE5hX8z4m0Mhr1b2Dn3MDV9n+oqCBjs3naesEK5V
Pl5mqNOEAk/XkQ4Z4s5RFzKjz11/vjGWXvYlh6L2mV2MLSxeSmxwfVRXi15+OM2IC3xknY8tyD1A
emk6rObKUWWmmD5kZZ4inWTnCEzzPC8I3aPJgH7baZSEDRPSGg0gtvRyqpjgoWYZIfEX5Cu3xsou
dRKDGgkii9hIgy1FNRsVdjirKwfR1qJNhgSQSDXmyBHlfpydzyJg/l1ogtmZhxOXOQ+gczjf5yGL
6MJNjM7P+xKXwGsnrqDie8WC9QiZCARnUNYIWRpELMJrxyrm5q4bDPEPC0t8YPwSj+F540RyuQKU
NXYfsBLJIHe1WYmyHlTGGZyUJ0OCh0N6vl+yQiG9JDACpXlVZSVRrpYZZtdx/9NjQ9/IrqnEz7js
WiqtVsuC5o2nB3dAtCmoirNGuZDBnBSUCWM5rmE3q0V24L4bu0Bc1ZMzES/Ys81F6TWNumqiNazp
ckSiX36FYcuQMvHWhZZMSXI8kYHDiWrDvgNlmPWqxSakp5Z11FqmH+K2KPsPHNUq3U2dg2NbkIhh
uiViL+klQIqQWD3reb3ue864mE0dnXS9gfYKTWV4KluFsk8WZLPEkCdAkGwO/AQDQiZA+OIOccXe
cxB31fXlNE+YvxbMo+JrhqNDD2GwQr0c1CLgHD/TyXTpaSrFd7NWJr5xy4YxzUTLcjxtR6b6Zyp0
3Z9C+euW28ZA3YswzMDW1yNYHvTU/IjLXi0wKJpKOpq9W7Tm25rIDNZHaabxgSZsbs8LZQxIVmN6
YlObBaDaKsdO+QUKboM61RwWtct0TVicZq/SbMMK4cRGthLd+yXLKNxsL3/Efjv+HG3V83NiD08A
sYwWTZdyErc8THqnpIob7KAI8idOPzE3WQxYOyzYWicFnzFlNNMztIfoF64O7TnVo0G8ANzHLii2
uPdKUFvvzLRCkc1dAxhwoUW6vLN+pYFv9F4Dxayqp2BrkPrprTLFrHc1otBYefZ+/z3rlGLUh0DU
5s0RFDnNIJHa86AZwKQ5zMbFo0zkDE7Bz6x6XJOVKasQQKfuMkRY7mQdpl/giyCu4vVphDJ9Uywg
OiQ2Mhrs+NfGb5cHEwaQrkSXRZcmNHS7IwIKkDWw+fR5vabCVSkyuK43FXLcIdza71Uns3w3y6rk
n8u4/AQaT4HRAb3PzlKIeV9cGepvVswQ9xks47ebNVMCtSQiUCFLIIfviJIFCGkUMYDShUbS54Wx
6iPqiM2PJK8x2dF1GcOpa5MKmBmlJQL7Kh3Q1QHxiWGv8mOcNgHLJntPKHQ5HWskWpMoKbxv0eXE
uq6HVYcqEopzW83OLnC0p3K6kwGCjE47OcvJQpThL+6mAqkcL+uLfdnZikYjcXw5nQeBPUkPmb2E
6GPwE45aV5KQnAAGI4uX0WkpBDoGibQaoXnIFO4p/E40Vpc4YS7TTSmG9D6KEDAdjVuO9PHa/ml2
gEydFoVBlxqWj3bOiOZ+cJ1S3067VEelvYgj3f9EsH8ssf2GawbtcNFcjdhXDplagUd1YlALCFWV
l3URGESiEddFN27K/PiR4kWhZZOPHvrAlcRyOVIaoRYQTwaryixGhxBmIrWNdumRni1j7jYf0Fcq
+7Oea1j2mQ1ZdndwjMrkxCrHBf0bz0W7D5zJab/51YSHarB0U/y1HQaIswIh8eRnHiH4d1YNAtwO
emeLLPHLQK4ru7cIp7HnV3C7KqBcGWGyiMxvgj2aq0v+0QLCyshbtT9e94yupos5dKv0B+kzZ5Os
CzI1QN/GmIEpFYETXo+JD5KAC4+pRsrCFuk0ujrg/ka6ZJs0t1jW+1lhwItP4brMSOF2aXU2+lrW
D0FrjIfNgJ3Bt9tmAJyegZ6bdxXiR8xm2iJ2qbENktJs9Ljbhwj2JD9r0ZUUCE3iYB4Q17h9WZWA
n8+KAOh/X65cS9PRyR+nsXYAli2VALgmg1nf4TBh5nPkz4rHbPSleVReD0IWzevoGwXh2p6OjDbU
Ph+VH32IkAvF2KZ33ZrhTtyUxIV5DtMQZTFVTcn5CLoOacih9ZFssPl0o6txSE5VHVfFLdBWOqMJ
LMmLNp9FzTE3dM31oBHVHZsiy66aqTX9eQIqZdq7c5nFoH6jAl5atAWudahKNM1Ws7kl5HNW2V3e
elN4WpPk4k8GYKCFx6cKBrSZY+vhA2CUjro9guDBHGZulx5IqTIoHyMog16u8phw/leYJDAua4I+
9K0TIijj3R+Nea+6TUJy2I0QXCJkGFUNISuDX9VuNb4GnRHngBX6nnZ+25h3fB44VjOS0HRu1uxj
wzkeAHHlMaA5IA9Wzbt//+u///f//pj/T/Sruq/yJarKf5VDcQ9Xp+/+59/m3/+q//O/Xvz8n3/7
JtAyCKTxfKk8V4BF4c9/fHtMyoj/s/ivAlWXyjE0PWY8X9Kr1s3DAg8pZIZ2aLeV6OnhhzKtJfrn
/3RhL5DIB3qarg7nUz5fWHm5Nv5IjysctKMYvg/DN/Q+Vg0DrbYQZ6y/MT1dE/pvrOy/9sjKWLM9
t+Cfz1fWagY5rGNsOARQZMzf/Kzb5UKLnnypxK+yaGFwHn9a/WJNnpOHNDyqb327fYa/XnMZznMO
UQiynDt5d/1aiE8D98l3sfHnp+NLvXy8v5cyrvt8qXGOjOtQ5jFZH9tftBCQZ+goYMsxdOmMNtEb
673+aMa4PgyXwPW3P//r0SzNde65TBlEgywZpgBPzoybwpQafXb8yV5ZiSWIIVoHHrws+3ylWgE+
jGsAVoPxca+dmhjKnoCkmjLJ9/3b46u98h6pujzX8sE835MHJ2OVzDBKZmzIfrbLuadmiScw0phO
OAx3qIvY0+PrvfZ0f693sC0TMrdFgxV7xazIrsoIfvpixvoiovV0cnwpsf3256feIw94iuY2+1rJ
g28WVJ0aMw/rMzlkIFvD/nfl5aDua2jLZIQfLbSE36GLvmkZCXefdggm5YEa3jiJL4PP85+xfYK/
to6v0FUui4WfIUL11c2icN+OA2N9GSxfZDrLh8wC0X7jLL7yYQM38AKjGewoxBKfrzoujeYWwclX
Thd8ybsZxm2vjMc1FHU/7Cocz4ZvbF2xnbqDNx4ISYfZYwd7Rh08aoZYUhJ1mwAFYivnOY3mBxk0
qKilsCHGvKvPTTI6+7rvNM6vskSkOV3/+esOpFSGSITKCWOl5w+einiJgPtWINMz+gW9yLFf69yZ
cUiVVS0O2nSHqOiLrkqvj+849crjI+3vSTfQVnrBwYZDcWnI65jHz5FfRg1Mizg5KbKw9974uK9s
KVKaK5XyJZvrMPqphtSvJPms8kp5uXrzZ9lWjzhFQ2+kJWvYaefHH+217aQRtvRdxoTGugdfFr9Y
Kag+gZ0CemVK6dPMFtW8joj8VvTJEuhUx1fc4tzhXtLkEe2TvSggDzawbbsUEjDwh2SIuyuviMGJ
xlENfLSCeDVgu2BjiB0jqhQPqBjI++PLv7qXfZfC1VrlaeDTz/eRM8ig6HsiFXRA8SswQQUEj1qm
HrV7qqFKnHfRnJ3M4Pe3XpwsLzLwnv88XAa+UbgH8amJYAc/oo3mOqVZ7+1Cd0mcp2Q2iEG0NErq
7xPePsuv4w/92r4CKeH7Wgg+sjiIznFW+nXqcVK6Vgw/0qkVT1xnvXNUkcHkqeqnZU7z6fiawYvv
rH2FjJDmzLpbC+D5e24tsXAAJMbYsmO8Qm8lPFkKOmlpbAqUV5bhrCDz3rUDuN7jS2/n8fkWe770
wRZLnKSNg8bhxtfI5CwnSMIIoUWVGqfeH19KvHy1+k/1ICW1qPL/JKu/ssCq22Iqo7VGHG2JLpOh
WS9mUyKaM7dIk2ptT3XedeeY4LVo3ygkmtwwexTaxQVltRHGHT70olAzM1vHmspxgQbpI7byVgzf
3vfBS3n2Qw++h1f5ksG8i74CErc2kA/xxA1NdP6V2YQYZ7wgs/X72jThqa4AMNOabYABHH9dr74t
rQLpC2byxj/4EYgG+WQsMLylVxnINvPsfpkYLX1wgxm2BQ1ORIqKNo7dd8cXfmVLbNHNZZIiXKLO
FuL/+kzSm4aWe/fWx83BP899+iDCIAVkEqZvvOmXz0hkI0uRKD2G+PrgGaleLRyf7U7XCTwZ6lXd
FzPi59guzFeN6QQT7xhMyfEHfKUq2pZV0uILEUghDp7Qn5zKjQcglrVfGyhUQMW8d04RuvcKW4FH
3Yr+e1WLNEVIAaYxQOYyQw8A7iIimza1//SFUylw+ANlLQUo3/v5Cw+hFMKUHhCQTQpssEQbgsqI
JRSRcP15/NFfe+HYBIClCDg28vAy1oLabpPGhf9ks+nEDZv8tG/c+cThRksZ9hQNfvPGPn6ZxHzx
95IHEYa+fJn2GspVJ55gUjRX/ADol/wH/kYJ+D4A1Clj8KhWyfqtT7397c+P8vPVDz51Uw/DGm78
K0zGP+pmTq+7WnaP7dVQLxOeLiceKWtnMtmegh0QIJ5c9LfjpUCR4s0b1CtvX3L3JlsaQY4JDl7F
ABQ54ZLOq0h6UKDN7BLs4AYsUX/uwgTpTtK5Zzx9/Ju/zC4+0gcETKupp6U92F7BYGMn2TQ9+zV0
r4INTha2t4EDupNtOdzNHbYzhWfyN979yzgSeK72iCIQ3OhNbr/r7zhiFsZW5Uj3qh2RVhsyaHPp
UGrAUBzqN3aZeG019nMQMCTxuDcerMboop7I28x0KQc9JBFO1hlQSw2/d4eODAg8RqZXvXTMvXXM
dK2YeDJj04CTnAC5FvpmD8NG1ukDHNmPf4GD764tl1glKF88a7nOBgeVY1Mthah8WjotGDi8Y5yb
ar2FMY/1TDup8z7FD+H4igff/M+KWmsPAIKwFDIH35w/r4bC0Ibo/dZgIgPpEIUI59QL8l9QAsPH
qGocRpNr+8Zme+1RzZY1jFGCq+dBRIcyah0F3wiW5wSsu+iH+Tua3QLiRuXU34uwjt/3Uwb94fgD
H35/nkgKPwgsFZSm33P4jn067RljMMLYsMrmZIg2enA8Dst0kkK8uyDed5d95EJXmuoIf6s6X29o
4iK4uWUhoNsSMk+DTtclobh4CMOaxv/xH/ny5UgKHzIdIsdGEQaenwhsLnKBYByKFDWQa9lXNOkn
kcKpqJYdyl0um4+ByPFFtwj3VwTcXgynIhAuaYzv8acq++sYZp6OAdZvdAHEv/TZkiW4zAmvQ03n
+EIHgf7FQgcnsB9H03L7RQuFbH9apHjaZiOD6mzJkG5uMFtwHLD7o4dirVsM6xttnJdbXkqwH4Zd
Z1ze8Pby/3rOwvcySiZertdo/2yt0qKnnkbUsbB9DdjKRSAwGkArd27zdPzJX/muHppb6F9ulS3L
P18aJK+u6k3pR5rC7IJ4VmcpAvWYq3pDGVQf+oFLDLaSbmVujq98WMpsL90TfFQVCErFFwk9zhnF
ZX+4kOht7rKqD78yY4gfGe2nfjZuaNjwU5diu9QWFnAMVe2mzhu9sbP/XIsOdhm/IyDTcF8MrDlo
2aVz0XdcYoCSObhdAS5ob7SKh3vsMGEOFc5nriHRqe3gx5Qr0j4D1fTJEqTyrGyC6cvxt/LKVvj7
xwQH32PCtyHx65pYEOJCPLYYdUwjcFXQ3jTc6LWfNW6iH2c91h/+8cqaPeDq7bC58NWf7wRAC12Y
AEkE3hYuPiTc3N2vy5TDjJWCHL8xU3qapo7R6d3xpbckcvgF+ADbVZnGi3UP9n+HtLCY6ngzdUzn
s3pBZazTPWP1OUPflrbMG52ePwfq2IIH570Eq5WkJYMkOWJ34zdq54/pNQ6AYDRjtB/zEekxm0JK
cON9N1Y/w2D4zMUKI2Uf3c5AfK+79kdVyI+gmEA8jnCTk2TpwV27CNJUjIpQykalXwX0OFYBctjx
kTRbRsSGnTee5qB8+HOOaO5Qf1MleUSo5x/OmryRFR0krGrrFaH1yYNO+rmMKapgUgVuW7yxR189
MZSBvkt78k/Ger6iiNG0WIFS7eYVKT0dY+kxxXNyUTYFgiHtIM4tCPCrqMeh0kVr6i71RPM0jr66
GVPt//MsQaeQ9El9SPWkDp4/R13ULTua+2Bc3P4e/X8g76NYXPf8+DY97AL8/zfNbU8iC87l/SBS
GOUmhiOy7mJjgM2ZBdQGrXcHeThPRdm8EwVzhp0D1CbB9r31c9xDswWtP9AUkMtCucA2UGiuX+WV
xAU4dobsM/e5erl2TOMgsNf40ePxX/1KEvVo66INvZUY8k+n7K/k0sR8KvBGlDU210A4Y3fAKFN1
k//GtnhlHyr6i66k/eQS2w8CCD448zy6DRS3FcU12Q3lp85mwXVsgfIff6bXlhJCeNSjghpBHlSl
I61xcGsgqGxbBz8EAC4UMvrqQ90v6Ru765WArCU3ADAM9DNpZz7f69k69e1UgzM1oOp/g2Kud6XN
YohKKNwwkYNFJNx2r4GFvXEveOUhWZmLCBIggvnOwfsEROyLtAPZA1x4uADmOJyGdgofiqGI3sjF
2xE5iIdkf8vZoc6X6rCZQYtkmXvsoN8ptxGf+7g2H5G9RXuXG5dBBzcPHMwcihDTsOMfcjsxzxYO
XMG4wVjlbh3ow557hZowo0xgMWEKk34piwE29ArEU0+Bj6eBhGTqLt1d6K3hTb0pfx1f/+Ad/6d3
4fNtaeOIbeDw/OsWosTa0Y2+MOXHdZlEFzwK4mZxiVzl+EacPgybjLGYK7iAH+gbeVbZg8U0oEZr
M+QLDOzsEr1EDZkl7NoPTSKQ9h1ukib9NNYNqqlmPMXctdyBgWzeiGIvHplfASKMhiMhgevdwbYK
sQCXVdjwK4Yl2Dmy0adqqVGfsnJ94+0ehB4eGLQHW8oIl0z3YjxZJ27m0/dFVXod+ztb9wWOCsP0
xgMdVA9/XitPA5A92Nre5uCB1sIvZkOARWnPL5r7xupFnE+r16ubxcEm4IcA+P7WgP7gxPxn0UAg
CuMHXBoP+3D0PLWJQmgcQRLnp9Q0LrLG8XAe6BhlDI1K4yzRkPuHu5UuCBj4reloA+Zj24/6K5TT
7+zTViFHSaIFVAbV4akG+P6uDLz5jWD+yqdjKcZUJA5pGFA/XyoF0zYnATospYGQfapsvdaYHESL
fSP0vNiOPpmU86Dp2zIsORxhK2tw09VhspM1bIhTvA9LCO1pAwU4LBEtuTj+Cg83C/dJj8RB/5DM
4QeHQRX9pDRJEGt411cRpE6v5WrDnVZCL0nZSI8FxybeHV/zxcHnckcfkZaCD5yEf24v+6/vBv1h
Rt8d2Vx0qVCGUx36zQ4SL9BxO6QiGhwrOtM674rC6cr94qxu+XlOUanQqurPxrFDVeUf/iQsUijx
gRwEtLiA2Bx83zUv87oadLJLqRgl7qwhIwE4XxPqzCjKlevjusBfMunyEPtYjMQ0Xn1//v3Gz9hC
3l/xn6aev51cKem5AM44TOR0d+wg8DmB1z7m8DLAwiXv6kKn3+rYxDBbihQnT0guMntH9sq/Ifgc
P3V5h5bA8Z9yeKD5RiQ+7oGadCTIR8+/UVlvMBwHrTRJM+ZjYgCn9SUNdFEM6ZOX+EOB8F0TfPjn
q4o/d28un4BTtvz4186gu+dk7YAz5qRWkeyUEyZf4mLBc6CIRlR7bFdBeF0JL90bmfe1TUkxyBk3
lq6jOHzgfvXAVS7MBSTyS3dDq5qPS14aZBRKD9D96F4lKl7O3Fann1aDZfLq3mzWtV6IHdPxt/Di
UPLu2Yb0PjldWwHy/C30iZvA10iBsQjrfCpohj0lXDzAn6dt/1WNqBOdHV/xMOr8+doSKAtrup53
WNU1BTACBlQlAugyOvOSqT5tcHQ+8fP8rUHRq0uRmjRALkbB5uCkMTFofDGiIujZ0dtNhfAuJm5s
p20/voXgOAzaf56K1ERnhfQAcO35exzgRbT0SkEwQFy4I4UgB5K28o09e1AR+9sq2qUdT2xWRh1O
tWvF8SwzxAMQF/J/QYqA570a7xrUaoZqUuUNF87sIk/JiOaNQ/rau/QBOzEBC5ipewfHJfSmCeqp
Kt7laEqgOeAXv7CCtvu4xjfm+A557V1uoZrcx7Uajszzd1kTOseh2AzdLGzaYUz929pC5j2+ymHv
98/LNPTWXfawVeTb58tI0EWdiEICAAnhg+vm9R6eVHZuRBGcZzUTAMg3ROh27i8gpYJLn3000Mom
93chWGxEDJG1NEjlnXlT/w/xXv/5dQGfmAbdBjDznv8607IuRnaop7luBhwXUtUKTQxx6BMAyNVb
4J/XPi/XVGa3XHloxx3s39yFPIt1HNKtUArddwmq7HhmzLC0ygUrhOOv/uVi3B+5cpCCiICBPlis
j8rS17XiXKYYndUllDtdxWiITYBB/vlSzKM5+2CLaPMfvEa/Dlf6S966m5S2505cFF+S0pkArlWI
oR5fazsCzzKqxQtp+y93FWYJhzEgqx07FB15rIaXj/y9g98XZTjS78na3oK9t5dUYvDJV+WdM7Rd
3lj/ZXSgMcKlnMJfKEZn22v/K6MNbdJPs8s3dAA+k8AYzeLqs0r5VYToAUp09H4ngWgeGqlJ8Mcf
/q3FD2LtiBsFPFsSCQCr+GNeR/N+TeH2jA6SW1Af06fan/HHwePw8fjKL8MFCWyLitxAtmHF9sv+
emwfzo5INB3FyQz+Ff246LHuAcsdX+XPteLg62pqJWO0z8SdcvL5MlOVpvgWB+gsxVP/bsVLei/D
/nugkxh2sghQr5+/wsfE23A6rzskmNIsbfe5Nyc7pIOprfD0Ov6bXn1yOm+ESWBe4hDpBRl98lON
Ug0xYox3FNQ+bkWpzeM3TtHLCo37JNIJJDekMsVhzg7ctAzGminJ7OEyf5ojvYtMSVQzn4dvi0a+
QEDL/j/OzmtJciQ5169Cm3vsgRZmJC8ApCqtu6pvYK0KWms8/flQPbtbiUorbJOkjdmwZyYyAhEe
Hu6/AI8xFmsJyqk58gyigkbOQIN2ce/IqL3TfaM+krRidB8gzLARsNv5/qcryQ4y5joE0A6N83v8
cTNlgt+isHsV5F2/QWXSsYRNYlToPx/n4ylhHHBioGQoGGvm4hmZybBbW4W9GifQTm0+qX/llUF4
r5jocJqNzgNAQnjIH1fyvFMD8w2J7Ko5Z56LkFuFnWSJb8dzyuULJFNvfA92mCrLsDmLyPtqJYWG
Oxxu3J/P+GOspygJmJhrBaQKmebxyiYUv4RyRgN6lVYd/FhrLshtUJqo9fH286E+5rJ8Onnu48+1
FXVZbo20Msn6QpZw9gzw3Q2EPrzuYMBeoK+SXKD4Ov74fMDF3jSo7VoaYAUSWZDCIJGO54agdy2I
OirdrRhX2qYci+JHDddlWImti4lRm5v/l28xv2UJQovQ49WBMRRVGLn4cuPBqCjJeDmibX0htw22
v2GHk98fzoytSR5AkwEQBhnf4tQVclDhIgzpz48a8QKKn7HvLFP6s9Mwz4uMQ0M61wCD8SFyYyih
FVqblHh88iSHL2cZ+J0E6LG0P5rSwDSyy7zAdyJfU4uvCGuuXtmL3cnjmwMhzduFJMugnH38BdvO
G2GS+LjXUx7Qz60xxjg78k1siNGq9vWV4vniFL4Nx0MXqgfrS8BeLKvQ9obn+2roxui9XMtoKTBb
RFz6chTP0062XnHk8mlItNH3zz/ohy3ERN+NrC/e2Lqao6mBnYIbDA1d5Uii3es2MPdLDLmTMdyn
DSF8ZRctro236dLUnYHWNIig8xyvbqD3k1D2auSqcS/vYPDW962Jx4zhNRni/AV0X60z+pVddeKb
ohZFU50jCUZumYa1akGLomPvVrUW4i8+9u0Z2rfF7k0m4/NlPTEW6dZ8NVGQhDKwmKEV1Owp3Clc
Ks8pdqOzxKmWNGdGmY0re2f+T73LP+bFpFbOkaGMNQPx5r31Ls3J/AEHuKZJcXqt8V0t1fQKzVkk
V/54Riwa8H9OJNSPZY0aXj/C5sqIqW9oKFetAPkKHoa6QRul2X4+1EekuE4RF5AqEQA8Al/seEqA
T+TapAlhI7Kh4AE5CZgRQ4BFaV7Z5B06PEgvY/KCY/ae5ER9SgcxXrkYPy7rXEgG70RNTuQduPgN
RutD+K+Qjq8g/fmbNtGjuzbJumRlnI8HkOKWxruHHUmvbsmuKBq9wyqMo58gkFhuSjEy8dPJUy7f
lpd7ArFD6HIEPT9f41PDmtT3KPLq3MHLGm8v+X4MNzfAwlWRy0tVjPLgJdfMyb9KgLVEu6rLDXkF
VHNqTTnvBrV5WkwYCxx/18nXUEPCs8FNOw05VAjF/UFCZzde2avLJzxnQgG4RY+D7aPNvI7jgbzU
nMYwR/msT6sI/TNelZd4CCHKqMb5Ra8pAqRBXLqQURgukaEW79SxLq5bHTHSOEJFDWUbFU2M1LpE
uCG7+3ztT+3vmfdGJkIpn+212FsRlJ3aKPS5mDzhk2oq/V2cdY9qNAVQZXXzhgzapxuEzsqtqaMn
AScECYuVDOzE16BNQr1d5Vk/k0KOF6lCBx4nY9z4hqrypFvEUQRcoKOiLVf6CcsnEqBoADQqD9C/
M5bFSD0K2rIUDGgbtCmmfR50P52UWtKGjWjU58aAsDSADCy2ZETeLBdfOxpU5iAchKA7l8x65QMs
ovPv38PhJsZoCAItYYV+LnqZz83ktLT2tjn86jMltsKNbP45eWo+XXBZLPCaM/NmPofvonM+Bn2O
6A+spb5rsTfBdCBII7RxulG/HALthzxJa/3xxfTm3X805uKYGUWYGK0a5RC96+A2zfuIZW70fRWo
wpfPt/KJPfR+qGWkFlJKdUrdhW4JOfUJ3cN2C7E7Xyn8nZwQRRSKQ0Rja5lPJ0UhlPgMsIg4odqW
J3jsUw+LTKRcnM8n9DETg3EP6A+i75zeKov3kKBp/sjbh3wIwQjbzC2M1saGmuPk9fFtip3YoS1j
QNd9E2irpcdF7+VtY/Kenpk7PLvE5ZFEXkvQR74cHge5JWCG7vcjjuLo2sOoyXAER/P/NUAoRbL1
Po5Uh9uzTXdoCVIQ/HwhFl92/ilz6svtC6iIHsxyIUDZBeCUUBRIW1TO49hq811gKFhZfj7Q4uPO
A/FduWxJK+aG42K3jnRZtLjDGEKUxmxjFKIGhD1H6gVloZW79uNQc0eLqhCXLZW/5f3TYRKACQRw
YjlF/TDvouLcwl/oi8j/++vns3rjL79Ly5iWChwG9AbJA4jp5QVrIq/jV9SpKYH0NZMRhG0heFT+
Mp6BXdAjowiMOVPL2C0LBCORe4U5MFjKIYFkuw2MItp66Aqgxqc+megs3CA/gI5Tj1M1pZ/orMWK
xc9yYzMiQoZX1JC4eqv3FPmMa7NOaRW1jzRQ7oUCTTKdNBG1EG8rGP7rmJXoVBl0MLNYQCEKYOeU
m0905F8AUyJSFmcSams4o06h350V84ZEkBWljCH+HrXFfZT33+n7t25fqweZTYKOb3qZDMpjNwRO
b+gYGjc3oZL+qhNrG2cxJgKl7MgaRtxhJN62QXUT19oXlC3IxpU/D++kjSLNFppI1G2Wp2jkuewh
5we13MtwTS+HsNzUiTkkSOr7wf3KhyaAL76zzK6iUT6zdD+8iFNeTchcIEhQiKG3a5tAuqThE+3K
xMjOJy1Z65af2MOwVPEPkak1gclfHJdCMVGmMi2aol0z7PqxaFx8h4fboEW8+POpfQwBCPuQmmr8
hSLDskY+9SJCWhqwf7Gqu4Oap+1uqvVoZQHfamgfVpAgI8/A45m5dHxFIs2JxobCSUF2tjkPIlG5
UhK12ibxOKBLHA87DFawc5vGZyNA3teqrGYHcWq0RQ1R4wlpTXdQJsUZ6cCc9er4Gga+iXZaof/Z
PTSf6bnQSZMLbgBRcZHHALMFKsu+cxBZ0p79ktKmIFatE2Z9sJKinFr7ucEDzANkxIcHZGt5YaQj
0IL8M/wHp8vSMHVUVL/alfC7eAj8nhMVHSIV76oPccoCGJiDpkexSDehlIA03lhTG5zXKo+DrlWD
tWRQPnFgAO3NLGB51rRYfO7G12sJdBP0VKMaBczlKYxeUqIoJPykEOqxK6EsOjfTjbqi3TYhkd7p
iFzi8hGGLQ59VPM2aqaL3/94t9MooAg7I0PoeM+/+12mBnUQTaWGy4FfNdZukES4V8hj09aH/8NA
tPdp88NrYd8fDxT7naelObKBRmbh6T5qViZszUklgH8+0LwdFweLjvAskqIAY6DNdTyQnOCtNJU9
vhdR1m0peGX3EVqAbpnK1jWK0qgiCqK8wjKX5v/qJ6MuIXV0GUpiosj37aYwdtADgy4lekOzUfWa
Jpcip1dDnxuuEUTBPm6HYjZWLx+mLmt2Ra4J+OqEgLdp0EW3ka8kd7GVthgFIDFho8+g3CR5ka71
yE6EVSIqaRfPFIpwy0TWTAezpSNI5hVo3iHooXragYkKYhlG2Gp9/mHe+vEf1ohDMOfpEKqWrSkS
IX3oRvyoghHlPeiT43PdqM8zJsku5MhyfL3HUCYlBxSK9G6+trDkG6A0hzh6oZCGXRySTK6nmMPZ
XMPftq3VbZDEGTatmZvbXMOCz9cSqnit12xLyk6uURpf0f5F0hRFR3zDQVm1Uf8sdTSqUtE/UwdJ
m3WNdDjCeG0nYuE7WiIdCASSo4nBeSy0e79WfhWWdx765mVbWa+lGYtui1jSeSGn5nniFc+8KWd/
jNIJAuyOfHHUnEGU08usaTAeUeMza8RTWhYr3xEnTXLKerXjuSSyENU0wFSyRJVx7g4tQUx+rak4
ZGBGUdMGdDqUDQGWYb+1V3gNHjDWDPc9XmBYzSkNclUBS0A/NAicFgbxyjH8GGHn30JqCyMGmMaS
ej01fQLn2iKTjifRckWrpZVjlFWAsXYSogJmFtpkrgz6cT8zKE0P9tYM+VzCBIZR6uN8VrrlcRpd
oL+Iih2OB1stHpTt57t5CVt6W2y0ieY8l64A+JPjODNzgGshYYJD2Y2jndftdxwxFZerEd9jChmI
/AEkQoPS1mk4P+Dqjj5Vp0WOL01/yJ7ix/Cu5xiTULzF8kVBW9VHc+r8BLUDNJMiF4Gt1h2CLjh4
oEaUKy+uJump7C3t8fNVmCd5fKQZ14SPydUxj72I6srYpZIYwkhLux5TlCzsXcnqzJUK2uJ5+jY7
nQoaQFALEaxlFVYrpijMJAQWUoLgobKGaA9YE9/HJKu+oYGO3mMVdRg79mjOfz7BE5+Z65piJS9j
kBMfOq6anIxi7nkI4AzezywafniIMmzgz95ZgnA/a2uOZnqpDAgwJ4H0OOVYWehrGCAgficWGn0L
TjgIIAL1Ignrhwhhv4olqDVcBrAu341CjZWxQ32FvzcNiqdfsuI5VcoN1n5eEdpDF7iC39ilgXGS
01qkbdOIevc1Sja2UM2wJbczcfDp0W2EZic8VDgKTVPjknSV/lefF5QZiU7rl9hi3bXTjZmL22ro
MBuKN2im8gpLEJQrDgp+sljvOEmHbWyJ0oq0xRNEDPfIsjqpftVIAy5soUML4sKsZ6+gC0HcKta3
Dj+lLKDjow8Iiafu6OPHETjYrJqzLjC2xlVabgode9shAJtvJhd9G5VnaTC8COTOvvDVtA5JWM2E
Le6Arz5KuOhZ78MJ5dZW+6Llj32zNYI9T2teChIOJFJ5EaPGLV2bLa5XnupOSE/okezkGAVRelTH
B8+8FFFXxXuD+3DUniSsgPz0Ue0wPmj2dYqw6EMibiOacYV817bwEo2zPu7oXCl2OV3r4jWqqLYh
XcX5K/L7qOg+VgIuLBWOaQhGqjJpgOcGOC6Y3o+pjmxFf63M3aRcxXDdKnkLEwf/itDh7piKHxq1
4rj5Frdo82xgXuBOidyDhtGzWDp59qWxyjMIw7jfxtdo+tgS7oNTfNkVwBLSbYa6Lap6qrFBTgl1
1rNYcXvrpdZMQAslpl64yNZcuS1uT/JeVryzVtipyTZuJcckihqOji+QdxV49dWQ7Hp8U+Lqsi9d
MeJ6Qdwy9x9hnyTetTRd9+J9X55jWSJa33M8EeMd9qs4OLVnQZwjtn4uF7d+s29xkpfyu0HFqK67
8bqdbzUwS2nCCTdqK2/zAC9N1N6n7WQ9ydCvxfg+7L8N+kbwXvCskXCW63/502PeXMioEKL4x7Ow
OdPjOyiqWnIrx9suM3CXHBAKyLd1+XXgSqyi7xVCXmWjO1MYbjRkPlGwyIwDopYTaiiGhTz55IY4
qUTdVaEejCQGrgLIjBwpA+kW4aNWNF+19ioGKYARUggfdBhfJutX3pFn3oOSQBQ2OyBNIHnXZvJV
wxe9yMIzExsDTRMesyzHtAz1QrTxuZbOcKjdFzjvNjrUk8Rme28L/ayzbgPMQlSQmQKgZMpjiH9O
tpC0ezyRN42qbapWdBPqUo1+E4v43KXmJSo//BEpSAZ5tuMr6RvLu5ZzNye9xEtJFr7L3nCDgcRG
qvaUO2Jkr3UMET+PmacuBYweFVA40AEhsh/fjELlyZBlkSLL5XC88IUYy2yarSsdwLeov7x7AG0D
GocD9xFBP2iRX1PDp+AxaBdqADpbVRxVrS9zVYEibTTxRkfI/afpaf5FUNcGppnBwwTwwe7islsp
G3xMPUgG5p4kP0aZ8TnHk64R2O7EnDJV6PWcIM1DnyxFNzX16rUXzsfUivYJbWSJIg9cyyX+SIS+
Y3gx66u2oU6oUPv7KVL0m2EoMFWhbPvH35Pq4dwQ5I3Id12OZ4ZePUx5g9scPZM5ex+sCyyTrT+k
snDNw39S4UVQv6UHunyNzFwJrZqmgqAvXUwB6vS4ORSTO4R4YOW4/17kCbfAn25W+ES05VBA06hm
LasbGlXYvkMums5LkO0lr0LyuvL9ldfvx+fh3PjnlUUTnirWktMcTYWOQKpP/11LHzEhuBSS+kuL
tp5bYbutCcYLL1bDLVR1hdH8MXUyqDZQFDTJD1V9ibFA9N1q66YoEX9KmscgCeTLTpNqWn04ybV4
zGxpcAdbLSOH+3xhT48MDADgAQXJ5dfEpV6JdJ+RFQ0B9yodgqvSi6Rz5M6VfRTowhUy0cbeq612
ZeQT54MXEIkwLyGAJfIi/hTyFOt6mJU2xBvxa6P47R64kIG55gSoDROq2UD388meSBNn8QDKeDQQ
4A4s+YPYdwlRbjSIAsU0kJUQaLQllcFZXdW1OyDIu+m1JPyqpB0qFbJuguJRG0cZjNrN+ybbfP5z
Pm43EyLa3H6jd6TS2TkORiOFo3LQRR7Nle7vSmmXCk+w9mngwPEorvzGGu3SVIWV8v+HJJV3HhLo
PD5h9IEbXAzboeQ3+CbGPg3YePBK/YDrhDvVk/KWd2UNlqph3VcSYkldo6grIfjj+3cen4DIpUM/
i78cT9uK5naZCnqhlOoeXyMF0HqVIVkx0ddOeadhZ9mpjgfQ/VabJjy69Y7KS49o0cpPOd6CJvuK
GKZQUUPHQUJ8cFHua8WwFhvDqlDAUyZs8XgpU2QZKxP3Qi0j4RymIFh5JR2PCQR3nv2skkOYgZ+y
xL+GithSp/UD16SJ1x0URB2HryKPV9C23Sgo8lawZBSrPt9qy7b+72F1sJT0A+AiLN/cPlrRpt5j
oB6JXr2tx7w6VEYX/8h1JTqPdcwaYXdh6TmOLbkK3rV9hkHh5z/ieOO9LTdgZO4oaf4h9AeOPzzF
ox5xg3Q2oKZohpmSjsEWNgACn3qHMHptx+EfVjjeBqVuYnIp0jCUqXIcD2r6/RAQxmb/D2hivhIq
JNKZOLVuSU3lMvKSPl8518eZ1cchFwfM0oNKw/yKnFai1RQ3ovRg4Wux/3w1j1OZj6MsNm+uFmKZ
+xBzywIMyQ6FkVI80+XRj880ABnN7+H+35Gsdv0ms/0jL8Yq9INm8bf/e138yu6b6tev5vJb8d/z
v/qvf/T4X/zfy/BHldf5a7P8p47+Jf77f4/vfmu+Hf3NJqPQNd62v6rx7lfdJs0/BcDnf/I//cP/
+vX2X3kYi1//89e3n2mYuSF15fBH89fffzQrhnMgZ0zzvyTG5xH+/uOrbyn/5s2vKvuWfm9/5Cf+
tV/f6uZ//hJk6x8wjOiKzEBeDvaMd+1/vf2RKv2DAEMqSGHgTfvvr//KkJ4N/ucv8R+UpWZkviWD
v0BIe2Z71TmNOP6L1j8gLZGWv2UkJuHS/Oufa3DzO8H+/XlOi6K/7fN3ebhK33WGFpK5EfAo0Myb
9l0LQeZlqXlWhsec22/w5AtMjGmjfpM8GFv8bvbCxtvz4HCsp2xKLuXUaXaZE60E3GXsJ8mg+jTz
WmZ2Gw3CxaVPK6Uuyt54VnfxnbLXDzyltupW3vvb1aFY8PdFr8VQQAWOJywB2OxMDNTsbjtuvPBS
SJ34TNhUG3nbhM+4/+7e7Ym/V/y97PwyxMLzp/kGgIxrgiobBbvjARHKRDwxMJ4FT0/pCIqiE0tV
a9M3jxwzTg51IT6N1lx6kM9jhNhWhp9BD0cfeDH84gOrg56wxZhvvfF2ieK2u26P3+UmyjfNrl4J
PovU5U0Igcsb3DrdOSSoFsGnrj0cRTXvOTp4Z/Uu3im7YL++pMeBFCFvMrX3oyw+oSLoUYQfzLMW
q/DYXgThD4GjywGUxeWATUCdC5n3jL2wjVK3et2WKwu1xJd9GGKBVaHHJpV56j2LZ/VVfhtS9nOL
196lZuZkO87Yrh3dz3fCvPbvNsKHEeeD8e6kKwKwA1/E8C7p7MLbmqG2ycSHxtCw7XvQqpVLfZlT
fxhuse3pRZZCn3jPFP02lHg34NKvrK8csh12nV8+n9rxnfd7QyAZQzWB3iwd7fnP309twFkqHoRn
wWww1LgUdVKG8fXzMRYJ2tt83o8x//m7MZo80alrCc8x1pJGc0iKylZNzw6CtWbk4sD+PZABW15/
k3tenKF/iYm0qBB/MXAq3GlNITpoeIS9PczaIgrOeW4tI4prTwXIAgTFCizA17VGTq2rBWKDxxEH
mvB8PGcpoddU19ZzXL7q6k2mPZjx7Z+vKsgEqCc0vDT668cjaFoJFHwynjMpdweDGl/j4UlLmULw
1x55pyfz76EWm0SrLaykAvO5d/qN7NQOBWTM4W0qdzZifW58723WLptTe+b97BZ7xssmTx8N41lT
ZtudKyw+Nl4fULNeg70sO9hvm+b9SIvcEkMFDZMX8zm6UM8CB6spuztIW8mtd0DtHGyLzstD+zBd
4vi7cnevzXGxXVGO7Glemc8mJTo53KPNbIv6neKvfb9TQR8YJS+WmWHDI/V4p7RWKdRpaD0X+KaI
1uOsrf/5Vjw9gEXr1UBLECG04wHUSq+bpjWecymLgQ+FX7J0DUhyYgiqOW9+LDKdoCVNu6e/VNWT
92yoG+TggAtEK3M4scePBljMQS+lLAAp/GyFd5Z6nSdfk/7h81X6cHHxQuOJPhsAwNsgX1xcXOPU
t8Y0+yenr/U3Id22t8nWvCEaImIcvmhP09eqtPEs/HzYef++v7zmUUE9Qxghl8YefDGxGOSiYdWo
esRYkgyV2aM3geFdn90n9C2w31vJ2pZfShYR/AdLS1UROAqVxePNkKeTkhRdEtplUIh3YR7c1o0Z
vHw+qTck9fGsGMWieAnwH4TcsuSSW57kKzqjVO5WBHbivaibfIen5OAg2jrKdwNNSifAFcteq3md
nOC7oRfHFppdm5e4wdml1U0bsSuLTVPoa7q/y8SeKwMaCsAz4Hjk9uKyz97IOt5wgobv14VJW9Ch
a7GrNsNG7hx53+5X1lP+sEuOR1uEeJzLSqO0GK13One4QNd6Hm9OQlO8JfeGuzLe8qp+mx21A8IF
exLk4fEu0YDkm4HBeNEh3A/3WII6tYtkxd16znt6Jd+NtZhbR9fQZ/bowR/8fSXZ0dZ08QZ269au
VvP4ZVCfJzb3zRGsmxkfS2+RWE9NrdRFEDyG4Ll1lVtAUcpi3/A/O7Tai7V20JxJLE8CYYX6FzgI
UEaLTCM0W1pcJQNS6brN6clh5gREwAgucmHaRHWDa9rkbTop3DdUwVe+48foAj4AASGUlchEuGCO
vyOiiQNm7s38RhKDyta0O9p/Jcah23jT7HtM+3S77HCMDi67hHxB3a89nN6O+mIBjn7C4jzqU5pH
w8BPkHd1vDemKw/D1n2yHezY6X+UD2p+XeTnE4mK4K6lKW/58cfBZzYuTRQO6yLaVXiWTNhnzvMf
ODe5hWpG2n2bg5HuGrssVb+ouBof1G1+QPvxKt3GN9MTLcgwdB+b3eo5Xl5jbD8W49+/Zz7n73Lt
SimqPvBpb85FCXN4LLb5ziCLGZ5QiJ+c7GrAdnm3epznS+TjMpjg5N78y5bCnHQfM3lmk9r6pfYM
HAck2gZsxLP5Q75Q9+G2XNv1p/fdvwZ8Kx28m2dKF5h2FQOy716bi3Bv7MOz1NEP3n5ykqtoX97j
eO2spWzL5uscleec/p8TfYs178bNe9Uz9Y5xR+Ik0tQO3JH72ElsY5dvxS/1yjxPf85/D7f4nJ0w
Qdsr2V45hCrsYKMbz5cuk8pac9r78OhcTmyRJkwYxJY0yOeNY+6onGfbOf3tXdABKD87q6f2xAVw
tJCLC8DE3zlB7WwOyuldtu32PyanuAIQsXpGT64hXRmKibRxlaXSWitjYhllI1fbEAWybck1EsIj
pHfH7+J45WJ7owx9OAnvRlsExDpoY62j6cdFKm2nadt46DtEW3Uz7Dsb4M03nDdfo728HYZv+QEA
xJ24tXaqbJv7/gJz5uvyUG7BI61XmOY4+NkvW8TJuJSbIM35ZRMixls8iB+GIP0hpMGh9rLKbeIK
eH1i3nx+Qyylnn+fGMQFpZmDI8P/Po5I/dQgC2IQnstNXDpq/EVqHSV/qYsbq9ob6I5fWSUBQ7dD
YnbgWm8PSznEHJwAAiyqiNy46JzRbZxwuxq4Tm7Dd79uEb8tSQ+7LGiB9lB42xXbYBs6rbkTt43z
H4TJtdEWxxly6YiIK2sRHapDuun2pdttUDbggK0VT9/sWD58bprg1M5pdoH5P153pWraXEXG6e1A
G8I1+lWK+cNMv/hQYybjzjACp9B9GxAyqDY3dMZtcYVSj3wpIKq5p+Iah9ic2uP90H0vAFDxMNZt
Q7dH3N/kG3qZ2mv4LADiSm+6W1UlzvvuWkv7dFh6N4vFpg2tJJV6Gsocp37T4vjCOSo2QK6cbiJ7
W90PJy+yd+MtCqRG1tdWH7Nq6i69Smq32A77xgZUOjk4qbrh9k+rzL/Px79HXFZMMXZuRvxi5hGT
m3TjHSBVUszMzsLVSHg6VXo31mK34ydct0HE7OqNtEV39059mr+94dQXjfqCThPqm9tOOmA066x/
zBOpMRzcf+3IJREX52U4O/g8EIir56GTNhZ1/Fr5Rv3F/jzonHhqc03T7JmVEng+LfG54aQHSTqx
qHMaJKhPcxrEwcbh21VemztQ79Vu7cSd3qvvBl1cobU2ZZ0128LOoV8X7v+5d+rUsZSz/+Bhc/Jm
ezfg4g6tYEXV/jygvOufEv/7FLXndc3VjVuCA71Ht8GCXgTj/znRfDf2/NveJUJj30xaODB2xQoX
CEYHSmUr7rCfs80i/SIpt0ACE6iF6wt98iZ7N/aiOJjx2m7y6G3s5mJQ6bHjflwLG/NbveNpZyMT
dVckB114zOVhV1+v5xSnTxIABzQcUBhByul4+lPaDgp5xLzBOhfuJD6zdpVciNApiBhgRLdi0dny
dC/bou27azqMq+MvTnIuJq3umW+9uPwqI25IeJU4wIoOCNxvs8yFD+4Kr+ofN+V+x6t3M1/cYVFS
5oAtit8RsqVI2m6zq3z7H7Q25//Shxvs3UiL8ySWZZNlAnOMDu23OfDPJWftFaCp67trVZ2lisTv
eVEom/WdqWQuQTSCX8LnyJkXmO3d17F6+v2GG7ftNP+fusV13l27b06FxLksO2P8KBws5c+rxmxC
o5zQjjOD8os5SBWYXqDK1GzVjQlCerMSGE9lIDSJ0QWkqW6Yc3v8/bHV9EhVPGxGQHw/FFAJtPQB
4bwZqHyPSfi51hs3etY4qvKkGZnz+eCn3mzvx15kJFMvJZFqMXYSXUymtOmFaym/gCE8TtbKUOib
f5gpurIzhUFEFY/W8dsV8S5AZS2ciaqRQAhHsgYqGtwZpGR/TIhKgll8nx28f+RWAFfGzFrjm4xm
F237Wi9ecHAvXaOTo8eWv1LSBl6vu1XmFZlLcad+UpVWfxjLdpA2jRfKil34U3wrGFVhuIEn+udN
rXVo6FN1Ulzd040bOZIH3QkbSQPTDw2JK7doVfW8DIvoZ5l7OGagMNA/oIM/7PQIepKTWDP1I9Mw
SrELqix7H3Bx6ORJpz+bSay9TnnfZpu0qNL9KA1iv6k8P5A2sQHt/SxUlOBxCjx+pzFMyPn2Ws3C
j51qa3Ktcb9HZX+p+SryPuQFvpspRvRtUsw8xX1ekjGcF+vsWhTa4UmplTS/RI8IDdAm9fvEztAm
d0dZHC6kBKSdkMpVuFEHzRScIBk6dEx8n4uIRfdcIfNFkI/mTLbQ/AiTUqlT+usRPaHIbuI+a9xW
HEdz0w9ydTNFXf0M2qPtEWGQjUNeaON9pOUN8CL0lK56eD6xHRWt+FNpOhmaBnZ4kh0WUlxu1M7y
n3zVBA3vR0XsdrUinE+wCgtAA2N6EJpeOhN1rX8ogrHaoUOue05tGOVdULThtSYUuXXTaOpoOELa
Fk+eZrS/JKWTwFaN6vew8ys62yMHBEZXdBtUQYksdhWzOXJRfxVk1Kyos3tadV0jBHoTVn1yGaPL
+DMLSiWxramYKEsJg4bpTead69qQ3eUTAh77BMQqeDXIY64uDBlMFT3vb6EFhfggZaVlq3GqftP8
WERtnm1mCoLp1oacvCh99+p1gnaeWQiONkoolI6C/NUvvU7FHzWyfme5Ulo7ZSgzOv4RibsSmPfd
WGton4e69ZQYClR9FNemcwRR9fMEAHcDer/OznAP8OAQUuR2EdYvnoVBj850swfOAqyxy5zBH6Rb
ozbS877UUDZoVCl7LIppuq/iji2P3Yn5IgZ+z+fLdbR1zWYf9YMqgI8NeVtkvWDYVjyEt3qaThda
Y0g3nKhkH8aRTlysAusev43qOg3jh6Yc622KEaRhh43cCZt6HBsJRk2fvFRTrl4BEgufO31UziTo
iNdZoZWIU/othPJ4GJ2RgOjIqZLvlUIFnV/6Qr+tkAC6EiS1uzTEnvodjuPSdtR0OMgTnoA4YRH7
rQCzz04Rm72qFsUhG/AJq+WWSkKBN6fd4ugQ2mYK76PFDujF18WqskN0Zu6VTqzvraof3RGo/KUQ
h81FqxV551hlVjwaZYkEeA8o85ffSeal3GmTaI/oRoy2qoaosRWDVV35KXXVWu2TiwrJRBf/9TjG
ijseXtqpHhz+lj5sYaS7VNXiG4C33kufGuo2Ngdj10dlieaqV59J06g4XSIP+7oS0BlRY0T/bUA2
FgD+IJM3Sa7pV0ZltqAXY4troklj1OgNurC1qBwso+DAjFLyMmhZWDg5nnMvfhx2G0VookvLL7Vf
seyZD6jMWuzhAH6crUUpVUBEU4uHAon3XWlI4/eIk/A01XnwU/GgXvlm3oeuUA7Ky0hS38HjierL
wZ/Kq75WpLsmN8fLWO5MHz2MzD+Yaag+WqEo74IGeW83kQoJyHVT+mfjJFOYww/GclsTxx03ADDy
vTDxVRvCx2Lw7aarf6WxfF41Vblpjfpn3ciu4llseeFSFzAGFqPvqG0AmYYf1lVXkWy6lt4/TmNy
lXbbkk6a5fOeAN5sThvBMlyR0Kh202jrgfIqaJXtFeZsVuxXTgO0vtaJdVglsxhNfa/FX3u/PFPU
FBXMcJP41i8hIWtnI0nGT9QRKo6NwjFsLxLpQY0hilXSk0Gma8ahLQa900hwZlprI2bmWVD211ZW
bCaVSn+LW91k3rJ9LxJf+YJL1hm9ukMTNAeaqxfceTs4+WBWg9sCjzkDrwekFx0oXTeFdiUl6V4w
g61qflVD4TJFAF+vr6qmhwIRbP0iuk6U/qH2vogIwolt+FXqv+Byi98pnJzhJRljZwT1M4a/cr2w
dYGyRvCk9aMj41cZFC+JLCHFFW9DiMCefNXo14Zx3qUHvYm3JbYPCh8nKn8k+JiqQ/TU5i3EpwEG
maYVrq+r32cTa90KNnn5Jhfp9jjXBLr/WsRQMRstcqFxdY5XeZSymu6usibNNcxU2mCS+zNPw2Cb
GoB3KmhPdepW6KF0wCYqDJmrYZ8Ewj6RVBQRbhrrqaJ7iSyKrVrtxpe9n1EnpjagkgtrEn6YTXEV
ytETj69wQ195Q5urtqPeVDB0EAGY14UREovZreig3ABbLl2kYSrcSqgJRon5KBbGbUXXX4LEN9SI
LyTYoqvaRYpumWcV59ogHfosv9XCh/9P3Zdl141jW06lJsBYJNgBvyRvr76xLf9wWZYMdgAJgACb
Ob1R1MRqUxGZz+GsjKj8q/cTK9MR1pWuLoFzduvi8EBZs29D8TBUUWFXDuciv1gJv2JjctLyfExC
EJJrdRsSvqOlPdTV1lkbXS0T/OGbNbdK5Bna7SJFurYs0wPKPU6DF7/Fsw+/2BrdARhAHUewj9Bz
2E/LbbDYY+vw2ZmnNu9N8G7q6rC4+YR6vB+BFvd+bE6NIh7elfBoQxPnCgrsY6s7ddNx+bY0S3to
GloQPsTnqYseMWaeBqS6F55Q5su6rMEumqqvuLCnrJvC4Vtq/LvasDsOJqc1ch83qCFRgz/vlGeL
lWM2x+BKPRsjWVui9Ynp4IAicP+yrmX0aUqrS1LrS4o0VmSl7MM+OXMSwNnmD2YP7XAEq99Cn1GQ
Xn1fRly7ckbrA5uCd13XAEII7jmZosEdI4tXaFen+RojGiNWFX5WPoQXr+tbXCHQoUiFNoqyNtEe
yYbRrdakyiDVifaSsVymLXynkxFH4mx97pdWwLFYo49sbcdMxDGukCSFebARuHDKczqFE2zi1Snk
QZfP3fiKlqmjHdhVOg7b4IITKvI82B/dgF9uXEY4hpf4bi5Hbw9XwJs/TOyKdgFDTivioahBVHWG
xub51ReM3uDHqTCa0LU7w764kyiO3iHbVWfVmEZXoWmG7+HK2IH6MrwLsYccy4l6MueVTKa8H/z0
fgz97q6aDdStvQbhEnbeoap6ezCigbublmLdz1HrDnSuydcmGCDXgeupzengRvgPWWcOM2oDdogA
lCfgwt1pDsyYCwYbbbrE69H1QfK6jF59qMoASksLG11nVKUyON78e8AbyNOOmwUFlczvo+d2bCug
DD27aq3CP8YOyC3Hnxnrl3i/SYWwatcrWwyWdKc+NKBJp7kkL1M84H9yOcizb4dh10aSHqZupojz
mdyxEyTZ95FFmLVApcLs+9VLOFdBwXzli0uFdvGj5VV08vEeyWLWqX5u/Um9VNp2AiUWXuBnAan0
kasQV0rQ169o8jI0GxEjdW7bhh6QOguYX8pl2EOxzO/neoRmuB673YxfGDyQiAl4Rino+OC6Sd5g
Ag+OQhG7S3mdaDj9Q44GCLHCN4zZ1saYvPz5y9RX9Y0TPTf7ZJD8XA1z/4MM5XgpPbTloV9snZ+G
wU/eRhSQ7E1L8JAhQGk8oYqEwZ4pOZIRex586n0vedfpFCNAK6W2y1To83eHDJJrS732CnEf3qnC
Hg3jK97iTCixHrzGehc5uPCKW8M+1c6oOxP3IeorWf2NJHP0KUn78pNpO/3aIa2xywypywWWJQej
Th+UF8s8fTK1n2IaiITdMUxzaRbyaj2P6Oh6kV3EXvDpAruiPcQ2qtI/RM1AcK0Li2yseR2HhyqV
wJ/Wkt8av0PeihegPqWXChOzwn/pm3G9llN6gYROXNAZiOVjCEkO6ewqs2nwmzhLyMzkoRpwIpop
hLAONgyK7IzRVbTAFc29Ww/pRQVqgLvndlL0ZUgGi1t+GiFRRoAq5jHZHaFFaR4YQjiupsXMz13V
xxfnRRxfKTCBROZGs55cTbvzOKf2u67qtD2Ufei/QuNELrMZ6xptGwi3z1E1v1xwA074NSlbf6l9
tZ6bMVRYYSKUgCxtb99UigBJr10mvquRavoAT9RgjxBAxPkgLHkWehm+K3SkQYTpKwtPVGjOOIbk
vfIIXq8bv+PLyq+lXy5P1HD5jTdBWqioSet8xpKSo3Ia7ms4+xAgrmEUR+w1A9I4ru7ZQ5PO7cwj
7wwFBG4RDvarCaIx2SN0rvkSBVVyNP2IHRi2xj7eCl+TVzpy7wo8Jz153hqHGWK7SWHQ+FdESU+v
/LGPzu2cgLVAwbyA4JC47t61s94Db23v0ZBd3k6L5t/1pMdDMIn6M8wFwUMjsFOuQ+ndTCWLbuLF
sIdEh+VnaQm+g8a3DMwXsJDc8xd7Ft7SvLd9i5pjgzC1OkEEJxsqfh3CDIKlI+7zeV7NRSG1Rp27
OUhhJSvXbMDBe4mRc5lVbJJvzFtBqqAEYfoyYrF41IEqr7S1UGUuOiJfsJGKQy8SeZf0bsCQRii2
5bF7ZopNVyIOqgv6otpvFK3iO4QL0B2d+mk/oRjnwetRCWtwlSFSINlkR3jZXVVP5odblXmzg3ox
NfWhOvDMsx/P5FGuo9dlgVcHFYZagnHGDQJVDCxaNlzD2i12ukr8NtdskVegP9D2qxAb993n47R3
LOqhXJ2EKsicihRG7JA3MGwz7xXBRoHLfIT/BCBSTfdgyBI9mxghA13dreDP8PlGfkAg5bkfZ+8C
HVB98de0nose+fcAKKMuwGTh1BpmcLjWSSERtv0ZRSwCqidg+OwQkKWMLhVvNd+3plmWU2q65pYn
1H0n0dKbfDWkekrNMqKWAMEjKIdc0N51qphfPTW0nBGzN3q9vWZeqB7nrqM/Ylz3d3MzT/seFsk1
o26m5FxNbgiysWx6noVVbPB84n1gyGKN0zOa5rxPwqc13y1eSWGdH6mm2PRdF5+lG+o1a0t/UVcd
phyW4bNaX9aRJU2WgmW5XfiY3tjORSfP0RVb/rxajJAIQ7W6IQ8o18aRQaNB3nbHYxMRiGstJj2e
TQmkgazu3R1myuUOBaLTjzFe6NdVhAg/w4r83Ne2vpI1Jq2+devNyCP4QEIX3unYH54xP0V7XtX+
Ac01HTLxgTydmMTlr+o5vlm9lQSIvhhQBFLWwr4kiUN0H0Y5lCTC6d7c6zQcEN8yNwMmNBL3BTbw
6OusW+/IeOJObgjTz73p+i+69CcshIT3X0wT6LMg0muRA1OlNzWUUl+TwLZfha3bCy8jRDkQSg8I
Dka4kRgwH+dNqEZcYogHWvBVtHggSLo+zmWE4xO2hv2AGLFzoxvzjBf3D02LFSpvq3i8ThBTeegU
Yn4ynbZwpcAVjkek0Wl9cfBQP8h5RaMWh/URRYiQYOJDgzSBTBIevqzlyK6gZfxeTz65mZd+wije
41kjK2sz/Bm9dniY3/uBTk8icrYwCi6HTOF5OAQxliUf91Smg4VgyArpTd+C1DaUj6docuVtQ3X3
NcIZ+dYjtanFXhiy+xHL8VfZWHlmKR3fh5Ks33sbTUC3GErmLWIDqr8RJvyimIRLN4U/HymCIVru
AYr+6t6xpR2WtQ7uNyJ1SrIqV/l4QYVJHu3NVbT3wUF313/H33581f/G8P/lVX9lNz1itycxuFc7
eiA78y0+VgWehUN/zR5k0exd5nJxHRzic5yPz/NB3Io9368v9b45/L3s8ENs8Fffzi+0SSP1ImN8
O80V5qgCe/QVP1bQ8NCiK8R1clef2Hm6DXMOrcHfMr0bX/FXL/4LcxKg8kMavHh5DbLmqHI4wjJT
NA+/U0R/SNP+sPfd/f6Ff/ET/vJ//71p8E9Gw780If5/aS+EbvQn6uFf7YXf9Lf//V+v3/5sLvz4
S3+YC8PoN8QfUNSCguzZIpzA8/9hLgzpb6CAYga19FY9BnHjP92FXvIbqCH0C8FkjzhO/H38Cv/h
LqS/wewPqgEJDnjQEDzL/hN34S+PK9Jq4ScPogRhIj7kv2hp/DNRg8SJDmfPgk1/N5yaN36Bb3r5
qnIv3wg+im3QAQk7/v0z8n+Ty27J/zCt4EcNcbT++ZW7eVnwjuGV41t9CrL27I4Rjon+7v+Bwd5o
0v9+JDbTMmpeEsSzbV06CBX75Xlcm6FB6KPCbHTmx00FFhy8A7jk3d+R85tu408vBAAGNYNwLSMw
G0lVv3CJBE1uLR79H9FhPInzpkzd7HXp6aeP2R+P3M+OxSTYKPc/vw5jUMKixRI1gBT9jn9+89oS
843ssNZw7dJ3Mo7BJwd9021kJwQasnb0xhMEC+WnPmzjr0E/qX2FgecgCObrrXdovPBtZUu35W0d
xsrs4bisb+y23HkeepAyz446ythCKURc5RqhAH1bCOW2G+pqCo7Tti/aYBkfEL0xP4iODQj/g7V5
P1IAfNqO7AYILwIS4tS927XCuIRh7hwja2oD/ML61RuwtlZmAMLyscvyj73WX0r10urAPsV0Gi4B
bOZzNm57MN82YhDlgbiQbU+OIfXA6AuXRtCiVhREzQQYgMHIs+3YfucQ+rTt3RzpJufWCgkcrtmG
QTQwA5fDOo93MLRqQMKZq+5hS8NmL3x25cP8eeWH+DO6IQBB2AE6cnCiD0UPCfh9+wEXjJi/r5gB
hJ+MTXJQk2++habyj0SHDpnJ2M7noKzOy0jFadkwiTDqJMQDDbq8POmzNvcWpDKlG5LBSu0ObTCu
e98lADqYcKgZ3tAP7D/1sd4QkbTth8MQ9+lnsQQYbdkHeEI2HIWmS3iHYQIiv9YlnyZ/LF/SeBl2
0LA+hwrZAeidsPKGTqN6NExOALOFTr4zKhgSroLlRGRnEZO54ClcaVisYl6eLHz3ZzMr9VZxbCk5
Rllzk5QcsUdrSi6BWyYE7ik7hmA5BD2ziU8cyjY4VPI5bMYZU5cCjhIZToDFtPaejSG5pHJeHkFI
+d/SLuo/oQjVYhyewuUeI566jVKMdqiKFSHypQElhPhW6eRytEzPuwXRspdEBu7cYenYt55EPRiD
rwBozSiSvlibmWP6XJV70aOqb4H4pjbnIUTSecMGcVNV1neFRpxGURoaH6cU1Q1+W08e8jCtucIc
1kdZGTJE8U4tw6ILHBoCe9+unciM10NKlwKPSSsAgtDEuVsRIa4+N3OK0VI7Lzxb0gQ2m2ItD7RX
sswggXO3qoosxOtoLyMoG+GWfkLFVHJv2ej2HOEpL1Hfep/skA6f/ZEj4wTChDKf1ZAcZw+TNVZr
ZIpHIHftifBJvGAzG9DH6WPcalaxX4JktHkK7u2Z1z1lmSKBDQpQn0uQxYGTbB+inKeDPomVX1fX
tP6uxKCCubIudZ93szWfh7Bt3rCObEn1JStfh0VCnAA84yTKnjwjki/mWYV3do/Urv7QNf2811VX
86PteHwZRrm+Gjw0xwCVkiDh6xYs4wJh+yNd1vmmQ9HV0zQuuFFIiz5aVg4XXVUp9Dscme67Vqbc
3wHgVj+C3h9QWwbEyLssPcVqOwQ1TqYR9kp9qkKn4kOs6ayKTgqIHEueXA/RJMGtOSq+1nHFwgOB
5IEVRnS2yiPeoc7U73yvyVBVAm/NkLLlKjDR+OAhvAcY6Rij/c0ZM143cQ0fGJXLD5QrAtZotBAp
Ar/KMM5L0bX34GaHdzDYiMhyKZ3OiE23ZzTnelWuO+uQKdejBD2nldDXK+pSvxhKx4MuG3DOYmr5
pVGUvXmdp0ek4OEgRiSdwb5QroR9CiV23WyqwUlNSC9Asgxl3RWJHDLVJoVea1p3PXJce++oom2N
RIcx0qqBADJ4T+h6XGXtzggECRG5RspjiwhL1F8Iova23ND2IFV+RmJVvw4IPL1regPOB85d8ImW
+QgSjobIe6iqcr31qwVxeT2TnysVQTVMy/7sm1oe+j6agDL36dJBQ5vyQ9smcHzjBcqj9USNIswK
lAvr/eBNQzKNM5DTsw0hx5jCiD/MdUMfOzJQEMQyYLdhgzTweuXRG5kCH9A1Dh/JgN26ZFUPdWzM
d1sB4OHhiFzEcs0Vq1UPRtF6B39ep8+EqduuD/rj1CMFGohDeQmVGh4xE3iZ7gd7zetlvVc66a+o
RZjC5NCauPCI3KWVP+5JTWRZNNU6HZp0SZ7cUmNjAP351nlEndrVjY9hqMEtLuE0ZF5J2E3FPIMC
I3xyzvUwRacS3yGcgzX1ftRUVhcIjKELQEeP96zmgG882wDuJ1jeAHlDt7aoAXout7rcpZyfy77H
LwZGZv8cr1wihSRds7SMx3dmqnEXSjTABqtRt+MwBPdmSfgdEoURxKq1hyNTTUfVhNUxAhWRMVku
EDxDwujnYAuauiBphzZQAk2uWJtk3oXpJB+k5ZLna6RmkG2mRrkHjw8i7cD3rnjEM3jtureOTPMz
jMBsyJNGBruQDeSs6q7OJU3BYSIdNXhHE6dHoL7Q6Af223GPPboExzEGBi79iH9PqOlAPSTpPfL/
3cHzZ1VnTJRuH6tGIUcQezXkHCl+iysLbqplQuQzVlm/R0wmn6/9ii074s3dfuV1/NTiAreZNwrk
JrRLcOwRFvRtaFBthKO3A8RkkpifOrLSvZ08/WRiOvwQSrmnulz9cdcFDiy09VURA/TZ+wknz5N2
yy6yqmyzGoGe25nTrYiCpCUFQ73a6MZq2x+jUYA+gD3xLvGddwFI1L7xD2Au6sqs38C6esBvrt0A
vOEDyxsDai7dBvCRDeqbG82vqw3+Q1+Ye6aVjgFfpijYJEAUi4W5uc1dHbJTugyI6FxY631GoxB7
cBvOuGyII0rt6A4fwuBhxjH+OcQwdiiTyH4px8Z/XDbcsiEhUu83LDOOFEqukqQFKwpDVXmp5mi9
kh2NPy+CjY8Ux8h9NHqAFZZuBOdQJq+9hLYBT86GpYYbrEr7tv3i9Z5N9sMGuyLIWuynDYrlDqBs
BNkOsF8IpjI5VAGFYHFNrvC3+R7Ue7QgnDdJC0Ot/OZtyC+XkbtPF55+i5WT91PNx3PEA3uzOE10
1m0oclen5Bkd5UmeiEghoRFZwA/wFCS0oFp1iOUEHm26QECIE6aIZ9zwagnG+wsZITTLyg3PHgwI
gHz6gLnL1CDIA0UdhaRaPgFcC9o9Lm/7PfVbcY42qLz7QM3tB4I+qzm+WLOigJTirdlPs5gfmw11
l6TkxbAh8SCiAco3Gz6PPKP2GQIacKAIvi9vtZc6fQKGyydkKbbBPv6A/N0H/N80ElQA4C2SC/BK
uwhsA9jhfldz0Z4noGUXgafiBwJb+2u9kQzNRjewnpJ7cFvDQzzPSHbtyyjgGUkqs0O9Bj+HrIby
ulLspWqC8YVstMZMelD35QfbMW7Eh8WhfwLfU17mUIAWWUP+iJhgJHsz7RDQoIl6jTcaJdgIFQMi
/pveSJbEVOrOG0G8gBkJrwCEhg+olkHzCGuq6HHZGBtwAO1VE5voWkH28R78Tu180Dwfu9B/hD/8
j0MWIOTFxvbvg4uuv439/8Jcb8yfk4t+/3t/gAux/xvieGJEXBMC3WG0xXL9AS4kwW8wZCCCKEIt
SYKkEqz1f0QXeSnyjlCGjVZh5KaFZLO4/wNbCOhvPqZH9HAiWg0Za/h3/0FyUfSRTfbTlgqiimJL
BbjBkLGDDNFfhOOC2gk53j3Ng27AGe2Lpfoxylnqa+FEYq9nRCwhOleWtjvQSQ0olK/TxN7Xvifh
DO6lIEftlU7eapSP1hd0dzQwTFA3Itw1xjn8hITCGRBbycLPE7LscVdVawARAgtm87RADeXd4APs
/eBqdA3WPht+3qKeblu9EY5twD3/jgeBNseySjH0U15KeWiREk1v0Z7QQJkE8VWA0b+KLdQpHpUH
ZqFTQtCcQ58SzgJcCbdr6SCKAjWq6hARQeHU7RJFovdOtA256UBVNXcG+fHJPhrAqORekjQDFDZ0
8HOfDg0ihJEDrhFUvNb6Bl09wGXnGsrNB8bkPBWJX3prESJtkINFAuNUAC1ACILgvRmKGoG767Fr
vdDkQq3NmqnG52WhVIu46rBGWHzOuVchcX/B3JbcdD0boE9dMeO357Bulc1nVoo0B106LAfAETz5
NOuGtwcc0Mt6kLMe0/NS2oUUS6y7+JNdavYgai+FxYhLE90FgR2SWx91a0HuVx3g8d5MaBhEjqkZ
cR7xyeSDP0VvPqkIKthxiIpMI9OkWCZUOGSxF3RjEYbTnKtO7FKYjTGPVSimyWRTVgPOljUFOzy1
U3I7USLvqAtCvBuE3UsZBvcJ0+V60mtkcRrXNgmLRgxwYPAtruCbENafbweMAbSYSutEIXSEAQhd
1jUAmrRGVLalWrACZD38IiMFonC9lO06vCPyMLE4XBeDtOK0NcOxX9vA7VuyIsdmFjT50fMW0dgu
4GmKfFM8lAcPKacJtCBD0J/ThgwTMkK9tmn32Kmi+Em3vgl3mAtY8O6BXY8wS9HRP1rqwAsXUkjk
pfZ7fKJaBNns0SxMS5zYUBptBUth5eesLwP7NeAD+obR/YQvm/epCsO9jvC5/4QwBBLekBLJCIe6
9mMJDSy4rvPkZo9lolFghEKg9Xy/rW1wYzZdK499Wi96R+sFKBJQo0k8jCCzQDAhSspGV2xMSpAv
wdix6yRKxID9vpZzdGfUIqDNMHXb5aByRudlCRSz6XEYRzrsZAtJSEEStdqnFrgIjBSpgH7jDDYq
6F59sDnrscLyMN8xzJ3lCeurwPrb8hByeM8acqPRebriFoVm+RafLIMlr+FlsNOrz6Pnykc9U7Vk
JsCQj2DOoJZxBFPpkIhbhAim7U4Heh6/ukn37tiXo2V5yyUBN1zjHN1hieseCHSa6x4cuxkgNUu8
1y5ZtLdr60jHBeKsoq/hwFKkXPau0ruwVehRm6X1vV1Sg7WHtAwmq1yj623NR6HlZ4ELej2klqX6
Wlsn/UMJTRH43qTHtt5EJZqqqjFk6l0q2fF8sjOhn5FkIMPTWqKMGIpYC3F+RHFCUA0GySSyl/dR
DNgkD6d67eov0CFCfDq5JBqBJDDyZW3resnHyPRdrmbIJfbBKJFGjpqfNkANL2th03czjpJypKGE
wEzV6lyvIRuLMVWTjLEsSKwzkeI+OcZB/GYiOvbHIQDteOIB7cg9wGkVnzBBpnZH1jldchCwYfyK
/zCFCrtDpgRQBtXZXTtq85oAj4IYeRbjky/FdL8EtOqvUNzQJCfhBZ78ZmPktxfMaghhKun67i6V
g612HU6xdo89JAwewa+5eGdA6ttcWSSpiCIIpj1vmqa/6A5YB47r0CW5xgwXZ7yTa33lXCp+QP0b
P8wMuulC8xWiBUR18h+eXjuD5pM6ukYXlw+KMoQiKIs6BIuDLtbvFVq+Xghe22wNk7O/A7mt7QHp
C/7z4kjdXeq1bJEwTgiI4aQEgfuIRjXpQ8qHFW/XapSvdHk9raK5Xy1EGFABlChgdecwQSdMuW+F
riHBdZ4jBidIJ3ggDlO/hh6S/dsmOFnAAyRL8Qth52h0Q3LPrdOIb2Ft0PC9wHXg5Vq1OLcxIdjy
0NhQf5nElg0RzUQi8kI5xEpz5n3Sch4kSiwau6YXT0L6dTCxwHGAulYwmV4ErQK0n7JrnnQkaARe
tVpxXSV+reMvAWhvllXgq8eMBDNHmP1E5nyAPhlBNoCJDkMn8JmTkMWB7sMsv9wYSyH5nVBFbS6I
x0DxdN9IWCEizsfmHKt4IC+AjMUz9MAqRY8PVPUFSghTemJho4fcNx0wtcrrWX1pOENyNO+86Woe
Q4rWz9WfypMHMCYpkrpN1mvIMqomq/0Jj6ZpVpseYqbqKS99ytmp7KJxPdXdQOu9hDgAayKdkx8w
H9hnxG3AlwFzsX/CGdOjlVEKIXHDUgqcpY04mg5KxI4qFB3tENgd3kppY3K9UNPqJ0BjtMtNO1Uw
WExY8k6oJzzrMD0oP67tLTTyuOMAAqTu1JUMFTbw03puD3WVNndz36CLoWxgiPgOEpktJ4esRaiR
Ii3tOTYe1NQE2jy5H0OHnOm5h2Lj5BA3hfHfD+QJmvZwvYlF05LDjJO8OlH8OGPR29rpg6r7xhRg
YtiKPSVUicO/ABuOc6Sb/Tt02Bl2XoMIH4FowPW6S4O6o9eAX7oDXwN8eBofMhAagc8HhlzeQqHr
h5AIlhCfOrIu4/3Uk2XNTBjin+nspnc8b/joGaCcb6Mvk+XhP5/6/21U6f9o1jHE2A166t/vBo/v
mtfD+8+k4x9/5x+kY/JbiE8rRm5/Y4cwz/5zLwDpSKJoo44QZIwkl43u+8dewH5DUMKWWvoRWYrI
dhBy/1wMgt+QtRojAxTt4z5JwvQ/WQzIRrf9tBfg+wLvuTGfyDJBneLGsv7sDhtIOLQidpiAz9Oa
23zJxUNX9ACWdm0eZVMR520xS1jW4R/aU0RgqM8/vWV3v7/WzwzaB0H207eA9wUxDYgW3ji0rXnv
F0ZwgTKVttTCtXGCg2jz4MU7i2qP6/pv89d+tZH++lK/bEEqnZEFLpDgjDzBOyDsexhFUCwDZQ3r
0ycJJaNROEf/5gfcWP5ffkCktKN9CqlVwFR+bQODlAmw7vYDfriE8xq8yQWiul2YY/Rt8zn9G8sf
Qrf++hU/kgJ+csJFcg1kZxqTCYAcTyMkjfsVREBBBrPs3LK2u4Xr+iDT0c+bSVZ3AE7bFwpnTt6r
zu2UGNiejuN88pZ6uCgPIyU6dUT76ky/AEpqSeidFp1Gc1bivsT8Ujftw9ot47pD7rnyrtzMVLKj
EvgoMu6ERtfBwuRrQ12bo9bR3TAReJmFIM29g6vVPHOTHR9Jq5CTxuFjCu5Xx51+ESh0Yg4cUD2Y
rETZaJf7mCmXW4mVTiOS2lcPYpWMnlNgHE98meYK807bFYu18hqziLufG4flpmXeEyRBnylSrIsZ
4OC+bZd4KqJqhPB9DFQD/iEIH5PS2/TUUQ351HYXom4CVTC5Ul68ZlEVM8w6sFzcmDlePnsQml51
Xc+bkwzW6PtQayYy3JhYGP0U6qlATW+ijdVriDR49AwZC/EowWqz4yodbwxu8TTHKsovEneHX4yd
7aF5JiV78ru+fxBpYDVMFuh2FgYcQL5Mq1NHWuG9PcvEG6EKcALK4KrdFH7WMw6rgEPoCSZnsupr
+CrGl9BBbJyvKsFkDr9ihIWvWcrrGJb5I2w9Iq8DHylZLsBngXTDNagRgRkQuuQimSuaI4SmzDGq
dnfIVFmOC4HGDwCcK5BtIZDIA2eizPHxGhSEu2TNQoj2bqyBzYG6kKodGYB2FiDKChw4/pGLLnyB
MFEcICysoa7zGgw3kJv30Ld6EBfnOsWWk0k76Md1EoY/YGaG/ItEvGV5lA5oh6YasrmV0Nz356YY
Um3ONTK5wR/VttpXXrc8pr4bP6syhQRKCJN3Q20KVYIgxPhmoB8E/5hhfJbiTNrZeq/QLMtr1io/
OWG1hgbS1uNNRTyQ07525NGtvUazFJimJ6PY+hDKmH0J13h5glyOvsw4zHaYvsFPWEE/1Z6HoDNg
Qtgngsl/EgHeiblBCw/yJ9XVLH3/hg6t+gTsZfnK46V7Q7Q8MmIkHW9A3pW3uPyxvoO+g0EB4rZk
D5ywuS/dUt2IyIu+UTu3V1w2wS03yfqVoybmHuZOXdTIuLyuas8c01nDicJQ3Lsu03B0q0QQSdum
+zFex/08cP/eH2IYfoBibCR5jGJ6QPJHmGgU1IuuvxCaos7TRQi6TuN1H/c9SoWUmPN6xbIBjqdF
wyFkcihKeeMt9KUYeyIUh0lMw3CLZAFMz/dUQfGXjKo5lA1xx9Sb0mM8GfItLlHyTaZKHHFgLCdY
dvhpSHoNrStHQFAa810jwvaI8sby2NstC7KrQRqzBFhyrbC8ZD3rl1yHcXVMUatyYrEwR4pJ+1hF
GvF58Nqe68aIvRK120OB4n/66xP+X85bRA2FaExDOjicPxTX+p9v0XJWRgUOoWeJ0/tEqtseHKvf
kTO6wItFSnBA5EUu0U1tn7jwM+xryh8zze8SPInRlBalI3AGPAbtpWKoNtJlFourqn3o0iNBUk7/
f7j7sh25cWXbL9KBRkp61ZiZNQ8u2/UiuMplzfOsv7nfcn/sLpZ320qWWjz2frsNA92A0YgkFQwG
I1ashc3rzed8hCxZg1Bk+AF9I+ma3YLbE21uu0TrOBUfYn3yxUhwTeWma/HEhBIkiSBnNtDiiEO7
+OZ8B1intb8D72ia9R2HHQBlN2Y5IdIDhVyTmfSmUkHjrOGOo6xoCbCX0IICA4fqELDhLZCFALnO
H8LrgCVijDLJi2AMgRHrMDp52SPBDKyzHHC0XZA0Uj4TPvkbhWD9+yo1ljEgyEvMjKf4zsoCJGEu
HA3haY6Gy6wTnf9qQ8E6ce5SUI5cssrE2iifCbEzJ6pd3c4vJVu20gcp4eZGMpum0N2E/+LdbNCU
k0WB1VDREwmqp0hThJsRoOjZnhwMHaGQaeH29EwAdCA04eL9MoMFeD5I4Hyz+awqFG3GbvL6d9CP
sEpeCP7R5Qg9XW18wFjwY6J9kk31x1/s79oK47BqC/zBLLyvdnJiQQNf13Kgy8wX0wuR9IaO9hMr
9kf9kf8/X0qmogI+uNtHuQVCs/i//2f9Vvr1f/3ntaSi5wHfM6BoCk0H+iL59VrS1P8BItyAnrJh
iDTO4q/+eS3JMp5LoMPGKwpwaxkAxt+vJZn8jw4UKOgvDAkoTmiT/0EXhXFMEJqL+FF4pIiAakoG
K04gpaYiVJjxcsBQdgQlgNcCAVMJh33P/GgF7SAdTyLATTEizcqrzUKqKH1OIqeBFChuuUWDjK8J
FMD8H3/Em3tbz2LLEp6QKH+gZ4U3IHPQZhJMaSTnsaOA9irDAGUXfI4bf385LMuKSiDYip0HXyle
l3i5MvjIaUHxqgZGwJk8cCQNl2XqR85427miE8uA5PhgBERLAcvl3EkflgfD6KlRWSJoZAFZex5H
UNUyJgNj/I6agrIGzJtOuvDYXGgUXsWq98VhVAD6dAredmDCPLeRtsuotiSKHQm3ei+/yYS3fUxU
/mmBKpdA30SG5ghzxxkkg1I6Mlonwk0uPyoepWnMLoTy+wjGnwiY9v3vRXflw4pW9phUpqkxzzPR
z9WCbi0cFLR8oGBMgAOTF46nfzQF2KWmoF+BL4WUgVlaH6QQvlYBhQE7TNhiRg/gjrq8i2QeWzmN
5edrgiGqw43ogeyEdfRQEWtdAT7GaYFZWTrcZz0BwLJpIJG9ELTwCh7xzUffA5Kcgs0RyDB4wWpC
m1mspY0OUcRgFGVY0y47MTmWS8ulvdnaRAXlZNph1gDgZjZRkqZOHdFwceQ76K3BO4KvoDy4mOzw
9mt2SJ1DcJ992XeRrcVRfLoi0T+EVqfWF/QoCQAbSYhQUhpczLJ839fFBVpUD/tmtr7a2gxzfiH1
UvTpDM8fg+EkR52Ng3jTmvEtMKRHNdT+2PF1CRg8OjODkW2g/c9XlUMGHTzfcJJJGBydvBHgnxpI
w6fQvt1f2MegAUvoyKOxT6WO2JrbhERsUip6j3SAGX0XJJ6/cwy84/1XGZSpIodBgxpkjkNoR33j
TDVH/45lI0NYgignvA4kVjrmi96TyZWJWh1DU5/hduRZeJic+r6+i0/mNXgK8Cx8BPd8d52dBKe9
EO/3N4/l3Hu3jBECnC4J6QCgEeffCe+6oUQtG7eWFV9Uy0MAcC9GgEHZ5EDiF6INi/DHFwlyCBli
6wRVPEg80e1erVUzyaBUoB9xMCTx2IXgm2tGoGXnnOMXG+cK2QtmMDC4hU44q2CJ/nQLNDbsSL12
0NXGQRvFMwMeVeJGxFibYYnsMPRXREMp4Pjm5aVG2rtCfqvF63C63P9S23bwgcDJiLSJ1Tcqykrv
wFoTQyROPAIRcQyk6LU3M8qqU/Ncnh3DoG4BCA49uwiFoqwz9xbu3zqNZ6wqeKbECraIeUNcjqIP
eOZb4gOrcsNjNGYWCE0HGnTpXQkdPmiOMnEQHDdtlNUGZat9RX3fiuvWHYA6aMCU9Udb+cESE5uk
QVT0HKg5B6RbqCdAs7nwSFi6i2Fy7mQ2XftgikbllbOj71iNiQIWJKOQT0o5AtQ3EcGuhnG0NTkG
W4sQ9hedLOgoGuvjJRAOYIvuNMU1BAhyYYYZFahYQtsdnFXe/jYwcQ1zPCIub1QtZXxsoPmZow/i
1HDqgjZ20uZbAKqiKFE5G71tgaKkJJyR9yGx9eol0rQjdA1jp9SB0w2AMuw5/N6bFsDEp+IRo8vg
d2H21+xQw8pFhC9pgoTqVS0+7G/SB6+km7QywPgK2PampG7jxKm7wFOK5UnNE5RfA6eTTc4J314L
+vHAldEEizGVZEOGOQWsZRBOEmimwbb9Z6H3/YsrmgaBGYioKO+KgOvvAQCVFKjTFDsiaqBenol3
rYQZfyE2bv981xQa3mkTSvpwlvNOBBs6GWKQzAx3ynIRBK9ZlV1B3IUT5Jms5n1FNLvAAAWiFcbT
zr9/V2fBOAfIDEulBNaL6AexA0FuEAFsNZAbQ0p4F+amRUlBQUeU0QB7FzRYnehQCMayyMbY0azB
SVHEeSKn3M1V4H4s6R4jRqCw8nKvmKzkiqeWwN7WP5e7Ms64CDGiHiV1GB9t5XV2CwdsXeAABHm+
7EBDmDf0x1yhP83h5KKBjscfsqzz3UUbDrjABP7SZw9AN536KfAxzu/9ubMAzvnLCnOGFRTixVrE
ohKp9kYRg9QCWIPaxW0x4LZvauuIrU0x+wd3iTAFD1ORVHyOMb6S1xPvofwx5iNkqPSaxitT1KEt
dr5rYGXB8Wuk2NEfjDvFy12UHanw4eiAOs6vH6kcAO9LbS5Mx70p43hDjo45B0IuAfiKUS2EqSV/
ivsKJNiKXnIi1Lb/YVW4pRFxwdJ/vrS+mjKiCDADysnMig+0xqfcQcPPTtzA5ikVvgtrrV6aP/1v
ZU4+N6eCyLEtgGPEawz0IJgwA84+w0hNZpFvsTtczL2lnLqnEs81T7w0wWFgg0sD1cbM5w3ibx0F
7Cxgm0iUJfT2z39K3aWpqQdR4gzovaZRY+vlbC0lt1C99SHXdpglYwJO6zOCIycDeKZidJny9kr3
4B4dXzNiiZeNjWD3sn8sqNuz+4xbAXkyKmSmzlIblERdBhLhWPQxscC2FeARr4vQ5pg4CoPbq/tl
iGUzKONKyKsFqwPiaHKDUBNAhjb2nIDCwjDe/QYfSQIcnMgGFnb+sVp9ysSlxk2aPlXH+hrdLK93
JxnAHqpNB5HXxk1vu2v4jWTYmB0GLT3v/cv9DUwlAexUMxDCYeIITZIB1VcPUPKJSwKFEKL3LcYW
DbDhBoL5XZbD/FKN2v56GZTBazIS+wgfFYCHifRtXAzd7mO1Ba9wYdg9GDp9dUBr2yrUIHNqTPxK
VhBI3FIZTf8+OMVqE5mQomigliUTNrFx+h/VcX5eLiKnOEw2eFgBweO3gxhyCai6IXD+/mwSK/2E
OVANyEZYlB7IFSZgIZML2XcLg1NO+izY0LDoTmCQmj3wcOVOcip8iZO3bPrnrzUDRnPuOCCIG/u6
wS+o0Npr6lcAU/dPGt20f99U6FudG1j6ZCZzBAPiKfBzMAM00DT6X/AC0B+6Z4fJ7cVCoqhu2Bm8
8YmKInRW5+on2Upc3rttMzKu9ozu6SohStMGkIh2oWc6s9TARGY82cCLW/s7t3n3aNADQ/FAQluY
fa50YlnreUjo3dNcjk/6xQT2FWIpP8YbXLXOvrXNRa2MMYsSi3Kp0WFGogA+QnRGfX15VOSK8zyk
MeDDVwKMDWg2NAkBnj/fujjHxMGUYEkKOvcqiIMmM/bipML8KVDNgnxsxoLznvmXbfxtk/HAIBb7
ri5gs3V/dkLz8Qioqkf1vZLKm/9U8ennqZaRmiNdRi+KMoWs/WNZmgEzVB01GPiFI10sLUg4JtuE
4BOYqOMHXiNm8xD/NkgbaWuDRRwLFSb1kCSbD00FqG/DeXT+yx7+WpLOfDc1j/LETGGh/CHa4aH1
u4P8AGKjI71JiLvviiyTCbuBOvPFhrRKxk7EAQO3vUeeaju4jV3KfUNuAkuG0FF8E97wDsBmFgui
tH8+G9ueA+IWvMot3UWgFFW7cFDnD9+Ua5iVUBrMvcwvdWgdcx502wfvt1nm4IEdqzOrWo8dAJpT
gNzGw9xFbtcHPOE9npfQH7IOW5juCACNSpzksrukbEIRhC/Co2GB7wsZpICC6P535Blk3h4kzsBm
0qEYIreKBVassbrZN8DbOibrGYDXN2cBBjCHf5Si0G/rwC9jXrzfvMJWjsEkNhhnrZq+wcapfnhQ
Dt1B88F+xdXJ2NwuqiYBbjOM87H4CQCugfIr8IrKqvYbRAfAwM+9Ujbz3pUN5pOI4YiK0ogKWHKs
wQL6mB0XBxa1zxg5zXRL8xd3fAAnPEZa/P1vtb061FhBTkQb1Mz9DGJGqa5SujrQ+ROYGwVekNoq
VGgoiv1jgv6ElYPrKlq2ao24K0SAI6Pc44JOpH7uwGXpTLbsNafmTjxktnbsc46rb95rK9PM2RIw
FRGEIW7PFKoyN7I2GUBJUqbEGnMS+SCbP0pMvV8Kep+8/Pm+ohmEgjVALLr+HtVWi64KnYxKDctK
eAtOZgAaTXffAtureQ/HaxOM01S9LGQyGqBopLnTF3ICg6kTOFLl137goKWM06BCT8IGbQvvLt06
4WvTzAkHZyiA7DlW143JQQXjhBx3PwBPvt9f4pZzYuugmggSLjTjmQvUqKMZpO4aNrG8KTFdmgu8
HtCmBVmGmjbgR4b2jgBcfaY6UXVQL2WJE4McZGhvA97rZWun0Eb7ZYAJUiDkaQWMFOK5nmanSNDA
2Ac5kcHgODrPDJPbkDnXMRUFMzK5ENNrCZxiRC84Rrai1GotLOSjH0lTgKE7cTJMcVphAuYIQdCe
wUlq90LGuRc5K6ITG+uooc0BMTDGGTt5/rbIjZNXRyX6i1fWekHyuY1cnjAnpMNGMBlO1C2Prcgb
g+A4GJ0gXy9jMsEjEOXYswWcRpP+NWwf98/I5vselRKMDOMPytzMRuWqHIJBE4sYbdEG4bIFIglV
QyQwLlUQkLu0ygeVpUfZaez8xggt4znuOJ4BSryPDwgd4+kagECm8aGXugjIrZWhSByt82ks6gEG
Mu3yMoDg6aXu574P0ppLcpgPivVXxei1cepKq0NcKITkGj1jVAyvcFCQO4ijRXUQJVc8BLOzv+Ns
T/I98AJISRFWGpZqMjveLjJmhmMVZ9prn6RLmrG9DnZ5bI8N4Kl8jbBNH1rZY9x0mACdF2XYw0g2
KVtXy2VOsstdEuOmRMwzgvH+BG/a/8BSzcc0eZ1v86Po1DeGcmizKy3mnD+uWbry1ZcjeVmizIKV
UU1v2QqjqxKUosMhBVu8JwYnwc/c0BO8/Q/I20/GX0oRjK9VD6ytEkNxHkw6Gbnet8Dipj+4CHM3
C0Wm9Gqi4JP5au7KQNsuL+8krSftNP2vNAt5i2KuZNyVqaoQWGwcyTPA6w3IRmFhdtNWfNRbUORx
Cp+3zs0gvfJM5nYro7BZelGG2wSfeuE7MV4C7q2zGVpWNpirrTUkDE8DT4Y0n+KgBjA+grCPr0VI
XZytgfw+1Rpb9Ou0clElBRs42tHjhCq/DzD2MfTNq+o60qz5EHFSb46TaGzVJdRBqWvOuBtQXUQQ
AY8TXvARBFwjchEduisM+j/u++W2kyAeEmBDFeBuz8+blApagkEFQBukyl6qysM08V8drt8mGJfA
WIpoBjVMYDwZpArBVd8QzouCtwrGI5oZPN2jgnjf6xJkQEB18jf9aTSx/tknFksjQKPIiPsUx7fx
4hLSuRLYOsecs1V0tz963G8rzD3SGaEqtTKsBDU5pu1wXfYLQBbELtXUxeDHp/2PzzPHXCNiMUF2
QceXEcfFiqTXDkPQimfEoKmvOPnAdlz4vTLmOpETofmZ9RoCBC6SEHosj0YVcZo4vAVRP1ndHhjI
n0czw/7NogB2tk9xAX62qbaJ+qRE03F/9zhOxzZTMZpPijTEDali3F7qf8gk42wazwJzZ2SFruoK
PTnDaDoAPVkQy/P/u0XQHV3tWF5HE8BnMAEmEguJo2VUnG/C+/LM8Z+7Hm3vtkqcMg0wjvs6DpC0
Hd72l7FtBOBfwBTB38lCH/qmnTC5gACgRJlTZeQCJEjX4DhsOV9ks/YILCKIEwEiETFHfb5fmFeB
cNiITEGbr7Xelm0wXJZgGRds9VHzFeVraNPkmpfRbnrCyiwTGCQw00iaArNmo1mJAT06Y+HEns1i
7nppTDSowI0XSSYOj+oPl614JdpKbhM0TA4gibguVbsBVQ4UJE/8phBveUx0EMN81IQRR0ki3RcJ
8l1BXjz9hYesdpD+hJWjd1NEZvBDJY6uvxQNxp4wGWz+lzaol65sNI2C9/xID1OGnau+mdBpAtml
vb+SzSC3WgkTFSIyLkI90vQnHWVfUJf2oTeK2AbzXQEZzirEQNOgj86+VXZ6/2cCuzLLRAqhJKM+
AdyOBDbwkSf44dH06VOSV8XdPMsrQ0zAUAu5BsiUvjwEFUKK4NLFzCpkqHkLomfmw2W7ssMkDUUo
VUqX40wFVyBDPwj3pQBMs3aiE29pybFG3Ys1hhYTesgmMDAY+jl3jSQEFHc2zNgpuhCPxLjVHFMt
NE6dnX76D1bAr0AAmNaB82GiUwWF2Q78LGg6zsQGz5oHtqVDPZEHEaTI+/6w9ZVAaIIBQh109rrJ
HFkwm8omgLEwRe6FGPKdF1D+2jex2cwCbTVAeiC2ghQ3s5wAGU8rDtg0zIPHh9qnnaUItLd4gSYu
mjzuvr3N3SMA0OhAZmPkgVkSxnerZVbQV5pj4dRrGpRIi+wSwkQ3Ug4d531jm/u3MkYdZhUr+jyo
8mxBwXQ0pxuQNh+LqceTtwk4AP5NxyM6biywiaDgzjjemIHxu4nxnfr6FemKBTm7v1nIbwPMtSEk
oM4qqIGl+ioi2OWQLpTHt30jm6vQMYWAEwSHABfK2W4pfZc04ozKdrEINphzb/Ow/bFvYuuD0Okx
vOhEfBf2hA5CpYNtCvFtBGtAD2T5AJ5cIr3sW6HBiz2hpgygABCoGG5kUaEgEcsabURZzCwUu8pu
QGWEf42eoX7HEcokb9/c5qKwbSJWhscdC59qzRoc5gLuuiBvng21eAER0mSVon6/b+c9wfqwrt+G
WPiUro/SpBa03Gcpr+QTxPYA/vRGd3FGAJ1ouaP0hwvwI0N18zV6aktIZjmiA6Jqh4dv4qyZTomu
T1bYjWIGHmzc9Kr+rM/KlTgAehfXE+cEb+aCIAL4Z3OpYsjakN6DlHWsAcCmo/Djvf5zuX5tNy+t
M0NU3Ckfok/7G725uHdmT1MFM9CHGCWAObILwIKhhxoIQuYQDReq69XlnC+6FQxxkcBFDQMVbxYb
0YF+q5hTHAcgRq04Tt1FeuxN1JLBKbm/pM0wvzLFoiJytYCwdI59HMFKRDPq5QKjNwBTgazR50Ew
Ntel02BIF6WKzK0f5TEJ30ssZbW4UaAcCjW+MxrxK7TDnjgL2/xYv22xjwXAFMwgbpBRU0D2cJRT
ty7t9K363LiyJ11Jb6CGiEpb4vXzt3d0ZZg5Akac6pAYn6lnKh6xE2jcuYO92O8b+rXldqupp384
/St7zElA4Fmg441UavBEsJxbND3srP6L8iNz44e/qTGaug4oM3IcJDrMZYBBaZBfG3DNiaRHA6oX
QvdS6JxK9Oa3M5CqiWC5oH2U88NdGaESoiSI2ohYgH/jCupnVj+/cTyE/tQPG7eyQr11lQXUUqAl
jYSNgzJalnnTlw7VvgNqPbUV+3S0E3l80l3ODuA7XCTZ1qVqrowz+5gkSydCJwBVMzrt00JLkdtF
2HSMlQkml1+qLOiA/qBvSpRqnQXSAD5EO5zo0PiycuBBg+jh/bidioEhLN1QkWyfb+cUmK1cL9hO
qQkuFvCntM3gdBjt0EXgU4PiUIEP1tKC+cD5jtve8tswk82pVZgPY5bTECbaEjjNHOWgdJZgy8fe
AQz8qyxamZ1zyp4bVlVNVYAEgWAf8CjMscvmKuvMDBxXbZM6kCGCUrto12DK56xuI2air4V6B0oM
GJmhsllrLzUysSjMGnZA3HaAkgmCSmRLn4liqQ9gWMRMSebHlZO/cOzSz8V8TnAxSKYG+DcQuGxV
Z8hC4Bx7uj608cLQA8+jB0AKZaur7kE2Gp14DgSeiC2TmHeFOpas4oOeLzWAdjw4Xt9r/jLVrRKc
TrKrg3avuZM9Dha0L+2+syq/vdAES3vcX/HWByVg8JYxnUEB/cxGQ/4HYy06nvZVch9OIMjWWwuZ
pL9vZSPoqBgBQdkNAYxSDJ6vsZCjRc8HI0XNf1CtSplPWmbYkNuWLSUrXo0M7C/7FjfXtbLIHI9E
i8KkhW62owMcPvaCtfSNV9ULB8K85ae416nSEd6MIFQ/X1gfj1GR6agUqMsEDe8CjEivSgKWm/Ev
4C7Ywl+W3vHiq7jdBSDurERQzzX5YMX6dV0ZdirO1v62bQToMyuMO0BXTc0VRUCATqAVWr3F0/d9
A5wNY4e7TSkqMC4EA1X3uRIzNx0eszazwXbh7RvirYRxudSMKkOtYAg6bW3R2602OPsWNp0atPwY
VAcCG6iD828fgM8IGiZw6kSY3CqOwVEXW9EiX4jdl2b6um9sczkrY3RfV58fI/14jS5YTph0IlTZ
Tf0wgPGcs6TNrwOsGKhyMAhrsuPoY1eEUzhjSU2YIQu4W0DcCa1YcCmmHEfbespAqO+3KWb3lGGB
sBw0TB3lZnBEt/CE6/BKc80rPGMs+YCJ+wvpuL+HW61+zL+DrQfhDowdbAUp75JRgyodfKKHbmmP
tUHEzU08lNKtIncQ9jLIiJ54+MatWLQ2S7/t+ttB6wpTQNjRUNHdMkshB6tCLp43FL95k6ztMFva
AQwnLJWQYjI9GUDZbhs/5OVT6gouMmNHr9Dbs8iL+VSjsXybcmGcWxfZ2jzjou2QLVNvYncNSADb
QkubSFDRNQ3wgkqodgbSxSilf97rOfukzO05IkeoQaOROdOgnBaIdJGxcqWIk49sf0FEXwBukJOw
RY1pViFel6DR05a36vIYBJObDdxX6dbpA/XFP1bYisZYzCAGTXCZjPbiNbfG1eKhwYfJM89w1JtW
A1MuOQhcdratOLY2y8R8yDx1UVlicXim3hnSoep/TMHgy2FgK1Bj45zBTWvol4EQBSkWBuzOD4OW
GxCpmGGNSgdDnRCQ5tNUOv3X/EiJgAXHgFpuMxyoFhsnJ9iIoQA4qMCjgpeYiiydmx56oc9TqNM7
aQ+RoGDpLSQmNWeBG65yZoSektVh72QtVBcN93RsjG4zhD+KRjpQ6vv9feSZYRIPHf2KdpzTFC2L
7roBc6zVK2BIgf75276hLVjdekEGUxLvkw7Uqy0sYRrvEnomPVS+NMt8qZ8jZ0BmDDoGAqVty3ya
wXr6Fj/wMuQtdOHZL2AcVEp1IdQKfLfgWbjpv1Uejl4CHY6LDBxLPuWRxmBL8DIeOoi9WvPlO8rI
3d+G7f1GCQCKOtBjVZngFpEEeixLCMLq4bOaogmVQM094l1QdCXM80MDUyLM4EBiDopxHgPMrnU6
4y0gzjZteUVQQLMqN/6ugAzxL7peZ8YYFwqluWkmCjZqVBeaW4cAtY0y5GQUW/u2WpHJeI8ZoTYK
zTP04qdDGClQyLw2wb+4/3G2GsnrpbBoyF4dhhkoSYpiovM5rR26cmJVL6geUjVwOukX3kyFnXPr
UBvh7MyyfH7c+3kK0gEaqCg3AAngDOUNBVAJbv2q40gCAf0FTxtKdM6P21spFB7iKBeh4gQSVLZZ
JRXy0MQDbAefFg+X7LG6Ma9j8LY6kNCRLcxTYNYXncz9zd64peD+IuWdf7+q6BdfBbiYgFqQRFLq
5NOzEl6MIYGKCaZuu+gvwvXaEHvkEl3KFYonlzoXyQN4fRfOedu6EPByQ2sEFzvudeYEqFquRbmG
pDqfla+kai8xAMC78LYOwMoG2yDVoZtQpDny3LbLwHP+kkSNNSmf978JzwgTIXu1UrJuwEIaTCrU
lj6P/Ql6g5UvzQlvnmWr1KutV8S4fAB2ukE18LSmNzg9bGltpTZEm44qshPl6/7SON+IMO+4ypzQ
dAaHtyMob+IMTvj/iEz8b6kqKcrgbDn0B6z8uVGrvgmAQoHsUmZ3VXCARJKVYgRqfx28T8QcmwKY
pE4yQVSuxAnm+KTquYAGix8FDWfDNg1RKDptk6OpzHyeEqpOA9i5U0cDWMPpI+Our5bKSXPxdX9F
W6EPbWuT9nlhj+3XyJDUJJoKQ1UFbV7I3YYLoEi0v4H6daVF3r65rXXhU8mojCNtRCH+/DvlkTFC
QRM3CejUEW1aYIWuG25raMvdIKqnqybGpjBux+SIBUlLxADE1LBtXxUJ3DV6yXmybO3b2gRzyWd4
pBGZXonaZFoBqI/bAOra/Y0Ymq6B/sz+tvEWxMQ4I8WwRJJqKbjpoZMwvRoLD6G2vR6kRWDM0EEI
wnyYeEg0iKMC56SiF5/k3+UYqmIo87XKcwUS9/3lbHoBEC3/GGNOa9FKcVnmWA6pgqtoyr5Jwfik
pALHzNaugUILI/aoc8sKu6ZQhjhnIAWpY6QPDWTASMKD52wtREebR4GTgVuTLbzGWWoOcYKHq5aD
ukF7jlWAvaFqtL9dmznC2gwTDZocc/WygrzVfEivFwcN4qv4qsdwXnUwHqTMWj61L0ibOVY3tw+R
AURqwNBg/PD8rJKwDeqWPvKMT/A4JLLTYWnsDjIPtCVog9XoivxNfMCx/ccm+3o2oxavTkqZh0Od
uwbEpZxUy7qTDu4CThdkCzUPISUFFKX0LYDk63x9YW22Uo5ZlV/dzvTNvDYxx0+nAgzdIvf7G7rp
LCt7zFcE+qqRQw37OSmXgvypqTJwn+gcn998Z+FBrkjgA4ZGFev0oyS2vRZFeFNifCO9CC+MO7O3
Jic8aBgwKm3TTaHTPNjQDDjm6MRcdKqV8+LVO2Mu+wZa/wrmhHdGGqmdiNce3ptHCDl4+ktwm54M
zFSlLvL642TPDqRt6F7fAUJcOqlTqJjo6jyF05HdTHXWv4V+l1VuEM1QCl8W/JbicnIiW/kcwTKx
DEs45Q+899hGYo37DdRUoCEHlo5tJS5VD7TDAGNRcTUJF2YBmLcXlX+Tv8EO6IpFiFABvMw4b40m
5gw2fvpkoYvqIiuEIFN+LG+T08wdXd+qH5yZY3y3HPUeCs0w95M7obXaqwky07WvJXarOqDsdAOr
9qrnLnXHz5XqtLxhuY3Tc/YLmAuqlvMFomk4rVAr9jQS+RCbfzWl4HH/kG4EvTMzjONW+STNUpug
cN6CDEIuIAIjAwf03xlhPBKJQxpSRVenlY4Zya18JJzgrdLtYA7g2TqYd5dSgug6UGACBbIOLBuS
Q89daje0XIcakPBektTv26vFIXb9TXVjlJgJxKdA2euA7v3a8DK3PRqH/EZ2VMOarcxPDo3dXBV/
U9M7+7FMvha1uN0iaEc6Kuk+JYn4WSygZPcXew4BZggHUB1mjdmQBlSR8kibfIBAf++F+LYIG14h
YYvviYgrI8xCoPmbYt4YRoRD79J+yCJaMYgJRKtTjhoGw+0BtPaQ+ROtBi1UJKggKX2rSk6WvenE
q5/BJKeNDEExucPPQA7e3olq0d1nct5zvHjzRK6sMPmBOYD8cgmzzCki3SOt4qSQug1wY+9/uK17
er2p7OM7L1tJ7wysRvW7Y+wuL1nspe/yaCiP3GQEHVSOr2wxImBGA2vD5BH6dWxqMBoalHzplUH7
WpqXunpx7MjJyF/SK8WfnczVxmOT+tns59oVj5lv6w5ZW2eCLcStG2mIkAQ1QXKfVveq/IMssqvO
g7u/tVt+sjbExNQM4AxdS2Bo1mu3B1/1kMSHfRNbuevZVjIBNc2VQlIXHXSzP0iEFrElXVJkGZS5
LFRgoUSV3asHfkjZcs710pgQq496hm4/vmATDV5Qj65Y1864LJwd5JlhososFAFkNuGbZTg5ZdCg
dZxDgbzhOCTPDBNXQLJGnQKr0TLNUsX2e9Yul3FbcIAQPH9g4sZU9rUxT/hWUNu6EOfaM3h1DZln
ggkaSh5CwbVE0KDpaQ1s3KflRflc3UbwCeJMoN+BhCs6uYMrO8OV3Fka/rvyhCOvIbHVR147Jks/
XoGsJlQT7GlyjA+SAelAt54eo9SmupYT5CysZIHU8mvNeXdwdoBVe1zCIDAa+i0hyRqDVk58KOW/
4DshYFxWKPk45OjZqk4xQCAmabHLensQQ6h2FoQT/N81AtgEY2WCRd/KUMiALCNMLHXrxfH1bFxL
SHPjLLAGE2J0/fewmzyUoO2p6jj328cASfv+AKdDGwRlP7a+A+VwCJYFJWD9oWFNGPk3MdoWGoLX
cRtn26YAFkW/eKOGAFHybtQkmIqfyqfJaa8LD7f7tYSVAqIHJg5/eK6ueDyxG28WusLfZpmoKQD+
iBQRZrPmWDxKTgvmC/lxnj3thD4Et+v/Mb6cm6N/v3oiQfYtEnIT5gT1Lcu+xPKtmXCYDN6Rr+cO
c26DCZVVB6JQE71xVBklaJVhcm8YoU43VdJhIK1gKZ054f0nihnejHPcu9DUFu2eyJWHKl90MLJc
coiRJnZlCMODUNRVb7UZ5P3EBbNsJVmGZ5CKhC6oIFSM0lWdXVft9CVp5sWW09kBXZkThqPTT9K1
EYSm30USsQtVFy7wMo+OYd7priZosZ2OvX4zqaQ6FQ3QismQJn6Yp4pbxEVz0hS59uH/xGoBvpmh
vTcPB6GWxNtYM2bOHM4GHoQ+JVHEQrPdAK89E/oJlA5TMevA29jb5Q8q4dL76jflAMr9g/4JEyBf
xEujBGcen5xpI0Se22buA6KCtXGJalq2V4RLIZhH21Tr6FMrCtpBEXJtwjC7qr1h4mB6UOtcsopG
my9mQ49DtwYPiA9Fm9BXMTfj76cVGw57tivMNZKEbTaLIdjGUNdLrUSNbzA2c2FCMHHfztZBXBti
G+fo18VBN70TqgUnGt9cwxlAhgPxo8YPHV7qx1kXO00Epkd9SCp87bwAsGkabEV5rP986vnss7IK
YlObD30iUypVNbJy7YEkn9ribn/jWLVAdGTOjTC5ZRhNJsQSsBJQ3/rxoYfEqUtcWoKh3SZMaV6E
GGqw2y+iF0FsFg9LQEa4fELb+2lQeTeKW2Xh+GZO0lHpBqpW8X0Ob0olsk3D3V/qxwudrvS3DSaw
kQyMC7MOG0VqWDqmatSYY2Hjsj03wQSBbDR6MKBjxNDIlKtpDu9zJTkpi+lUc3ZQQgKFS0m+E5dR
saM2jkBcYH7eX+RGHn/+E5hYEBqkywdK1J8+xdeTo3uzagW3pqta2bfserjOPeFrzjHK21nmlNd6
DZnHEdSZCxntNHpSjC+cVXEssExkWQUGS5kyTMYZZm36AtWRxHtnIi1uRkd25gMkof+7VX0o3Q0y
CNYa+Ivc50ezg+5MyyO04Li9xrwgZ2hXNu2Mj5X3L2kUWQNeJbLBOeIbgI0zl2BLzRGwJ0I9wIrq
k5P8LXeLwuqgXE5rq9M3KEu5KG9kp/6w/9H+JbT8OnAswFVYJL0GBp3mZF1pGZJv9rb0qr+aod/E
Lg0usR885LndpMcZJyK8U5Ee2t3VeMFDo21UCs73gH6JVeYURW0m4vzjt+RO9qjakiW9mABvjA7x
zDvd1X3Nlg+Zz+PQ3chL10GHLWfVJba+x8ip0zQtsprYkptTkT3I8/f9zd6o/J4vkAk9rZiJ4zjA
kHgyv1SDpUWO8kXz4lNqFwDq/IAQsT2CWCK26ofKDu55g3c8V2bjjjKXPUTMEQOi+UFSxy+Flrq5
Vh3318kLBEyo0c2OzD2Evx3SGacy6Z264laV6E9lMuD1N2MLWU3QiXNGCfQzTLZGdg6Mb+8kDyih
g9kWk5/zsUcnBNymL6gP6orFoyvbqKSdfUu2XbnorTFMLQ5scll+02KUgEOkM9JdcEMLvWC449xb
HCf9gGKY0qLU6bU1xpEPqDgG4h4USXYwZcspkFAv3NtaJtuAhOikiilG/hVNsstasNLmMAdfy+5L
Mle8py/1hT1j1JdWZ77Euy2qZfjKeGrR+K/tvLWyHsXJzAOB3zLbhjVe5pEr/WiIRYCC52WJ/5KV
/oqALIeQ2argrWpxbekP0BD3gMu2A0/+otg5IGq8GMc5GqzwYTcVSWqWWK7WFpIbgasNGvVh5e0f
QN4XZOJMGMRGEBVY0mDOt0G0WHOtuGrX3Rbd8GVcGk5izzPHhJVCzJQSz1HIy6BBojYPmvFigOxu
GHKLGAvHO3kOwwSXogiz0qTBWvXBq+mnvgIeZj4dDi9HY2syYi7mtU55PKB9RuCP+mF+y26i/8fZ
lW3HjWPJL+I5JMENr1xzUyq1Ly84tixzJwiQIEF+/UTWzHSrsjXOM/XW1ZINgwDuGjciHVIvpDA4
J29TJBil+vPJXfOBl+TxRsnoZKzY3pTSjzUuXvUjmkkRIK8s7JqwfTzfSutXsbsWeX/Tb/mbQbsk
kvd0tVTVWZVrjvpDzo6THdvJ/ISJWIQh9cECZxgPhTpzs+y9tArL9NpE15XHcQlosgzlTwoTEjFF
W33txiMZ/CtQo/8jDf/Xa/cv7I0DchbOHOxSxqCQm8DyBvJ6NHfOpNcqGn+Q5Dqd99W7dBHYKKjB
nYGp50M1+X6dQlqGJOYZjcqtqaLOC93fhochn2sd9CsO379Ip6ZSUM5ND+aG3fQgU/Gnd9u1rnim
K8//sqoCiCgmHDV2tw78ULQ06ilJZmolHtu58zULem1LF8ZmaSvPw2g9CGkK1LmBtBfiblDXwInf
XkUKsA6Upl2oWl9ck0rRIp8F9qT1gzlBVAGDNH9+6d/u48sK559/cXytrNBWPscPI59CaGmGq/04
zf9PmdP/rhx8WeXiAmi7spqqhaTSQl9zEWQEWAI0dK/s5drXuvA3ZV4FQ60lGuSrOtKh2rnmcoV5
+toSF8dumP+bXNrABvZ86yt+JRS5diAXjsUgtVkShSPnqx+E/eo/0lFAm1L/+PPBf5/q/ftMLgdX
Vd31vXmWPAGnKdI6oONbIIlmnTaoSKIhqrM+6qLipjGyP6/83UMlmKSAqMBZVeAvuNOXK8eXYuaQ
fUQmO08qpA06rpAq0RmfFu9GF+6Hjbn95M9rfvdVv65p//2aCwxOGagboXTlr7HNf3pLB7twrX3+
bWZFIFTsEAoaJMg9/30ZpxKBP+TnaLwM/TzJl9CwQvqRw7JiZP0M1ijmeLGALUwc8G6fOjAYX+Nx
/S5CR7jq4utiwAPT+n//N4wsd3JMwuACOY/5oJJ+2Ui3Cy2wO/yDbwq0kuWe+feDy5n8wcYT0zNa
zcLdm+UmOKuzjtd45b89uC+LXFiOZhXFqhcs4tGT329rUAqVb3/ex7fOmGAm3bUgJAOSgctMY6Dj
oH2cWrFF8YH/RbWbh/djOKDNFo8oYl4LMb7f1b9XvLDrzOETheY9MvClj332KoIBDuTKO7u2yPnn
X95Z0/eG8KoF7wxVxJAyg6W0YnbiOtM1o/WdWQRDAviBAg8D15dZKM8X21UU+5nqGWpv92Ojr1y2
b1fA4DRwpIEPCMfFZvI1EKvXwt+yoQqZX4e+8fvKNTjbgMscEJDRs+asd5YCvrgGZT87jDfIH4bE
jIb7Lq3BXLNGCOtje3+t4vXdfr4udv75l8MBSFVPQ++AjK0b9iAHSsACdsUdfmcIvi5x8cngR+Qq
GZaQ9pg0xanzrCzvg1DM/+zLQRES8EjX/A/YbTs2gyvW/5EZWOMh6h703o/8TJzFs66NbX8bxzpo
oEGNFUV66L7+/dvlZWHnlfXXckF2xreNa9xA2ACHRaImUSP0uhoAX658z+9qPV+WvUzFDNfFNbdn
4EB7VoWQC5v25TIC6bqyub5rO0ttlahtEc5j4V4DAX9rpL6ufoEONVD7hTANNu0/6BhMmGe5VpKd
tbX4wUll1GX6H+TTX1e88Jmqz43BqnF/Jj9H7epeDApOrUuJOLT2NQvynbH6utjF46NAvqiCYzFC
cILWktD5Y3Stpz+/8WurXLw6Ti2zEBxWZAEjJhtB5NT1y73tjVc+3fev+1831L94erPsaClM7MZd
xmRGVwy13SuR6LWtXDjGAF2pfu583Ac+Ra5VQddDJv68+fMH+y5W+3osF8EEq2pi9TZuXTUmnZM5
9YNqoeLsYSR8vMIeaV9b6yK25rDxbDqruowxqJq23Zs243KKRVak9V3xAAhRvJ41Sw7dcTzL50b6
pE7VO26lum3e8QX+vPVvYPcICv5tZvwLM9OvlTdWZwWYswihm8oHAk0bUP/zGwOYWyObgdzIIZbc
nqoEhNxP1/oBVy7RZZ+acXesxFlIaSmBqzKH54INV97Dt+XjL3u8bE5XGCDr6Nlyn3npztyM5OXc
KvOhD4Vmz865ghg5f7L/dLH/eheXbeoxlxD89LCcuSs3ZD9u2q3a1ulwBY/1refDlLYFZ24iLrkw
JmwofN3LElV5KRsfDfdmuVl0bRxsNebbvpxAf/Hny/LtWX1Z8cKwAJpLwMmCs5LgfjEbOyrdf9IA
dL4scWFTWpPJtQhAfLqy28qsQj0+lWSM/7yPb63Kl0UurApjsy8bAR9X4uW13c+AVBurvZJ6Xjue
C6NS9pi7/Yte3ABlErd+FvSjBD97tV5Z59pmLgyK7S+l73UTsI9yatJR1eY2r1QHvQ5gjNiVL3ft
BlxYC95rS69nxTXNrBjI9Ce6guP0H5wObBLFKAgBD9rFFfC68n80zwDjyUS7HoOpvp0w5n5lnW/3
8mWdi1tgjiXG7xieKSgeUr9rT9TwH/68le/jmS9rXFyCjrVBzc8BvXU7PDtRExcPfmJlK8aH0NcF
DueqpMq3u0JObEKn0cEQ6cUJCZvovGoNPKBb/jz88DdlwgD8sZbQ/LCSKqHxNQv+bT3A+feSlyFj
F1gjmf7bhcjtGoTkxUjaxFhjIynP2rKxAKzyqcnGCHlg/o/SzK/LX8SMkHRAm7XAOSqxhCT3MTXp
hAG++Z/P8sqHvSzZV9Rca/qX45bqZJdVVDr125+X+P66fPmSFyYdAOPS0gJbsTO/Se3E2tDEuls+
pkRiSKnbdTfXcvTvfeOXJc/b/pKilQ2Gq8fzK/hLNenHfNMXIftrwm2JgRVrdHSt+fGtYfyy4sX7
ntoRiCA9AL/MgwNY7Q55477TcX7n7Op08LfG8ctaF2985NJa6YLd1ctdXUMtvbtR6v8/gowQ6ssi
F4/czPtqAssIntzaAbH8AyTqonouazBjch39+Ypc29CFtQ9madrzOVSVy0PQ5WBTr+PSXq90bv4j
SD1rdp4rl6AqclHnu7gUa+3nkvugPRDSG5OiMzM+Fl3ouXl1FjrUoaLjlRj8P57XxZIXGwPBzuz4
foNpyr4P3S7fGL6d/PnbgVTjP0Kzi1UurONoi9Ksx2KKa9MDPYVPN25u6JSQ0k2k5Vq7fFbDaRy5
3cWjOQCEjsmubF60vJO2GiLfD1BIzt01rBln0cgbvfVyp9iVXTBvWgVd1ykXfOsqk58ooObbDjrD
6dwNbOfpgqXTmk/73OzZ82rZ7Al/voiV5c0b9JAhWJh31p4XAFbYztgn3J2629USVto7hXcbBPl8
I+kUpI62gsSAeCvIsFVotc4K+hdW/BaAceyVZoKEQT5i9HmonDYcbUmgicmc9154E0ZXGImE7tsD
EQxCy0aevzRGge2Yrao//GZmiCYrLT6WQgwHC0ION1CikduiIe2tj7GmJoS+VRvbllLvq1eqZ7ew
7LQYHO/UVvOAcKcLgjaCyCd/6TqIxUdVk1dPHMOu92ophvs68Ec/7IgBiJdAeUFE88rhJZQQ1ls9
SRBVzKxxf/oQQ4CsNlnLTLg5DWltOCfbM+3U7ZncmpMti7DGUHETmUsnROhC1gckd1okzM1XjIKA
C7coTBGtBT+XqS0vAS4e7E1SrVldkz6FwEz/YIyB9VAVmG2YHNAjh+PUdYfRNJybZjL8UDuLLkIH
apkROmIyUgKwb3ey7AiqENDfEYMTmZPCpzaAEFERHRS4CIrRfQPfpNqDfL/flk1Xbeem5++es05Z
gSn1NZyHZp0j5awkNmvzzagY6irFUGSl4S5ZKdv1obOp+vSLyXlSQk4v09KssQB6LS1xu8rI8FZ5
KxwZJGys59TJF+92wHjFHGLM1/kpDFm/jLxfbrEb8QnO/z5yi25YwkCPapf3Zf2EA2oyd0XuO1W+
F2kz8G5BzVTckL7LE8v0jYNc2HDbGpY6wcd6h94I2iQXakqN3nxv2rzbjONq3TfGrHdQFQg2itBm
09fVsrHWAVTxpKbZFEzQMiBUR6ovmvN4ajtsCsatk+TjcDM3hrWHPWJPy1JJKI55GiJQ01DdVqxm
mZqYDi1vGlOwHvkJxKfyxFkVQZvV1GGF4n3mjxPIatFIzKx6QmrnDeO20gFYYbAUVITQqABU399o
19Y30G6tssZp1tR2e+AlGwNg9MrpWOq0wFF01LEz0hdgcVZWu1n6mYel2wwZm0cXFreWcT80/g3+
QrWp18mOVuYWB0k5iYeG4FpCoQnSQVADjLpxIaCcBU1YTfsusq2CRoFUQeLRztqYtetuapmXBxdc
MKfJnPRbsAp17+UG2am+5LggE+oFpewPYCeZT9Ng+BCGEG6kq8LNNJSMHgTDZAdIR+mhy/xFZ0tb
xHrQu9K2b6XlpcE0PrNxxCGCbBvwzYENe4xGJ4pBSMct74j9oVmw7Zxfk4XSlK22liieazYfh5Ed
aMPSplhQkw7oBmQrm5GAsLIfk2rVL7MBqAZYkuyl3pl9E541c0ZnTbpgS9wprbREcqWT0Z+3NiO7
YRiOuh2zSfYkJMxPAULeANSSNBhRgJjZwSbkuaR2VmNMTK1eERKTb4aB/5QN9DyIKz6Zq8H1Ypu3
RuCnY+3TeGxtFuoVLOLl9MQ89zQuw95EUBhi5iGFvPxpHgGJnfw7Tfu9s3oxegYWJNPqD1rMGM/g
9G3o1jvOyc4qTZ3W0k5HyfdVMN/nVb+Vkwf+gfy2Vv2LKZsN5N2DkC7tDfj2HnitIb7FXmwTPTCv
K2DgGxAVQM8QLGsiLJzpYJr3i0CRQ9E2XABdJ1qZqansW8Okb/ZYHL3ZceLemU6rXWPimahtOcpP
ozBjOnibbu0AqQe9TeYZc8j7DgxYpnZpHbaSLeVNmdfVI+C4dWj7IHHREOSIhOveUX+wQumTd8de
4RNM+7kdOSQ/PW8Mg3FB53NZoPqhDSe0VuulCBTHLRpEmMMlORWIIM0q1TI4Go0Ls9bf2g39mFz9
w+/Fzdhj/z0ojGBmahSiA8y4xPX4iebgnrb0VlvsFoKcrys1vJgD6h4WObmXI90E/ipDZOA3cyFP
A9h9IjFIno269yLPcjNzmUJVQbubOYlt1rc5JbveZTFjQ0IRv6miBYfp7J0bfr0TeiXirLKbPwqA
oqJ1qDNjqR6rvHpTnt6tZ35Cz60P/hJkVUPHJFfrQa76icjhprf7u2ZZeFya+OsaQ8I1GkHktc2+
WcheDE08uVCEUEGRaCO/xaRpVufsUwso+xIHPbuhhdIo9BcSOkEtVo5+DObJMuJGnc5tCQyz3cpo
8kxIDk520nHjBl2E13Zu35u1jBx4U8nFHe85+J9ADWvUBJwIYLZoxuWVSr7pKkDVGxNNXUD0+0I/
cY1zbnJRha23fua9x0F+Q5OpNz8nEywnwcihxuVEDFwguVoO7tTaN8iSHqyyecW40Rxzj02hpuX9
0NYyhKZHSkm5aWS98Wc4dzCYuv2wMxaC+0UFjXFx2tBy/B9+Vx4Wg5jRCE7GcDWLD7NA68iH+K+h
f66rSTKuDZXUqj7S3jkH25UK3WWwlgxl/QrZpzLQV/BG0t+aA+UfDcj4f+Uebffgk7Njo7BfJCaY
I9wQGXb4jQg0bIdxCJJpMnZrX6/RgK7Se+MsMqnhLIHgXdLSrXcr5polLkiVB/cjgoSNWnsZ58Y8
pFJ5UKAxpAp5MAAAYOV7QQEt50F+tPBLtcUzZEG3GJVqd92iI48XWUXrpK9sXGOOK2bLjDjLhtct
1Mtrzwr7sjnOo53SfrqRM6xoJ+8XZ0r6wjo2ZnvyO0w3cH3m2DEHGVG0rCM1kAG/QIDYtyYRm1WR
wSbVIR0onrl9sridFE1ZHYucItIeyt3gNqkCGTEVm4GXO9bxpC5zPJ6KRzY/U1FOYNtdyma30vzg
1IETQtAbqOqmfDHbIUKk0Iel4aTFitC0ka+D8lLQCaTUa0wo8bgfeTdEZb/E/kpeunLY0HXFzTHf
LHNJm7l4IsYAes2qSqpz6X1aU+gKRMG8vI8VqNdyYdwtnpe2g/dIuf3E/ZyHfgkKZRvYYM6SxfmL
qj91DOfYIQYNGyZ+Waz4mbv2swsh4lBaEk3p3gqDuStCXwcnpvwXi6zHsXKB2y6dlIzDQz1b9y1C
I8PATSX5k8+Xt9Y+ehPUDozhFDT0sIJYGl2CflsF/QFd4TpcXPo+1NPd7BTomDlxDpnzGpZQV/Ym
ODcM+2q/GPMSyqVdwtLMH7TZvJll6YaC2Yi2JgfQNfaWL91ptdatARUaZs93LSWnItcQ/5k10A72
e1UFR7fh73QIQGtEugkUy+XJleyTcajUOYv9HliVjkRB41Iapy6Q8Guy3AbmFCLC/4EfZt0iwk6/
uZj1EwzuIHDbg0vWp7WQW6MH8mDk+oiB7S1KD7cGBlXnCdfXuun9JjaNIq5sRIALrIRiRlJXWIIu
TR/VytohQU1yG5KX3Dl1gqe0dTfUYb9BxZMVq5zjwMbioG/+bM3yp6B41T5VT1BCeMnZsoRea9+u
vPl07WEFzZaEYlwQU67iQOJzuu0ZuTxUOHVMJsrVbsLOsIywsaDqMSuw881FPBjgXXIc1HRdZ2dX
dpXWjgndpGVvV06wkQY9LnWbFUa3r8D5gM/8AHBmRiYIRttDDKHYxPXAuCoCGi7rtF8D+WkOLoNZ
LVKn5A8uN09NLtsNbcpfvdEVEVSTeYIB0YfZF7vVbe6Xwf809HAHQvUoZzQRRr+f2xyYXSMUy089
Bon2vQc+G++Qy4NQdZexrt/g4WxlAfc9nAfCgFSuVSxL8DxJuD3F/fvWzGMC59Ug9Jp8iyFZ8FLD
cLfj7CVEqMTxxXsLjtPQ9+r7xSWJbqw9ovrEZfTYef1Gr0Xc2x0i+PJG2w5muVeY8K4aZcjInE4K
UBdjeQkwPRhD0MtGKQOXhXlRy2Ui1hkpZxXW2oOsFsMIY7VpKsg20CcKvzU25p1k9H5pRzteTYnG
h65fKEhL8afVy+jhMQzrjud5E1ZCRPWyPkDpvo5mOd71HDWTFYhYPhcaWY+HOTEyx75FYDYwd4RZ
8IY/Ivm7F8QPTdaFQy5fawJvP6PeudDQKHKURSR4xsxHqQVmv0pEwr+9kcaqzuOcyiMvydbpyiQP
hiPRPuRhziVmFfbtJx5AMhESrp4OC1scKgP5b0lCs6yyoAQdb6Hu+FSfDI6fFzfaXXdFWz+4bZPw
bg0NwwwL2t9wX4a9fPTQpjRn/TiX75X5LqyHhiwZN/rncQxSjha7KoOQ02e3fzeHn0NV4+O5UTlj
QsR2nkoF6ikfaukqFNarDaF2QIGCrj2WLdspAygXAcKZRoQWP/L5aPBHWgS4Nctfmo751KG68QF7
lxGybjukGabxZEz5pqjmnTsCJ4Yc64BgB1YAIFlpxtPw6WCY2K/LsOM92sYnCKuH0myODgcbhXco
zB9K2ImprGjU3v0k1+NgsaQWuKBDGZl2jeeBnF+8Ng1LSG7vRFujfPOZIyWavSHJ+/vCdA9IrG6D
/NlaT+i/hbTLb8ucJ0H3zIsF1lImLkJbtH5S7YJFxAH7hWFHBkTPciB7G/5GhvrGMwTOGrzW1p0D
v1xDk7hskWrkW4jiIkAw9i2d0lx9rPCh9YqZq2bFq4NMmglnRxmaF11G8G0hixdpmqcFOFICaCFW
56RemruK3DljapAWZd4pJhYULLdW9aTKtwZ6FAHlSSWKdKlPloDp91JrcmMj/9Wi7OyuSFadLe+P
VnPj1Dsa4A9IjFuTrg2p4DElRqSD9/Nk6WCycAHhxwx5uj5/yp1bww7uu/FlbDOXEPQL0mB8xRxv
OBRIGqUTbBcE46FytAhb/yOo7nQzQfW52czoWiBZPMrGTN28SLxS7KrpaJbzTpA5Ia2/l45/GMYc
r2paYsXHR3/BJBpuF2CqEgwF+m1y+2Przc9D8JOQOZRemZQVI+FSqF0H00+WNqnbJyqWLfPKO7dz
HpYcnf+qe7FshDxUJEW5okMvQ4PVGBNQkHQxdo4HUbqFh52roqKD52jqjY2Mog5uZrFdjTHh7ZKu
87J1wVQeLvaUaMBmByvx88dg/lxIl7TOQ+++rqYTk/rEvVOudmuwAlNuJAPzbowy85xyP5gYaeth
RvmM88CL4Sz0gUuEHkJKgn7HxZyRBrMoZrDzXbm3cQisaPO4dDDfMD2pCf/qdt4WCmjD5meHKpTC
sAorDwSXuRbkzphRSUDRQ/Sfnl1FFalSFzF42UgoCK8Yopv3YA1+HHq1m0Wbimk4cPRMAVAKXQqs
WPALUb8Veo4+iZ7+mDyU4HwiTqXV/2hMfi+Fflut4ryLPrQNo4noUt2XgfsD9mCD0kUbWWy8c+SI
wixBuF+C4GHgCErr8nexcBhxG7IEZTM9cgu/bDIxxdDevLGZtwmC5oD/jbipMW6KzgAv0E0gus0w
j4iA4TxbfpKmAZUXO1SeD0D7UehktnycR/mbNHOMtmwkUUawlD6yJU8FdxOGw6tkCWcDc19iLsub
krGrIt5Uu7LsD1KA3Zv1U9x5oArq3+ruxPLyUXXTT81AcBAUG4rKCoiJE3hajM/9Jhqz4+brxECp
xaoExUQ7BsvBXjEEu7iXs4PYWW6dvr1pqH0YFxeFvjntGlzu3qOhKbSK2qYMR+9tsLx9sZYIsIGg
aryYsLOgeBUVxidKWvcGbZIGzt5adMJmZBgzSfKJgLcIazvVoedwq3ggRDxa9a8KdgRpZWrhTywM
gF7l3o9S7wzDDovgQ9hWiBLiDZ1P3uSDeiEGW1rYzxh5NO78FvGvo3D4dqBiVvWJ5EWqgEquOrgM
l4CnbtQPU+7vOjt41L7cIRB/cMlzbUF8qs53KFLG2iwShz6sQRHbmDXyug3Bwa79lEBuPjL4fANu
/OfG52nTkS3lT2BcKEAtLU4OUXugTTCTSOOWOT9yz36EbjOmQxGPYhjMqPyzuav3fklvEGZsiN2/
uuaZxrmIIeh0a+ePIFqIKC227URCKilAMokuUN2gmC7xGUypShjQTUEJOHAt0gJJftd92L2bGQE+
OdTQYFOi0X+QJk8G62CP9rbj/JfVJYRtahMCCewnKOx8fMZxQ2drawUkaVY7RkoXDobcsFmHXStw
siz2DRW37mFoO8DT6IywsdtwvACvenGUwtWBHgjMjrO+G4zEbG4PXT8eaq9IuhFRmIdCgruVODNR
cjgRqIqRZ1pmoCuNcrhK/J8NpG7W3A1X2UWD/StHjGHCZBEk/0i/d8zuXi1QGzG2vNrUz/LgqdUg
JS/ND6MYd8IuUh+FQ8KeTQFTuq57YcBrab01lyHzyjbleOqo6IdzRdTG0gFsu40MuOy81zHvjpUw
DrWYNFLo8RdwGFvNBplICszzoOx7sQy/QT7B4sWsj1BlRFCFRBmKv78q03kmTn/ve/NDzrDbxZ9v
+7l6BFXMPQGlcNDTn0Zv3WMyFxwh+kkVkDIcU+ofc1M9KO8e7Yg4725t/7WBO5HDm2uNSNihIG41
2zyHhyMUeTkYV509RSxAA1AsGjemXjAF52RgMknzttks8rdiNBaeEXK/jFyG6kEZeaBR9psPPq1J
O/PEx3867hzO8AuBgTLWz4LZae6+qWneeMHRQ1INtd20hBU1/N8jvieAsQEXoQf/6xUCnVgRmR3L
2pzsUFFDfX+jJy/zLLWjnpFxIVFcu3Wn4gfAwmFtVAC84ub01QbYWkwGq3bjectytPMBFaRz0b1/
o/qEi7zt1zV2qZHW82YejVivbyX6e5Wp0GJ5oRXKWG6bIdnfeoJuvPzVp2y3NGp/ZrmtlMB8FXp1
gZ9V9c8JWiN+ZaNi729aZOEGiH/C1dUPbbE+rhCNmTw8wWpX2N3J4StM4eNZTsbzTiW6GHL6BFaF
arg01B8hmxjlS5qLcVNVMCwmhE0kuIZmtQkqKzTJnY1Qurbt0OluBv3g5yDzrH4wDFz6FLI503Mh
ADubHkrk7Rwftix3pELJor7DlQ5LtNfPgUe7wl6Jl9YeI4km6khipZC9+LFTbBpw+KHK2HFUATBG
Rx4dVHxYqfeoYYSjjb9AfnZAbXjr747rzJDAmq3tj9GdI7f148oxYgCIkqaFYG9NRsQPcqtNdzOR
U9ecWv9xbnjWTS8MU2pC5SCTOXbuk8tR3uBFNLHMN+j77PexaqxkzYHNly7SCuS0qDW17j6Ynu1W
HJcJZa6giduWJRpF2NDnG/Q2M2BAkwHBc+nMWVmOO2OaIlZVKgQqFTxJwT2bhxvRwpWATCljTZGC
NnvrBuZDM7obu+o2tWfcM49nrY3Rr2JAz6zt7ue2RQ9gLszQRhFBmgPsnYXmkIvK4WolhtlaUdc7
exQrE6tTO5dqG1UB5UFH0RlSwmAZCUllgdLzuLoyakT7yFxY6nx0fgOyVGxr4cRdOz6RCrrAbbAc
Ar2MmBmujWzw3aSckR8G9S+bLg9SzYfCN6PJtFDQFDvXavccbSqBJofR/lJlCz7zJu2tbHbVQ9/g
H9C851zCEENtenkMmiFZrOko6uq5bfU9rGaMl4XakHzN22q/5vN90aod5xYS2s9VyI2tmkdvZDiz
as5clP6ntUoHz4xFgfYbGIEQ/ZT7sQ0yOk4VvkWOaF7W6JkE1iu6zrezbjKkgLfCogcUaFOCfMeU
RtgzCDk7CCq1h7k6DmpxKH2nkPSJJp3vwRP/oMumyPJluAFHN4R8vZ/ewNFfIL9nm0UWXm+PeG0c
fy/VgDKWhxJiu61sVL1qdVC5d2OuTgxSpUM5Y36ft1mvJ2AmjWeth3NhtwkLvzq5zM/spd95Q56C
VydcJ75jzpK0AU8YSnGWiYMhoKIaI7eUj3Y9Rflk4dcDRC5z1HRjguQ2lv5bO8jtUoBE1Qpiv5Ag
cGLJALXX0Oz7E8okSRN4sLmf3Gh2ees+z7xOBbZuCB3mWtwuix8WVfBaTc9zOaV+tW6UnrKzl5+7
NhN6TrgFWpm2fgSneSpcEPF3VbJS+mBaeHjLdOshwS2mMm1qHjFIh5igockRzah87VEctjdkwEMa
vNR06l8jBQ4A785eTvDHaVDOB0XRIbKGY70MYZnvW+nHPR0iUyA4sDFobpdZUay7wCxP2mkyxIIJ
VN3CBkUwupTpYNBIVvmB+Sp1LJSCVrTmyC4f0VgqWFby7uhRBHA2T1ab3a+dPgJ5iJgEB+b0CPLq
ZeNqlnDnsxdg3h3FhmImQ6HE5Mj2aPbFT1KPSL76fUf4nShp0nogHRVOlNdOAh3CV0ZwHsraznW5
+y/2zmw5ciRLz6/SVveogQOOzWy6zRT7wuC+ZOYNjJlkYt8cDjiAt5ln0Yvpi+qSuqpspJHuVTdl
NCYZDASWc/5VTfFGJhVxDf0ziYIAos7GxvRcVw8icw/CZlCusuB5mDk4SXmyBrLcru88iKEMs20Q
1JugjtZavxIHRSX6tsUh4IgWpXe6ISXpNiq7tVALI0O0U43Zmxxplq0458mV1ctDubzWASU13Itk
R4n3UEGjO89x5ax8N1l36qfosvVUBlCP7a6fg53LgzoY01NV6r3TJ4+D8nbuWJ3D3P4SuebUVvVd
oIy1zuxg34AnB5qukcqcsa7eVPFwQCAH0QoiHou9NfAZyHkfTfLgTNSdqORHN0jiseF+kro8NQF4
girBIdTJZCwEfrtyg2KbO+O5AULubG8zTu0jyf83YlE7WPm1UxWXKDDbfJ5fRNEhNIh39eTetj4S
ILj9AzfKM4qkd9kWN3UCV+RZe12l62n5lsJP0SHM6P7mKbHTGYXgBedn5DdbLRnpg3C3CP9GV+Vb
IOaDO+YnkohORVS9JqlPtkntXGzCSVvj75ehXQPMbu2xvox59OC7mhGin5/ilM1iYF2q82zn5/VD
HrrusQwYSoF4kEkvzUmlxIlZ4LVN7Z1yFiizTGY1S/82bsD3Iv+S5TUxY5wycDQbMYpDbmdf6mj+
pgylBESmrY2N+dsOt25znRJ/G4+1u/YW93XObTjI+b4w+XfC7J+dwR3Wdqu+iCWfqHTvUItH+i2P
YwaBKWnXVhkF57LMwg0gtlgX1/3R716XyoUHsMTtVakJZwf002XxsZ6dkz+FJ/T6Xzjd7oE1T36q
H3yLKCTLuyNLj8m+s77UxfCz9ZKvSVxe/EH3K5kjzFaBtzLknK1UHb5PjnnLqu6TT0qtmoVD6teP
QZue8opEkKmULXlwjnWwEvG1bseXVrPU95GPFKCeX4qxuU1KhaCAExVIoHzPpOQzzOx2b5fNss9S
c6ldqW7p1+CG205vS2UdElO8elXy2BUayijpqfe2vk5L5hPNnhPdY4ZP3Jftah6hEY0NPlj7r1aR
H9N5+glgGq1cUT2qDMZCFd4G2KrjwNQtGKKoV5UtDotE1iFteLTOYggQY2hWfEL+aqqcauNGS70R
rU527dJcGhdQSabLA7jKl0HSv2TqMNnUGAlX1mh/1xT27eLSf+MzPvqtfawXF6FBECXrLIMtEEN/
kvhfDgGr5tRmYj228a2dW8fZm5e9botjFtYbNQX3iYiq9dLlzqooog+YLMDzIMamovJjp63wMEGc
rQKvpW9gBrTxeMqzeVpPcxdOF5FTHmYbHGohatotIqyfhQsfJYNiWC0IIVZdoNm9Bex3H9RPixPm
LKvC3EZp/YXb2ptxCbJoMv+FB5Q4uPnyPbJVtYqXJtzS4/WjVPkDXOSdo7J5ZSpjH6STnnXcAkHG
dbIq8uUhSHhPEdBiV1R6K1oGU47pdIjbaT/1XCeSXbpzbRhB351Xo9b5oZvkY1T1X4vEL2FKs2C7
5ApmOUSNkEoopcQN3U1nJ3eQnRV8d0voBpweBWb3yFIZVznHV+Wo7pKqLta4ISyqVOK31AUiBCAI
UEvkX6bEfu7m8L1NomK9jHRYF0WR3ASxkWCTDI5x7z7Gngt1bSWbcSzatWMj0Umk/24v2YsI8mJN
ona2TtKK6gA3gA/h2KAGCKmfLMovspbZGmFQsu5r9ts6Dpy1sySfre77tbKG41h3iu/VH1Yf3Aqs
9avWgTmvcxGBR7rDyjiWy8fklXDFLKvTMr7bbfhYOdT7tT5Xed+pGJKBvDgnRB7ScaVFocse2D+6
seBlKkrdRhgkq9xX6AyOjZdKVhU23qC33ZVTEbG12CXPw3j0jtJwMizwbMdQoK3NMmE/uKMzH7UO
gr1tBZxMuRWg/khI4Zk41l/D8jqq5Y0+2kS2gjD2vvks7N5QLi3KPX3z7VoEapk3VhP134qerzk/
cYJ4vXUMg87sCkEpqe+k1uuQxu22xwNwjAaZ7z0nfQ0Lx773vMYBveXxB/ObFVtnYBNY6jI7GysB
uKNvOdtXDDV77n/qVddmOIulq2/mIA2f9BS4O9G1ySsurHC9iARDas/7y1VRrmXOfTg35fiQqzq+
C9O8XmeV4226DFlP0jMZzd61fryMPe4vNTuHNQuI33A85nlEKS5h34dUp9mTiiuxi1lZkQl5sCBZ
s2yFO7A4qYjdy3aTI6G6/mlEBfjSDqxx89RVJ2VPEVe/D01kB92l9yaurTYE+Oora8dyWu+HsCxO
3JSdmyFdml0cyp6EdFfss0HNe6Mcue8Tb+YW44XHqffqS6dUuqdEl2rUNK4O5QTtZeLJO3Do3HNa
9tODaoduDZvQHQ05zSt/FvZ2drXFqB6BvYVDS6NJE093OhiqzYTG7UseKHEZ4JS51GfueqkVbiEW
/FefG+qxa7S1nZGwcLR0rW7NMqrbRUTDTU43976xl3JfMJruOLQzp/nc3OVSfLctv+W6bAyTJmdH
6M8ojCa33DehHV7U3AU33MqjG0aeFgYCskUF3NacqQ85T8z0GqbGP3cy6rgrWLrdx75ajqOchUSh
ZkE1cLyhYlW3EZZlPsfWSn8oKefbmb7yhzzQw6ORASMNh8X/YNzLz+OSJpvQjZPPaim6U9qHnWby
0Dz388ZzH0JtVQ/KCgybnVH9KhhCMv8a6UWQRZaEDL525YVLdrAcrz/HRUnRqK1LmIwJVORpdErY
K9Mr/RhX1SJXAxm7OeeDlexhouq3rrA0d2Ev34LZ6GcnLALSl1Mkc0sZNfcSMGoHXEbzZtkVpyKz
c7gTRoe32kmmm2zKqhuDXWe/2Ey/vGZacmfSiCmZpYpvtkhT/kZUvds+zdMHu7p+BISRv2DGT9m3
4xgseJi54GUymc+wIXp2w5UTwGtzoX0tZAH1U1BG+jJ4NfxyjMONboS6m5ZDolAbIjKMzXOxTPm7
afkcQxHz9EmGGISXqi6mOTSt0/fEtZyv7VT0Z+33AibBb7h/tGP3FLoLP2CmGb7AdvxFrA1BjjFC
V94BOtIovJW1sc59wVazbSCtHsMIix2YFgT7xpHK749eUOW30TSNrLUiqg/dYE3g1MZz2nU2ULi3
GqsCd/qCJu41tKdqx8My5QlQRfl3YkgCzHFOAf7Fk8uzt1YZhwuaAwH02ReRSTZ5PYsX9EIJnHNb
xOSeCrd19ouefVicKEP3l8wNf1qReuih4tT3HxNRlI89wz155W0Y0qBo53Q6FEh4m6MU2fiu69b+
WdsZM4gjcoQ0ldCBd99w92zXjQ5sHms2GpxNPw19dKJ5D6VZPUYua9dVRhYuyRKck9iYZmeELNjs
yoQtn8ORPrZOoV/tUfOXhF3LoerjhD8FYXDyYbjGeNB5TvFJWQTXgGuH/QXdxvCuAMZZwLFas4HT
NRis2n7pqtcOqUq38x0H8cBAwQMKZmKnwY+U5Q3byhqSetPaFtbCkA9u5dlOW/L8r2q6wfKyJKy4
yuSmkmzxxyEI9HJBMhcGpL1ZkSmPC+8ZKsRZygcv0I1cFx5CyQdYr8Z76NKid9aFLMP7hfLSXWY3
w7OqXBUfqqKeuNi6HEJ4SO2jCi3SbHw1foxRo8UK+S1gmCfLHKBOC5seNO3eho32ojWZysV9XgCY
LFIHa+U20xHzabWz7Tb6aeukb1GqWdZKToZbgBvN3Tl3i+4SpBE+ipLySJbF1H0aI4iPDi0R7hQt
on2QjfYh5cH5WBR5XR10N5Q3kQkKvZX5VDUrYcAQCnKWN+zKaMTKNAU1CcVgr0sphgdJ6/suMEtl
Nu1Q2fso7oM1QcLdW75EbKwqzc858c47DTF9juIRPs5U08aTwKNRUZg9ii3CmPJkWLlUgL1qZAur
bJ7Ls+zT5djPuXlwZRYejdW4QFJO+ihKKz4kSWO2caF4xFZ98SrQCO+nisdLFtQubfDQDGQ9J8cC
FvQspggI03EBFQJ4ObdEQ9nEQ/Rzqkd9soGV9+z21hppxQTnYhYEsTo9oK0Bq+nc7oE757jSs1H7
qJuKfVESv+03IAx9XVrbQPv6e9FLSSluNXoPsWOJ3VKQdZIOzgRVHLbbRBNc5AjWhTFpo/O8DMUp
NjnxAAivn6qJW8toy2QtFbBjCr62y1Na/fLYfHPKDhVS49gbd/amfTb6Apa6rxD0Q/1ZLs3tOUBE
aJDlllp65zwwzp0unORjCboyX5lhVC82l9pdi540XDdVwg2yd4ZTG9jNc6w0a2zcZoonRGp/rblH
Hp0lC3pUXxC7hkSS70HVll9JloNxiXm3UC7TrhlLQv8n34u++lXv+tvGiesfo4jmTdzYxb4LNZ0c
XmsTdOvBf2ahyj+7JErv4q7pbxMZeHdOYXNZEN9RkZaVMlaPVY6+RfvpUF8vga4HQJzVy1KELbq3
wtcF5EgC/NRnrn6XlZ2/kTHec/gS7PlocDIm41F1/taueRGQAH0urDRgL8zj74720bUqxmLWl/7o
AwY+9bomgKn0xg+KKKZnq7NtFPZyNDtV4wNIFhiJCIfCIWmc8JKMTpSsHDdYLuEydzDp4Vx8EfnY
P+LaDtR6CRLmm8bnATcrE9yhVWy+jGQk7WXSGdpl5v4hi4yNlMEUT9wdk9uSYf3Vr1J4m97Lv7lT
lD9kQ9o9ehCJN1FjRr1Sli3v0yayvjX16CC7SHOL+ufJFziWdA1GL0DBvseZRGo9MU2QpxI4HzS1
j7up7kEWUbXs6ijUt72quyfRp/qMUHA5jZkLC+HGc342Y5Gtuyr/p9Hl3/5U+dn/49/5+gfCepUl
qf7Ll/+4ZD9U0zc/9b9ff+x//bM//9A/7trP+gmR76e+vLd//Zd/+kF+/++vv3nX73/6AtIs0/PD
8Knmx89+KPVvL5J8Ntd/+X/7zb99/vZbnuf28++/vH9UWb3Jeq2yH/qX3791/Pj7Lw6939h6/u2P
r/D7t2/fK37yMWv+tlfv9cfn3z6av902Sn/+Jz//+d7rv/9CMvuvoSD7ArHHtS+BqJJf/mY+//mt
8FdysenNDR3+h0Wq5lel15/5lcB5gDFaVX1hR/7Vqtg3w2/f83+NQidwIpqUQluKKHJ++Z9/6P0/
3dv//JQ4NL9//bd6qO6brNb933/5a5KlJKeMAcrBHIXaSpDm92ffnDV3Y4it4CfEOzj9fb+vUeyu
5l2PEH7Vrv+rcDn3t3yeP7jKecFr9gzvjXuzhyv2Ly6zuSqR/NisvL0dpfY2S/jDMFm2od6PUdye
XTMud0WGFoRhIZ7XaEw0kt7GUitBxSTUj93IAwiJ981DjXap+zFPDsWol20iUgvZex4MAAjB9GYh
3js0cz3vxmIOXkIvL/Sqc4v8A9qlf+uzWFF2UrOuIiltpn7TpBZdfb414+qbVJgF+xHTAyiGskcB
ISwAqiSIO0PImBlnNeYLyX+lhoUViam+NlUzDsewtv0vbcxDa+1akMtzrCCQdDLDuGBceXObwnpF
lIyse7LHnXQc/8EoZcJXYSexwwdxRaDyWaYPfeeTVmcC1rO0mG2zgnULjr1lBg/9ALHHa5KBzZ2P
te3sRj2YjnXdWoelrFaLJZtoNRZRuayxgjAKIcJFZd4lXXrRWkHMe8goMUO0hX8AP3xtEkAYRPdT
+WYh/b21nLqSaydEPgqsG9DqbI+p/cJjol93kXGtHTpebpyL5Y57ny6QTTeY+NLYoUrO+J+7bW91
9Zd0LqwHUVX+jwXBinNEd53dGjDKinNAgz/GitzGMRXkcCHTqfajkyxUcMdAD7XeFJm33GAuKWC5
VFs/k7+jn7seqbwuUQ2vwW3w9HG9oLhiaHXXrirGS7648nbywToQV2i6damFb7admudnVw7OjyF0
sgcKaCbaxj0Fk6fq/di1yxOvq8utE1duz6hTTNRbjGj1kGpmjJCubKb6UTCxXXxh6nKrrVJ6+1mH
U0T49UzR0YxS9JW+LChr6eW4KCydtK+9p6S/7VhPmVpUPIIk9cUnT+WcVbOuYAt6ROCXNB/kz2jx
R1xzeqlvgqz74cq6e5MpYIWsR3OpFviDbZMFxdmzg9dCRcTaNQ20ZxXU4xE5b/6lEY15KKGU2Nat
8YLAdolvO4qSbqasy5+r4SoITrJ6pP1VT7ejYdhUGd0Rq7C1eorXvcz7bGnZRg2KTG1OwMFRprBV
RfZ8gLsqf/IzgcaBkWmzT+c6lmo7TWlWP2QS+xGyCAgDQY3WD1NHfrx20yXNgIri4H0yHd5EloBv
eMpR//cIH4qDCksPpbSFf12iz+IUaAnudbv0S6HwE+UeuLBvqKlbDZaun4vWk0/LiJ2mTIx9Yzte
y5Mz0fMpamnnhUiPrAnxae0fq7yVX6t4XKx9KTzwOYNEE1TC6WeC86xJIX8MMDQtU9iwRoR1HfNP
WuCkbjbNhd1dw5j4NDIBgRKD3U8XzwTAiZZs6bUasvK9ja/wvkKSfcAEFr0lWZiXyJdB2pSYUIuL
1MYg2ab9feRwHbVlTVZ6nXv7MBHOzZjn8oyyXN86qIUSFHtu/41tP7pXUsRfSms2p9Ft0c4nbJMM
xwPsBIm9yEp8pOW5apNTsTjzuO7nrr1ZrEYc2qRcPqykidaGbfbL5KvmJXE7FvWiaJtzBPL0k1gz
FAb0Nni7xJjpVkP0KjbXNL5tQXuRiLnK2ksdD89FGIZ7mRbTxzBn3qkeLP+5bnyzdwJKflnhfL2b
Eumgngu6QzCwKHRB3t6k2QyOXS/DJQAoguzv2qeGj/lcDPlwywCdrixPWz86I6x9VVsgbY3hvMVy
ct+FjrWJ3a58Crk//1CL1T0C8JEn44zLqawI7UMziNwtMfJDIrbemzIhS7sKRxsIJXSfEl2kj6Mr
mhsP/OaoSjMjf8gduMbU3foyrfy1jkfqygsft73ByLmvln4pV4li31gtfcadN4ybUxnE3a5YuuZN
pFd6Lo2XOwil5KmKqpGoGd32rEEyBIZuRBTcO8bLvreFUQyH8egeefRS54WGe16hzYgPve+45xr5
3KkT4XJoa+QdFZgSllZ+Fchw21gHVudmnVsSmm5oa+s4VqZEuFJpVDpxhLmw6tvotTQIE+HvIDBg
H4B7VnMezvOedoDoZl4a90uYh2B+oavZI7NoKLCiDnHKDj0PJyRi5uSqOf1p5hHeKKrKAt1n4Xpr
d27rYHt9KHrr0XPnn5mXxV8WBrWLpz3KBoJlSahb66V+7CMDVtmwQ9YsmW/oaZg/lcuNDDitDqF/
szC7egZw7e5x1FbfGmlqOoxjiHFvhCgsISe6jdae8va9m2fq2ABTkP9h+mtLoxVK62w3V58UwR3d
zz8McP/JHPQXpzjIgR8GnOjCkVEUCOcv4Qs1FruwnvxvKQ8uZCEexFZKH3ZMormIXv/Pr/UX8/b1
tSJX0Ifj4eiVhPD9eeQqrbxoht7/JmMSfFL3YXb3nc3yKpyVAPuSvSDBK5z+i5iQvzjuOZ3okfb5
75pFEoTyL+9wTPMqnIrw54iZ0I+jlTd9Qxn4T1v//18KfnEDP2I2/t8vBf+tem//+3/8cQ/4/Ud+
3wNk9GsY2oLASj4J15bXRJPf9wBP/hoGDPycFb7E8/CvTUD+CporZRT45CH/9r1/LQLiVz5Ponf4
j854dgT//2URuOYS/GssJwQyktcs1DCSLBZsKtfT5w/5GTqfe8v28R4kMsQKEaVIzANcMmuRus0p
H1Rz5w21e2cc9sw/HKf/7Nr7S4D5by/Oq5NIyBrEafrXuhSjhqBDQrQg7QQE9Ic+/FZ1RXtDv3MF
1x6Uam0hCb9aaIGTEG0ut8OUBF9kLuqTwWU9kmIS5SFFHA3UsF7cPlqRJpC4iIxmkFwrLCFkgmUq
6y9W7FnfcJc440Mczam8qnmE166MCwGwKvwluklAaZtdIiBitzlGLwCBLIUuJqcGgddiB715kopC
250Y/OaNGrkafqeeE1Z/p/toxsrBq+BEHzJsg27NcwJlo2x9jSAccqurz/NYZjQG2KFAQdqXMt6F
nYz9XcKUL8E+oWXMXRP7Vx37jAP8pUJZINfwWZlMVqB2vkWweo6+8sEI0Ctr7KudNwzlDh+Gvg2d
HiynrkuISB43aNJBlkMUZjLYMmuYzSCdLvmivIAmYjla5lTMXj/cZ7PyzCUZlAMGP7pLfyLjrc/w
XVQNYDYpsvaKqaWxt0A+Rb1h35nQ/PqJ56/lzGq0prsZhjhEdfboqYlCuZHw4IE4Oje8h0NCJVi4
/WcUUJG+6ppYfJnj0kJ0O/PZEDvgEWDcIjg/Zo2FDtceoshaA9oL9oOpP/UtKCYLTdshRwL5Jh9H
TvukE2Zjx83wRTW5d5opeAxgh+L01QpV+hijwbqt24UDRytd9CRaENRVIKMCzM0UfYdLDcwQ1Uor
PpMmEATaLddfKRLV74WKCiZZsv3Lm9pKMfpIaTkI44DWq3U3tw1FE7KqGE1CghF33F/HS9/M2Tty
oQkbx4QSieHa1TYsuR6RoTPIJKex8/3nagmNwUcQhN1+9hJn+qr8oA43qdvqcSNrp/kYci87h36H
sAq/7glwv7HWPVVwJXaa2h223O+7jzbSJSNgn23zHsj8EjIxMTTMY4OSqRrJO5njdCB002nSHMGJ
qgRZCY7zuehBHywVQLXG4bxHKHGpKi84y6yNr34pOuONU72EKpS3CwzAi9V44atylG9DV4b45CtO
a0S+FX60VWkwiuuV7oOguEnUVB8Cb07CXTDWaou2dNlRNYgtvG7zEDvnkH7n+0xsvm09Z0Zg/XJS
aLuoQJ6QtROsw5xM92w94feq8aN0a2K7hP3yOIq5wGBCWHKx07KynidpEOWJbn6nqHDa0aY43y5e
l/bHxTXNPsCb8piaWNHHGXX4NHNyNIbKtOiiyUdgCI1QCzdNchuNQ/M8l1j7yadARiT75XwdGp7c
tB3Q1tX5jVWm1ZMU/rwBt+jrdcW1fVMbV1wcKRpUsrO4gbfELlc06tCKkakRzuMBjDJ6TEKhKA4Q
vX8aqjl3EMzF8ocoMIeuei3tzWBbSLSadjxFomiOOm2CU1jO5RZItDvOTaNfJuPkwNtZ+GFXoX0q
wHjhk8SgbxK9ODjZ8lrd9WE+PnW51bxVBeTgbuntlG3Wy+VbK2b7ZPUEuQgvWA4Re+m6L/BDi7yC
cnPZWu22qKGYFEdxyYPLmKXVbdpqC3kD9wF/O2vh7dIwLDECDZqs5yU6lwtm9xw//SEISJ2s89r6
piYveQh4FF291vaxGha5NWn4vYZEWpdidC4R1PWlVEN7kaHjfM3JL4Oyi9KTCzP+7NvKPVZphNeU
OX+jOmxL1JI1ZycZSL7Af7jn2uJshgzboXjgCkxCYsn9NtvDwGPJdWx143X9fBoh3E6MWQvgNbzq
dztNM/Y134d5c3kzi7TPy0yCmoiTlMu3wE7lxT7q8ZBFj2VkvkkLQnK4gaY/CsIeL2U8Ruuxrsx+
SfzgqDCI/TTR0iAvTG0sYlzERkf1mgLDmE+zd85BaatdbjLn6I62pnp+JuwcF3yC4smb7UvXNCwb
JCNAhitUySAI/YsWo32DMGbZA8m467ib6rvKADfPleS+AMn60jSl+Ei4Qc8r0jOcmwWvuoOAI5qP
fi3sA39jdSdULe570UZc2Z3EFNZgrS4tClxnqOmT4qT8yuRavidOq7ZDP093S1YCv/kquUkFdskl
Gwd4JXzE6Hvb9iTnhLLZziKWwFB3/2E1Iy6ZCunQoUpER4vMgO8wNp1ZqXCoj1RpOG+RUDb6B9kh
1pHeJeNee5ZOi0XZDASH5kHyUluN/MEzLn/Rto7u+8FO3sY8pdCy65OHQRf5aSpLve7760o+1snV
nEIdVmDDqCytc8iUVLRfCnNQUw5l6Uu0tsuMAnZBLGOxvq2EyOdLMbo9VGNg36B6zB8lG8trs4wR
Nu7eRwbgNqY+Qj+IYAUoIp9qnmw8G6eQSzjzx7OcGo2lwF0OCo/UJoH4g+ASOYQe8S68te5DWlgy
sL2Q7MIBfjGLKE+ksGWnpQT0LBJdRqthyIK3KofDYYGzsTpLhJyYB249JGc/Sa/iRabSJgLXdup1
lxMpmCyOfYmkATSvvPTkG7Qefq3GFVxP/Ay/H245bf0jeCfqprYSTz2b1M98zHAIJjq+J9EkPkSJ
1ewK2zNPRWkHT5VMBTiSluj6k4qPe7J2iKcxX3f4hgWDzFOY4MLqRFbsG9eO3sJWmPdgQNnT+V63
i8Frd0HZNKuxq/rNUtTVWQ/O8gPQ3XkSXbw8pyYNXigQxcBo5eZrw5iLsW0wm+SaXNVBVZyKWKv7
oMOdHqvS/xpE80C+Sl5uSkfmBzfTcjtHSf/VQr3+rqfOPccMGLvZHsZtn5X9CwpXkhZ8R6PWSdtt
lNXZ3QT/fhpCJGh139dncmDy+7RF9xuOQ3lsdFxhs+mjx8zK8q1pRw8TvedsKXez1tHSqkOelupU
oRE690vVHUThVNs25qlkxxKlVUvyVWEae++XJdx7L9ROT2lzGxunPWVtP27KDvkIJ7VD1FHiHLog
bpCz5gTxlHlO1GkX3rV2Ou5brp9t5pPKIIkUQlphowHszPDWxksMClG+xsFVM67amKJn3h/agE8C
acKn1Jq8s56yYV0i0QS1GMSl5zx9hwAPtlFBwZljg/pV5G31Qf46WM43DJPsgq6DomAMISrnznto
OuOsXTvBkirs7tHxRlRfmYPsMASaHIbOuh+IyjjYeQZlC8B7O7SOw2MV5CW6QhDAKe2HrbX7OnXR
sGHuD4EHWusYWTPzXlLXxIPUpNPfoq+IHqIIE+GkAjyOI9K612VMqkvUz5JYg6VHyYkjb8tyW121
D9gtVeiZr+hGp5sGNJ2kLk7DOyCT5dyotnp1LGRREKW45cP4exUE8k6D258I0+pxOsRGES7A9Xz1
kIU3btBWB5XO2U3pT+qN9bnY2UZVN3TFkR0cXelxQxhZ+ahN1Nwho5npUEvIj9m2Y2PtCFKbrvip
45w4WLhm+AXtSospLZnhQNTyeLGndQ0Vc1DEDu0JWVPrKnVBTi1/OCasZOhP0qE4C7hyYF1XPqa9
PT936dV8bDNHYmhqSWMgEyzc25WTfgVE9k7cUzFbcC3ynHFb9SMhQwDcERR57QdRdm/XRt8Evl+/
LFmHeChZonIH5TLc4wrtWWW6scmpprJJB1OZXzG/jzbPfW1l/qESVwVrEMXh1zQF/l5VBHLd+G4z
PgiQqB/x4mavc+yn0zrpufTYVICNgS6a6t1H8nhHfVF4pyLOoJVKOudltFvvQ7DsoSzEUwKSWPOH
zHH2WWHu3kdtOWDv6mKeda7Me8bIajSrYqy5K1hxcJuXxrtw8LsfS0pImFim5mYYFl1tSxrhin1r
e9YboLyHxU2TieZlZBvEPKaONKfNBYkZZfuoSk1cCfe0/kdqJv0g/Cn5WswMlmDW/4O989iOG8nS
8LvMHnVgA8A2HZNOIimJkrjBkYX3Hq8zjzIvNl9Q1VOZyJzEsNdzuk8vukq6GYEwN+79zRjf05lT
P06Q37+Fqll/w2yOtLkRGe2AybVhzegdqrTXqYon7CYLqaNtgIbU44JA4szx5V9vYqyE6ANCrnt9
Mx88yO3A4kVjGAPknZoz2USrIb7SyxHeV5uSO6x08j10kgIz/9QbsjdR+EP63s/KNlx5TY3iXlkY
IGQDcLhXZtI07VWdGQMSbZZC2n75DT/T3/zzcxG5pGPp8oA3zZnUYm4WoOv8cpRKKvGVi2AML6G8
fzA8q34Zm9pYa+Gk/rbiogGwU5od5GGnG0D/dVXzxfR5xK49K852l3/XmbKGRetVN3SBFCTO4Mdl
DZQGwRRKram0sqJvvkFbHNB3Mj61itHeuXqgfYNHGdxHXgJT8HLsYynI1ymBRi+YE9vmf8SstUqt
gPd1AJmm1qLmIW5U7aOLys7/9+Fp9Ms+PAQWamQXK25wbr/VhzW3P3/m75KbJf6iz6yqFHZpcDtk
AP9TcrONv2zM7jVa3hT2LEP2xf/uvut/8a+rNNhNwxTy61EK+1fznRqe7Lrzj1THtDXhvKXkxoY8
KroJg74/gABcfygDWxToZ71wsw8RO3CsciMyrA3ynSxS6F8pvespVCs1dLXNQMWcy6XzmjSEgYQp
Y/NdzeK+35pOE2hXuRejjg2bKB5/KKNowm/Cjuxk67lxz2uD6xoSkZhKF00U2yzsDIXOMZ1AlTsJ
6jaDyvMfMKJL23gcUrgLeqnW+pfMURXlKQgDN9sWZqHF+7jObfs2ypF+WJGUak8IP0bVrw5UovM5
G1LensnUWTwyvEiq2bCZpzC6t3uzC8IVpmt9fwcgVqM0Ezt6MV4pRaOZ7yoQV/ovOHyJv3ZMmhXX
VOls8RTphpJQiNMSLFp92wcfm5UICWat01KCyaQkX55WlXicIPDItCGkwj8Zu9jAL/OrAYO2vwOQ
7Hn3rkGiehc5nqrJ2gaApRWipY3+TSmE731DYrkctwBsIw0kqhHY048BPU531+qdkTzbo6g7vBuL
PEJ4MQ2Gqn1UnMBLHrTeb3NjRfUxU7k5B4H2ImINhQ/fp7xGTMy17K9BNDaUuvLQNbtdbwc8ZODD
05h+pjVpxvG6camfvLh8ZKofGq08/dHPDD+5t5TaTK9yGCQoisRdOD4A+pUZez22Q4mGaBfXjz39
XfFYlOYYvBi+4RU9Ag72tC6p3FhUBJOw/hbFkap89QyKYU8V4Mvmq410F6IqgaMMz72OsClcHssP
k3uOdphOaFW41biOHU5KYFFthCxpFgvjfZOPBhppAJ5jaL1K6KqO/w04hosynAefFy47yQbgS4gU
dap/6KdSmW5qc7QaeuZOC5trzEwaxloJyhsabhH614DSGywNUKcDCw5JEDww+8UEeEdylJn4G0fd
WFjrrLc941uXOaTnK6vzA17Hgj9j7ru20LJfztjGSI/wHjW8nYgbB72Zqg4Gbm/HS0B0ZMEUZSj+
jGBD6wnbrU2MFB20K8Quo1vFFSmd2bDlxboHYxL7X/IS0AC0e54v20rkCapcWmX5cBr6MXKt72o7
gETu+8TR7iiiGvVtPDip9l4ttCr4ntO35k8HEfVnxxwSj05soeTozah0tcevObc2Fcx6yk3xoLZB
B0cZbYhJyhjQykMmyNN9Ci2gVCznxeY1Nd7rZWcjaFflI8qcftdFxs1Q5QbE22Y0kNhwwIwj6gEu
tLev06q06itn7Bzx0TbgnkNESKD8VmBvc0oNnVn3NlDGKXTzG75I1TxQCW7hKVJN1t+NdW949ybI
OvUbPJTGe+d4Q49Go0E+cp3HhaK+tyqqMDeIfKEHm9NXSB8AWNT9977gWyPcxta6jkcHbaIgidvh
OQacB+VW43Ttyq2ZFbyIVmYDRP5TEo3wCqDshpj0ONSdwp+h7US2s64Hcp8fIgl6qPKjjhpqb3Gc
3Y90vHv0eWq34nWeQU6AtmEHdbsJekWkksyfOGB1lLETjv8jblweFk7qA7hcw+ZIUXcTHAfjJyQO
6eYbTmq4yH8VathBr88T98XmHVEiWdQFFJPcVrGzJwvtA/+mRSQUfHCutsXvKe/J+ld10Pn1dZJ6
Q/AUTOCirJUu/ElzV7lqGTw6W7fIh2eLhYDBW0Q+hyR150au+bGUrc8nCHRmpGw6lV112/ZK2Ccr
HU+oIfD3amsnGnCVMEs+d71bKGD3PT9/LICKJJ96lKB6qg7kGXedKLRgyyRUzl4vp9K46RvwpLf6
mMb53qd0WvCOD3g/7rLShKyqm2mYfO9Hw0NvKGmM8mdruQgRK40q2vs4HkIdAbcohMHEARfH0yYD
EzmQ7UOOcZ1dzFNu+NEVUZTdgCrq/Luh6rOW8gogtvE55eyu8mvftKyE6hUlD1ThvYaSXGA2GpSa
zs743VDGigjNWVvUdE3HlQ5NSG/Ubaw3tjGqG0cDKQIUym21JnrRI0uJ0z8+JP/fu/wPshmT/OZ/
z6Tuv4FmDP7rP/PDVOrvP/Wv9qVGwsS+hB5jOhYu3nSt/25fms5fdC9xh6D7hteFsP/JpRTtL7Il
x6A8zpFNFY0M51+5lKb+JbuWpqry80yeOW/qX86a6gY4RssW8rXk2BqIylmyHcVWDPQc7W3+TRjX
YWKuawFVwqDGv86oH27rAQysWgkA75aSPB3M15kepmyP/tM+JZMjPIguHhr0aW3wmcfvDGNCXbOA
F70CsqDt69Z9VgC4XdlGfvfmQKAjhUqeZAOl1Gfj9OMhnZKcwnFYlMMeb06k3tDOJqcS4YJp1fH7
5XVMaGurGp/VcWhOz3AKeIHHQUWnSCqt95tQAJcXg7VgMqSd5MBIWtscgERy8B9QZ7gELc8CH08j
2qBXyo/2yt+ma29fXjePQH8W3tRnPhLQU0c3SLx1equzdDss3VJoHcJdhtsZIIw047pPUJ2rms5b
eHfO3sN/Tx6YQ+HSFCbFny0IuoYqHVuGhdzbz+za+Rbt1OHK3Ki7atiUO3+XKX8egkd47EMo79nP
BazW1Gya6bxbjpcgV4DvWw38DmC3/n50knxdaBBP3rz+mEHXFJRBgEm7szkc3LLMweaACRz9xyaJ
r0d9+BBTV78cRv41s/3kOIgqg0mwLFc3Z8s8LQtXMV0I7xZqqpKF3Q7fJ5eLYh2hcvg99YrgQ9PH
pbcwvNNJ1DmOmEHH1CXuWi6hg6pLqxtxhU43Csp5E7znnDGfqqjSP10e3ZlFTxgDxAeFCdMVc8d2
gIeBXctFL91KvGfUY9bqdX7df0Ri4OFyrNNFTygZCNyRSvNmNpOwgcrOF5TEphxxxbwd4l0L34VM
mzz3cqjTj2bIxc54HEOzwHcfTx4U3xxKiMaBQU52X1XhTRT12Y+ws+P7Mh3Nl9i1KLxeDnr6xQjK
GSIPYMERIi+Ggy+W03qpHLnsJ082pbL8Y4uu+ubNQbCuZE3w5OfMfd3tB0F6lePdz8BK0iaGr/oD
eemryxFOPxNH4EEEOcyDCLQlYtganE1gP311FYLFvk6aAS3AHnL/wnCWgs2OikqvabLqrHK/gw7Z
OPn7oaTG2CX+y+VRyb/oeBtLsL/FdSWXA1Zyx6Oyoafo4QCRp3dq7asfwSUVjnA+IPkcfPfUbqkM
eWYxYCQnLJ2KDtioecnNK1xEblqU5gqnfAzT4Qdmt2/cTwCkgGMZhsp9T/FIJlaHHwpR/iCzupwh
mcmtM+XqS+707m3qjdXCdTXnZmAkT0rh0LLUZMmJStZxKGBMNp1WRLug7U7v28osn8cks3ddmhlY
BXTqLcSgcadS2vw82WN+P6lo7vKS8dRqYXnObVzJ+XTSK5ciFXbZOiW149+ijyppuu8xbEXpPsHU
Lfbom8RXtobSEo/KHvokYjM6qNnrzOp5vQ8CwkNWon3q9aZYd3nnoYij+juDlvj28jqbLeg/v47c
C6kr0hVcw45/HbIiWerBN1s1FuTNpLjJUCX1A31pFuTfc7CeX+PwbIG3wpKmfjg7bLQgT4uxTXF4
cdzqK/1Ec6MrUEPw7qi20BhgTyBXdK14Odox4/ApimmrXx7qbEvNf8J8S+H2FpYlqIAVX0sB2VEk
H0N+cH3V8IB/MVFtFrvLEc9Nrg1lVqbplgo5+3hy69pLYx7vqHIYaE0F7h6KzVUW6QuH0qzjIf6M
zOKNIFcYd4i8Xg6OQC3pMZkbgTK7bqUUK41VvB0DqReOrLV6j1sR4DUEvh6CQe2R+SrDJtrGUpAp
wCfhp+D6U24g95rPtIDL22rUqVghybJkHH86Hya3AFIKtqxTsBqOf6evRE3kIeSwKsGurUBq3Va1
J0X+p4Vcf34AMCNEEkQBsWFJ2O5xJKX3zHKqSBOaDfXeNd1E6hPrAde95grVjmjhwJmdnn/CkfqA
GNNVYZiz+7swLdG1cJpX9Hiyx7aLxLsCzZGFKGemz9ax+nRBPlPh1ynKH37mvvVVHwnSbIVU47Mf
epDKzfjZLer4bZmBHI6tO6oO/NIgkRSz4bR53HRYNXEo9KO1yyrPQ7HU675c3h1nJo0LjvyDugTb
Q5/dpfZYu2MeQq3v3AwAV+IhoAaHZuHkkZNyfPCAy6W/rdtgfjklZ3vQRNZNCT3IoZ3Us9MNeLNY
VAEdNEtYz8V90VqoMQ8LYzs9a46jzg79lFI2Jloxjxg//Th4aoAIZ/ux0odnlwl/+7pwwbdz5+Hp
TqtuNkQ4RIqjVPCtfMT8ML+g0Tqi8pttL3+vc2Mi56aKJuHOoOGPl1/ngjE2DEBLnt08RbDDV0zt
N82JgUvqaCFcjnZmsXOW0eYxBcBm1vxxNLvPDGfMuQ2LJP1FARq8xwjuzVdgc12OJP+m+Qoh1dJY
gbw31XkenFopdTkDwcXBK0A7Js9xKD5jRIDOhnaLAsv3t4cDJU570zbBsr+aaR4c1gW2BqFfEC7M
fwIQRLbMXwOu9K2rDFP1y7FOPxkNZfrutAiIxEweT2Lkhb5SyXQV37N16ilXdq/stDT+FZufLkc6
/VycuLLkIZH1HB2zSLzL0A4JFAnLK37peA+vMyhqCKuFS8ndmTGxmS34r+TFNNtmC6MZywiPJwpG
TQ7xfWVU1HxWTaGrxSZKRfqUClpRb95hNBkdl/yIvJUzcbbD8F/ohaGYqRQeRuuIML/QxnH3ASZ0
C1fXmYkUpmvxdickvtTynx8sDz4nvisaz5nIiaq1VTrxbVcn4cazAN9e/manB7AleDhRQoK8Iw/H
41CKmdQhGFkKSBQv96amWlvea+bXy1HODciVBG5Zz+GYmpWpfIALpp7wth3s7zK768LiNkizhbHM
y0ZylZNYOHwhEgsodbN5qwMM2yqbc14kG8zicFMPu/0PrpSrdOfgy4fo78Ki0E6vFouiGAueljfr
4jXzP/hU9IVokwawPNHjATMOUg7FitrM8f0AfUM6i8ZvaSPiYyOSmqZKne1TxTb6la+b1s8akD++
MOgnALnv6ZtvqYWaLl4L6CfDL252HdSEZuFHn9k98lWJSAUPftgqs92Thabb6X3AkW2Zj85ob9MK
8mMXlhRCS236N6IBH5Hzo3FhnKRhzeClpoMhkGsqsCn9KyX/ZYCkU+KFQ/XMpyAn4l1pUcyQmIDj
pQzzixxD5hI2vrx1+atK3Y1OZ76JfndBumnLhTvjzNY5iien+eDTF1OWxbkgs0clqVuZYbjzUfVY
OL1PLyYLU3d4PbQNkBmYfytLDxU6oa58ME8aRmGKF34N0jHWVkiWoF/q1rkI1pOrqkuGtueGZ/OW
sGha0LuY57N9AfIwtdhMUejcdbq2pTbw+/KxcDaECXlQUOJ1QWsdzyACWkqM6R4FB0QUNynEhDVI
48+Xg5xb7batctPq4I8ROTgOgjCyBSKUlKVDX3IAdRiY7trWwn3jdLvLoc6sQJcdBZKLE5okbjYe
XOUEzKgalKgA0Bf0HWp7UXdj2J7UedY3eZ5+bmAzLayRM9NI8U4DkwiXTb7hj0dInxdxUx4dqxhx
gg1l89+BKBY+1bmhHcaYba6pzylyDdwTYdMpW90wka0exh9gQ7/7veatxwgGc/PGUps80CV8j8Nc
gnyglh6PTB0VaygLuLKjku50XO/qJHsHvOLx8nc7cz0RRnbZbHxNaXAch+mASTdAl5jA9pNi3ml4
nTXRz38jhiA5VwWV/9de3uFpAQAhMIUOzR6SHVUczIS2JYy2DXDnaGEZajIVOc5mGYwLex2YFYfu
vOZgl9jFaiPQZ9/qErr6XaKGuCiB4SsCGw5en0ZqsrYyUL28gezkG02x4GONtt7SVaPPOouvX9BR
KWmTxLMqJAv0cNiwD0sdxbN8BbWwHD7ZYVVG6xjCorICjlWqG4Im/T4Cwv05b1vQopghq++9fPKg
+IbkxY01eekmF0WMHVsM/Gor4VDayi6QrkAcSTLTlNRX4HNAPUcuyYrcj4NRiXLdmDWSHLrh45e8
Qo8OzEsfdZmx800A5lgyBRXS8FNWP9gd3dbN5S9+pupnIULjCocjnG05zw3SRB1TXmXopI1b7A+2
6VX2udjCwlmJ9/oO96NNtl5KSM7cF5wCsrtpST62kKfhwaWUFaxAiPIcQWBMnkMb0ewmE6i/pG30
0QgFZPgUdc9Pl4d6Nir5KnVOsjvaF8dRmx7olaawT+Op+oAApID/jaxYiV7ntuyrH1bZeh8uhzzd
s0KWdsljSGMkRvE4JCj5gkISOfLku09xiIpY59w0Y/4H1/C/9gXPhGHnUxZlM8m6ixz5wXw6KJKh
VUNtdAqd9+R42A8V14GmLUzgvKfFPhHEcfg4vN0pws7O8FToXhcblMUUTVqO4OCFGgziMLIPiR8D
7MJ3qh3tfK8sVmonPvvtUsP69ITnLWqRy7JbeQqYs0MwJfnIvYpfgFZ+ANGt3Isu/taF1h7voxYN
LPUrugb9+q2f8SiqNT/hrXRCAZBcdMBvaNVN4a09IVYU1tBVLkc6vSWJZHOH8Slhis/fjOWk9PEg
ra1gnBXvS9XoH9t4dI03X8Y2b2x46C5YDz7kbF02LrRHJR55EMDF7u9HCoJvHIfgktd5SXG48Jyf
w14RVMSJKaPSY7mJBb40AEh3jTtFLxYebScTJgPRDUL5VVDBnjdQOBFFqin0ahIn97/jOoTIJZ3k
p8vD0c6GYQPLl6FF2WDWFXAHodSQM9Bf3IzrcZtt2k8cJDgIrbEgXUkrh7V9fTnmyaaWIwN1Q1+N
B73myJ90sKlby+hp+ETUyrVolw97G1NmXCYXPtT5KBzEGhkMmcxsJcR8vapWefi01XMZ/Rj8R5OE
8PJIzk6erG+7EqF9ctOPgVJHaKtgtxhg3ILip4Lu7uUQJ2c7k0VBm7YCuTNN99m5MJS+YeRlkIGZ
aZ9q1lqO1svgT5vaLbD4nTaXw50bERgTF+Ubk4zdnB24Aup9o7hcYEnv30Ogw9goacTCmE6vZjmo
gyizQelFGYJfBiFhXvl7XG32mRHd9btp+wc54wfrdquuQYcv9J/OrQmpYEEiyFLnP8crz8LAsCfr
oN5dqE+Q5nZ2Hj9Phv9weRLPhjHZUlRqNdKBWRYAcRO5YWnXbFa4gLW/I+mf6IcLeea5T0VbGo09
3va0PGYLPO8bm4YutY8qSz6oJja0itMuLHA5IUepLB+KJxWwHGqXlPtmp0PphImS9KTNraehLuda
gwg3pdmgGpSU9fAyBC3G3L3jFZ97cuGlw/Z0Ig0N/25K3py2slx7/L10o8vrwuh5BEttpyDQ0WRV
P0T1z7d+L3ARpDKguwFWmfosTDmoNTfXaz0zqm7UQmBTZGUVEpa9lN9/ezDd5qEKooDMZl5dLKNJ
aSHDU6xyGxQCqwqlJqXDiiz6W+Xy/548sSbohpH6y/cwvdPj2bMrGtoaPLiVoqqv5AjLnFY41WOQ
6PA8Wao0nSZRtN1Mev6Aj1iWJ8/FMoTEIpyCYkmVCridJQ1GF8BxgyJsnUW7FNtorM7WGCAMO1Dl
4x7NQLG/PL2n5yVTSq/f4rfA5pojycASVb7p0OvPsfmGh3GVQzSzouIa1t6167/5QDmONls58Hvd
LtFAOTjjyxjsleR36i3kAadb8DjE/MyCAdKmso/ViIrGfIk/MamisjWc5FfiqN6Tn5cKQlfgKN80
k1yaNjc0uFeqGzy/5ssnRoYa7gXN+gZp8cwcKaYgbEEY5CWo5LgL4WZ7/TUcojzUwSUyBTb58Wo1
nLYXtgG83ASwWSI4i/4FLO1mYX3MTs0/YdCwos0E2pXm53GYBP5KXpqkhWic39Gbv0Yy6G07XIYA
bwIxSraI6UfPQtT6xEzBD1l1ooe9rxU4lSjmGnrux8tfaH6Pvkbiqsahih4uT6TZ817QXgdDQXIQ
tZNebvDpQogg6Nqx30SJNfFaQnem8VUYnj390M9DkUz3HbzhaRNnbvsEcXqIVhBwxpu2TdNHz6NW
tzAbJxPOJShLmKDPwF2C5DuecKUolKpz8WhOezxEusJ8Z2HAe3kiZpuebJ8KKdcEq0fnDTW/J3qn
EQ3cWbKWqps2jZE/ty5VaKvuPmhBghOyFS2sVnnxHVyMfyLKqedelGXa2TeGQEJ5FnvNVdE16C4G
YD5CNRb4qrJD3lXQwpFJEGKLLodxFabquBD/ZLfIER/En81qGyOZO2K0twJPdJ2Z2S5N+5+6RQ/k
8syefr3jOMbx1xv03DBjRDxXHUriK7Pzvvaq+bZ+28lcyt9w8B4wrTzsRpcYWA0+tPF0M8Ic0r3o
y+WhnFkkbEvK6TQsuaHmYO3OK5zEHFiI7RBdKYFzPwWq5OfsJk/fGHX5/nK4MzPHNU/VgpfiKwb9
eFRuhmxNh7MtmQTMeUe9C9JyYUTyAp8tQu5aVPEoWciG22wRIps6BOlEiD5yxHoy7b2WRde0gUcs
d7OlrP3cgA6jzZYcwlU2ODpq0FXYqs1DHmEXve4Q41Gv3j5zpHt0WUk7QevNhoVptakUNh9q6spd
OxkPepS+jR4glxxV7X9CzMaiNBA0Q4+Z0+CMrY1J+ShEu8AOOLPeuGU4/QxqS2RDs62jB0XQcNGA
2Ff1vdtpdCefFMd7N1IxHW1lYaOeORCOos03EZ6NQRWAMxgqyFs+OlZYjVfezzd/mqMo8lccbNUu
QvGgjoiC+VO9HWjIXtNyyRYWwNmx8KamqYJaxMlx7pR5YOidhPjitond8cbEB9WBe3B5MOfCaDyf
TMoRGt1x+QEPBuPkg5UkI1p0zTB8oxnwacSoY4Xj9EIRc94QkKuNB+c/gWYpnD8ZTWfZ6FEAk3WN
DRzOAXJl6jXm+7IJMWMgi5/yB1rShti7YeM3N5ai4mmIv4611NI8c2jwY0BRcA5ShpuLJXaqAGkM
N51Kf7rBezJp7ZXgfuqTeOHmPzu/1DLlGxXsxry0hEtzJqyCc92IemNTZHD7rDworjJ0GN9WUvoz
wxK3z3hM/jv7lFiz4fPkkzwaBgCiqt7Yg/PZrBd29JkTEMKDxIRAHwFANItiDHkQGjoIG7/svxgC
fz6LWvubFyUxWAiAtMGezCF5SdRjxqNSZq4nFUW5us0+10jK3QWu2S6syzPfRwKz5cqk5kwL+Hj9
d56RNGEil2VVOD+0Al6kMJv8U9GM0fbyqM4sOgupftl4AwkIluw4FKQNTFdKZo52k4QKxXdJ50lh
GnuPhEm/MIdnvtNhtNf9eLCxjUCnQyVoTjSIOnVN97GK8HS5PKKzMSi/kHAaNC7nYBd0DgLRYYK9
iqIisHZJ5UX+TjNgRC8EOvOVwADA5qFeQAll3kCvulhoESZ4q8zFMTGueozk3d57TNvUX7gVz34l
XvAc8bLSOO8WOnjKTUXLmKogrvDsQFGZl/OuUL0vY28vHUTy1JtlLwzsn2iza74rRO2FiK4j+OKN
AjnwRN1PIyLR4aBrV2qoIilMi3SjYPL19twMZRX6oaDXwOXZs6s5JEtM4pT3QuH4FjqYlX+d5rq1
sOjPLRENqhQkCHRxkcI5XvRQqjsnNkkylMn+piGhNfrqwkDkiTOfQ64uBHbhVXKkz04kz4nGoUlZ
HKZaal+aoLCfe6RAm20zVnaB4yio1HWVekDOLy//cx9PlxV87jZos/P+Xzz1TdWjsriyRzv7rTdm
gURUHDxHOZ7uKNXjEaip1d5CcHVzOfK5RXoYefbtqmGimYom2qoGdO3gSBn3t5o/bCpPXYgkv898
cnnh8XC1IY6c3l9dZ5NRcVNSsDC2aRTHuxhC2j4eYxi5ZZ9eKeizrTpDZFsVbciF2+bsFJMAU0im
Lgm283j5tBXuBANwc6QAPBuoUUT7bJ2ie/qieePwoiNv8jt0tPKx1BGIX/i+504duiakyWC6KKPp
x8GHNHTFpDDLLbppAXaiY1z91BGtv/wxz46RZywQSNBh5PvHYdB21UMstXj6OWbwjHfIsEewM9l3
SoOop9JHHwuB+VPaj/nT5cjndg4nN7k3pRr3ZOdYthK4ZQUsMcA0VbyMdoWIMkLHiHt23cID99wo
LWHqOlVJKCjO7CAAy4U+WUEVPfJwP+gwZ7nqOxsZ876Ob7PSt3alGlpPg9UVny6P8txmsSQgnd4y
1L9XQ5uDmxDMdlJXr9s0+iTCX0rwecL+Nl6q3Z0doA1CiIYr99S8qJYKI0btgzqUUVpiN9Hba1C1
w/M6xXg4WeeqH21pmae7Wi0/Xh7huUOW9I8UkwweGvbsFoHm5LmpwkFE9wAJHFfHTNvFFu9ylHOr
hbyPByNXBkFm6xQdzURDvoyMooiHOx0tme0A6uIxNvIRoxxXXWOioi5sjnN7kAollD1KW2Dj5T8/
+HiJXgS+gt0qD0f70+BhB2QlX1HbWLhDzoYBO4usraxWSsmowzCyT4v1BGGiNN9pui2dSLCgvXr7
DMpqGTJmdOghzR9HcdQoQ32RGRyMFr5ZkgRhvGr9YiylngigC03kKZY/9Vgs8f9OlwgoSo4YjnDH
hGY7O8tEgLoLmTp9CbsVt+Ch/KcCGN3+8gDPRgFEwjEG8As2zfEAKyfrRYR/pOy2oLkEJl5YWzty
k2BhLc5b9qx2xnMQabbk+zyKylDn6FKCnuaRgVEUqiTfHQuRefp0zlZLhhcUHdEV7a+K2gSVH0fV
PjEG7JYtZHsoXm4uD156jM3uSnknwyuVXWoQO7PR13z4vJgk9tJO7bWDctHORPS+2NZZb/asYFV5
UdzJQm+8MvnX2GcJ2l5kXXgUCrxEcCWpENFXUw2wXO174109KMpPgcoOQG4nxgKvLKxQ3YgmLn/0
MHcBdqVlMK2a1kdkLHOGVtwhhPR8eWSnJ6gcGEvWosAMK2u2O7oOmZ44Z7L10tu4SXsb9OnHJI43
+SB+/huhiMRxzWEN+fh4BU1JAoK0Y4sEQWAgtAUow+faXbd+fj1Ww0J68drVPE5vGNlBOHmoHxwv
GZI+ISLXjKwL95Mo6VB00V1s6B9x0UVjPsGfCo0fdYX9z77u8p+e037R0+I+yQTtX0f7XtTVjzzV
n6knZLQdIoUK7tis3RYag5F7NvbZ7gim2AEeNmkg/hShr8exe58GypuvWAZDnZVnrGwCzM/KjJ5L
1hoMJk5GHcsiy/Dfecj+fjCcadjSH8D9V1vlnj8unGtznuPrbiQg1EM6ulIM5HgaMYxp6rYAUY+U
q7pOdaO6t8ygfcA3FZBGqnwhM/C3LrrKiBurCja7tdiMTqSjYeT0Xy8voXPbECNZ+cLmNuRHHf+Y
zJhyxTE4y43CS78FEFzExkriqN5cjvNa6jhYPJw+cGNA7IKMB5vCqXocCIcYMXRjk6+CUQnR4XLH
L+i/f5F0jFWhR+7aF73yuU5xQFCK9GmIscEJk8GV6jblqhKRx+IIVBySnOEGrVVt17ZYw7aWMmxb
J3d2OT47a99KyjWWyM2uLLNxY5f2y4T83aou0OT0clhHbdR/0dB3XwGQujEHzVonnLyrzMjyXaIW
/tpKtGtTCkPj24zvZrv3a+NX4Xq3oe/ct5X7G3oPsvXW4N8WeurcJl7xpejir4mPzVYQxPbGV0dr
PQDnuM+axrqqzfgGP1u2jVr5a3WytHWJ3O1C/j37kI4uK4bQq9igZDYAPI7nV886i64dD7ukVaMP
wRQnWyXr+++XP+PscHuNolNmJxh4HKoMx1EmTwHQbrN2exE7+6YWFSJA+TB1a23IzZUR+ksM8Fmy
8SciAniyM49nyry2H/bK6PYoWK/aOCX39TEmGe2uuPaxVFtYo2cHR+cRBjId9JOse9IT18rQu8Vi
qxqvDIzZNhgQ+u8Vr23fW3a9xOOf4x/+Htv/BJyXT6ou74NEgkitMncQMmh+50YS3UeF8tvz7ORH
1TT5b08V4TrzUVOOatgxmE4tUbzlNXG4NeXSodwA0Za8kRNRzsvBuS5M5A6ydOQq1jzzRcV4Y1+h
Mrihmzx+1XlFPsZulBb/xoIl9+e1DGOAl8YsqhKDT4O0TDUnizdqmnxxp3BhtZ5dOwchZvdjAstc
KREHxnPRqq792GrueFSaV2EtxsfLG2Nesv/zLYXEX5K0nr5olJb8qpGx8B7VfpFtIE3k44mMsrrK
GYZVde0P8QY9/RJ565yCNh529vbyrzg7YBTB2ClSm2yemXdDoQ2tIrGZZV7s3BYzUDL4Z7NYaoed
X7oIS1GrZ2fyEDheM345mL4r8zK1xUVtSjeV0MHmqzcDp7hXYDsfovLDc3Jl1Sr+RcHC6pnntK/z
TYUMsTVqbzTm5FQcLNoeO0xdCwbUE9t0K/D2GELBLaZBGMKx6NYe6heFDCLFQmAlWneDI/G4wshA
uVYC/LSd+untU09fyDFoKVAgnD9XOkPzeizCMRhMBQqoXVTcupEtPqv83y+XQ53br5LVKllz4NDm
X9k0EsThOoVlze1nbsawBbqc1pO18pVCaufTkuh2nQrab3058tlVzgsTugInMefk7PyPqW6Ffg1s
rxum5iqpnOoRQx53i9hNvuuSml5KyEOpaGprh+Rkduuk0RJs7NwxTd0APTjgrbQ9ZjcdNBQroxMB
FlSpna9JPQjctsFcBGtlQPR84yiGu6Rwdm7K6eEY+uuD90S3LYgzUUS4TKzqSmt/RH2lfQRBYlx5
Pssf69mfbmuKz5cn+0xMekYmI+Wq5R06OyDLMky6MaNFVVb1u7oIrrIUbaRsKN9XObYjllcsnB7z
zFTuKQaILB1wB7Li+dMlFWqSK/Kd1OloYO7CSB++Dxwl+Igkqvaj8ts2WAddln1yuwHX+NZuflnN
gIIlZlKes8r9uOsWltzrap7dTuSnAL/JlZmP+SXp4I3mV5Itp4m+3lStouwKxQM9wwMOw/UeTTaE
0jKzjDe893Aiyywds0fXuE7MLt4FSG3ucGt314pvPuNfFD1MtocpaZ/Tx9Ks6AaR4o2f5fZ2RDZ0
04RDshEtPjiKbb9H2BfZofZT2ZgflAJ7S4x/B3yl8KXQoKlmUXwV2BB+s1jxN3bcbafceU5D8ZXE
HVHQONP2TWYmsFH87qYw0dRSM6td4U34PWqLD1HefwfS0G762rzWqzQHVpLeJ4PxqRuCdW+L+zRq
HkIj/VUn7i7O4nrVljqKtlO9CiP1sQ2qh7i2PjdFF20qY+lMO7fdSfKknhpQf2r3s62W6YkiRvmr
Iwffdtld7kc09gMokWOJu87Uqf1vFA2RNcEKPjLXcGKRAQ6ByC0he8/seoqv7HigvRQn54deUJpD
7wweu0F9xMZmN1jXiK9tkKdZWHBnrjYKMuAYpSAee2EO+wkwDzBeez39qBrrGNT3C5q4wVPUryLB
J669yPsM3wXl4hTD8lWBS+dGwyvh8vaflUjZjPwMUixQ7zRr7PkzUT5xsB+Wxbwp1++qPH7ALtt7
oGiMvn8ReS9uUljvnaLM31aXeg0sVT1pHwo4+XMYCobcvZXJm7XV0RlC7ZmUaaGRfPpYgV4HVkOn
WImg3fzyjozMpm/HcRqE8C36OvsaMaKFFOH0/CSIIYHaTCO4qlmGEGFd6/t9weItcVjHoSTp/G2t
DoTNcSpr4GCYpb4a0zqPFooLZ8bH6wjMBFgrrPXmB+mY4y/pDzpTOAnvrlD1YWNwfbz9QxGF5iuq
SVCk5pexiO02KQIu40RR035VWhquRbifNUscqf8m7cua47bVbX8Rq0hwAPnKoUe1RluS/YKyFQkc
QYAESJC//qzOuXVjy11SJSd5yd6pGA0Qwzes4cJKQpSSomaOwDb4g5IdqArdlrOIUe8Lclh9+wyG
6H0UQ000iU2BUIFtP978fwayZ/b3WTYSvdazGMHv0Z2joMHT0gQbBCKLeN2TTefqB5cMXz8e5+LM
fEDQsUUAW35/q8CnmEdOhcelh1EfSL7flKx/OPhnSfH1oOD47zf+WVcMcGXwB8/aK7/PC6qyC43Q
h4PfFi+UqR86H/26j+d0ce1+GYP8PoaA01EtEowRTAbXF7idsO6r5s8sdv+8kM90n3+m8u5tCAM7
yCqExx7xGgRjzRg1sFfDRtUbbwm8VwFF9s+i/otTC4Etx1YEJec9AAuaJDWtGMZEkSZAM6CuMjKu
NtU0+Zesi/MtCBbJObcBHQfCXe++1ILmGMyucDt5TIxxpmAljygohm/nuTT18B8+2S+DvftkRI1z
OUKfPJ0c72eJuCqthXbTxaWfXBmXFpCiPI0nHZvvD2xIzXQSoBmOisM4HHg8XYlePGBHfjKfS3vj
12HO9+MvyVmnrYSVHjIUyMtD2AXWHafBd+utaqk4rmE7fdLhuDwtoDNABwD76I+PBa2NsJkQHLje
IgoKa6QUOmULosX6M6jhpasd3f3/P9S7T2UR4YD9iKk1XbIF6fMutt2Xf78bKEIPgAzPutfvu7+x
NsECGXsMoaPTsNR9FpbJcV3bf9fH+3uL/zLO+8ha+gCbzDE2A5m03c6L1DmaL/auNLH/STBzcdWQ
sZ2jN6gAv7/3wF5yShfxLaQMYCyQN01iekTOvpryj9fu0oV+zl7wHJ69ot9HTT58mQZGsHYhh5te
kDJ4fVEB+wj/x6i9zceDXdzmKECgjoT4DJS637e5Tez/2wuivBas+h7Q/mZ1SHEuA3080sX1+2Wk
87R/OVDB1MMP08FtxHl3A8WkHIaAbx8P8V4a6e/tALlwpNYw/0bk9+7GEw3pPcfHW1hbo49l7frX
fhsMm7ZZLOzwGrsdSmuydV2eaam9LBkSGA6eyypuCHPaNRqC3Pqrj1ZwGx3mYHmrSh4fqwR2sR//
1EvHHcuNKgca7GfPqd9Xo1ce/IEWbNxhQHswJCkldl8N/44j8r/rAYQAEC3A+/4ZpCbLHITnu7IR
4R1tW5tps+xq6z+oEI+26JdPBrw4LcB2CMAtuMPel/AbyDvV8YK9G82qCJk6zCCeemF5+x9WD9Sf
CHxdYFLfYy+4TbwOeuZw1I4nsPueCbFp2PxLceL/Xb1fRnl3T5YjHFygewQZKQ1Ppjjk9+Ggh09O
+6UDCIF2pBKAOp8Fin/fCAkQr/BuxLUyRrAoHYALLJLVlMcRDZx8MkH5Cd7x0jFEIQKdCOiDQBTo
XVhqElbVEeDs6QJNxf7shYsqZ1D2vvlkYpcGQq0DpU1EwEAgvDuLjAFRjBQCZpgxWfZ6ZhWqeu1n
eLVLywe+MQB5mBMem3f3l+vizAK9iUraMj00Ut611IHtwdK3KY/1f4moUEk4CwP5GPB9MQGFATuF
54jKtNCB8eaMVbeQKC0+3t0XV+6XUc7//pebcp3dkcnwrOI5jNM+6DuzXceo/iTAuXRUQVI7W30A
kAq5kd9H4e0cuWsPrVrf0h8L/BxRY3b28Ef894ENPWs54BNBRhYF39/HIVJ3fjicv9CQbIF9O812
uA0rf/vxol2YDoYBngeNIBRU36dbglnbcoNFC90ZMsJr5z0Z2NukJY3sl4+HuvB9ENNAsxxMd0CU
3iNpfQX70YmAFISbHTW2lrwNrPoPq4aXDA9ZhGDDfx8O9hxV3HXB1xnjmG1WrfFImD3Enj+TV71Q
MUXb7O+yFApTAN+fF/aX3aZ5NHrBghpDT4fFyXmPb3mCzo/0stWoMUgHR8kpFxEdh20j1xYly8iO
U1ayqjKprBUkXwMRuT8/XuVLHzQBCBTYonND9v3JBqantJTioorrAJ7I7lMQq70R7svHw1y4QNC9
/GeYd/fvZDl1AaVDhk6n4RVOXfqmHKvyRkzA1i7wnv5k81yc1vk5Ds8CVX9QQ5OYecPoY/N4itTo
+LRfHAvA91zTcPMfZgY+Lkg+UBL4o9wYVMRvKdw/UguICEResxDZmS7FRrLXj0e6OKdfRnp3Cber
3/VixRbCO2BzaGDn0xhvtAuNwo8HuvixoCIA1VAsHZbv973aBaZnncGUYFYMN27I2Eq/hIg9mfIO
HpX/t8HeXcNIA/o6CiFpBg/A42DFyQbr4YxbxnMJ/8KPB7u8hP/M7PzvfzmFqIxVa5JgW/SV2cRV
eR3PdpuU5ScAqEtXF2S6zrhHYBxRuPx9GB/C5zUMy2G+US7P1u/qM9rqszf5wiDnpxjof6Bl0Ml9
F2KEYXWufAEnw+3op+EwHoeY3H+8Xucf+ntLBT0l/OGQ5AUNFEXS3ydSOriswB/rodNsdzx+5gDc
udVVyCxED4qPx7o0HxRSPFSw0TVE7f7dWIOJJ/73C0ainE5dgZ5I/n8b4vwTfvn8ianhk65xC+EK
Xsa8bGsPfvWLNuMnm/riuuHpwq2AlO+PdwWh/0jQ48Q+Q9eIBn9B6+Ne6WQzeURhLT/TU7i4dGdB
BTxXKCS/rwOMoXGHRZ1vO8iUSrbpfS/7eOUuHBzAPZBwUHJmTb4PLzyJEBeKlz2Eb7UFXgiCe0PJ
kmI06pOk4+Jcfhnp3TdqpjARgAyiANBPOoPX1rdwqP76L7NBGQ0qJigxvE9sqrEtJ6eb8XnG4Rn1
M5a1HXnTpiWfLNvlyfwzEPl9wzUcVLSuN1CuFcnaZgvm5mziFbaX+ccz+mygd4dnagmPwO5DMBt3
N6bv78Zwfft4iAuvArbAP3M5/4RfDo+gSTMkBHNRnbymq7iC5P4mhrMu7buHj4e6eHzw/JzJ54gz
31OAmInbpIX0KehNYe6iAFSvR+47JzewKVVfPx7s4tL9Mti7pYtqJQQLzpEz83o4aYzXIYgTn2yE
i+fnl0HeLV4iy8aGZ7XMwU/eKup8VfHwIvzkM9mwSx8JMqdI2EH0RBv83YZbE30OSPCR/DDZOngS
BpShKdkgTfwPMwL4DVXMCH+T94zVuXU4kl8s2wjLg7pzNmsCKBz9rL9zaSvApOKMawCZFF3A33cd
blE9rApHNa7FtIGll3ioQWPOVUeSGwrfvyxxXPJJfeVvmf73794vo75XnAa0XqEy7eKCgHBhk62O
rXjqMquLIBohveGT7trOPc1pWZe7xlh5i66G+rJOQm9lHzqQcqwAWmZrVN/V3G/vm6QzVwx/UXBz
rH/Lhdd+huy8tMkQ7Z4Z56g8oOz1+1p1IfOBycMmg+djm9HaPpSqKRTyuE/CqEu77Bx2EPTCAGR7
Hxacb8xEhdhlCfR7uI1vOOpdTcQeTe98tqPPYrL43e+/xt8UizNx/0+qkXWlRlNgCVOvXSP4rXKQ
SDNNatPfNJ1Co6B2dTPnkaSm2yyg2/ubch6Mn9vSp/oGBs8NXGIWvnjbAH+S3Y6r75UniCtx/7ob
UKQH4SHqZrHjvXDFg+r8cn0kLtPqQYNecF85YqoLUrGWP4zQseM/JrdvS/QrIA7TpH2PnPhMCR67
5ss6Q+PuKp6gRpsbv27pwRdJ9z1JyijYLd7I+4ewbCq6KVtLnKuq9ZwlZ3zwYGxcUoFJBqBVpaI6
q28seg1VIWzkj1OagHe8/ogrW1UFDK+W+ta0ydlCTlfqu1Cm7YtORJqkAs63MDXWMbZCj6nIvY7E
3GXwFJfNN1/UeoaD0FpyYKKcgH8HfCexJ78m5ka1jD9bbUpSdB2N2926yk5sJ8+RfdGjDjU+gFjR
ywSqw63fbgEwW7+FJrJzYaFYET62EPYDgsYqyCBXXeLWRY1YqMqjuZ7l9VLNSmWOaVcYWroUv9VM
aGelI6B27QGuNeJ69RgheYKb7IkMonlxVkWemrmiWAAUI3+OkdRXSJOjmz70oXVBl9DZ+3DZ3mGj
r9/EtGqRJUFg/Aw22ZPIbYf/D0xVuB6j9zgZmFeU2jFQP1eA0fSsBVamHCawQDj2DjobA2SVM171
aswZ+s4QLh4b/VItVXvntF7MM8i0j1A1gu5yBqU821yZOJSvjROANor+oHMiKFwUXcCWHzYc51dN
LKgxCgD0PgOnjN55nh4zdBnkkNpVnVGASjXftTNSwL5HPd7Adq73CrNE3is3c1IMcNOBDTYFdzJd
kJ03GQ1LAmN03i4iM3YZd5QYpEuIa5oOeE47Q4y5GuNmZ0ZvOnhIrP6qa4NJrkFP4tR4FdTZoUS7
xEVpguaKqCHczOsyBFmAllwJXbwSmn98dM1BKrk8m1qFbxUctHO1zNN9543rVzfmPMgwD7PzgrHe
SOkZxNOSvfXuWt8qNasEvJupLYwM25/zyudhEwWokrdiiF8aTH7XVQ09jqif3XIy8FezuPLWEQA2
0W6ZT0EogRLCvt3EbgfP6c4BAaRnRN3BjU7+VGWL3IdKqZ8xWwiKooSTbCo9TOg1uOVwrH0bXk2W
NW/E0OS2JiNs7gHeLk1uHALFQSNbem2qmLpZOdYhuw5hge7nsBJjb4ZOUVsgPLCbjmBLQ3V7CHDq
tCOA8SnFK7ijlc71FNQhaKb9Oubz4vmHzo4l3qZkuIkSPRQOY88BN998VT9KOqpsHP0GFnCSw+Jp
RdA+z1d8HbdeZB6hmgux3NA0GXovY9FpP86g1f/k2s7g4ouewBXEO+IF3YaTZsL7RG9bIHTQZLDi
wBreADcGDrFYKH8sA6Ze4OjNb+ETzYolkTsoc0RZSCY4co/OxkwCB4j2oC8s9brFhxLI7fzhOytB
qogTdWBt4GUjcOY5FoRldlJrutY9xDWZ5z0qPYy7Qc7Obc1LF0zFMjLttRI9Ocmo9zfw8YsybKQq
A/60Otlp2oOU0N7Bpp7+hPL7/KjU0ql7PFtBMYds8vaxXt0p863qTp3POp52LRvANLEquV8c4h80
auAm81gHJV5fQI8jWOX4VK6rTmWvXyvdR/k6yjhfptVs8fMBvpPOpk6SNY3ivs5gqyByAoTcRkhB
shHLu7fRGOQIya7KONxH3QCbPoXbzfHoli+mOeDZEBhuVD7aLMzJehl3mV6mpAAQ/ikchqGgwg9P
0BABUY6E4lZCMCebffVIlENSl/brcSCM32u1VntXQrZcEP+kW3J0kzaBNIxPoAftd5nFO5FKldyt
nrrySxGkDaP9dkns+mhMPOd9vYA+wrxNbwZACS2dsxnc+JQFONGehaegIeXtulZhimQqyJJuuAkG
aKz30Vk7cR1w6bQ+HMpbbIWGUgULuTjMpaHkOJnwFm7RPxw8aClPlrN5Sbdmi+Ewj27kkIGDNx0n
lO3TMFw15AJBrItq8Cr9OdrGso4hSi74QU3+AdyyOI3GRmSDm2RsartijcttDYBa6sVgvyTCBQq8
X6NNKAdIAk/GpspB41AlQuQDWkLZDIzlNapUdAe5+zLrKmxG372zSKawRnBYcRqGtQnXae/qqtlE
Fm4ZIEod+wooX4K3JHP8bgVIx01yaGo8J1p7qdJGF3GMvkxbgvDnyR8S1u1XThN8CUY65iA1PcI9
2s9GFxRukL5sgbJFs7e0VnnCXZ03XOpt1Szh0WHC2cbuNH+laPGmtaODwrX0KKcZhFRRt5C2n2/b
cpToOgmZSTUTPMpkD+OZfmuGcKfKIU9sHxZr3QG6V1YHXWmTV1yXqZ5qfGdn8os18r4PI2xiwbNV
aSmwwAj/16wJ2nZft2CgBX3TZR5Xcdo17XYJGp6yarpCl2pNR9MBdE+Gq4DhjSqb0N9jVzlIe0Eg
a8r6iUwuNNjOzVm+filtI/Og1ce+cx4oHu9F0ufa70im52gH+3CAJmh5K0P21QSrytZZ3rM+eC4D
XO9JB1QtD9R0B/VImWP5p9s6qedNa4ifu4OXM9vZbE7E09zMftFXM8urBhX3RNQSKbJwMpdrDt4O
EQVUxyRaj1xmVYUgrjPhkHYooaft0rwaiAPlDWTPM2gg+Xmp6QtDDONVyzeIQz9Lqb4NZrghQ3xd
leZGJnQjAPtPNSx4I+E4jxX3bjoKf7o5Fkvhj/HBuubRG9h9Obj+hq7ejTctJRx0RvvWz7D09MNK
QqKyc2v8MfEiq3RuWpj7TGO9DwZSbQyJ1syBY9DeQjcP8VdY8xMNGp3Fs4ttETtrYbQfIk6t3UJD
0H/b67G6FwBF5R3Q6seaw5yVtct078qePYoED+0QBNM9yMz+ZkomcZIwc9/Coaa+shMpaQE2wWKz
1unCuBBzrZY7V444lNCqqWyeRELtQkm/emEVaOiJwjc1dYZI9zlbheemjexwRSt3PI2hv+W+60If
rWEFFE70dWOV86jdaEG91B1zLOQLd8MxbekAIPS8lvvJTklqynnF3awWhB2UISSedNFLisAvNDDV
CrFpo6UqM/gJlJBliWW6wqJylyT8aFn/DI/LJqsSzz51Q2KKuV3UPjmTfI0bDcem6wigICU0QnuI
uJjuNvCH6ya0QR7qddhQ4y+30CoICuZ486aWesdXuWy4p/cV4zvQeBcgkwX6VLKqtougbir8Tu+c
GWSUMOl+eNG6XhvDca9JgNN68NTcNU72UFNLDm7X8NPYYFmwqt5+ZCXoObDI+wq4OaLtGoYIhJQ3
ZWOuhQzmHNKmOHfT4MMgsLwLViu2CQ/ajCmFPzC6mlwGHDpIExnCZD+bHAjF1dL6ucDnem3N2G1B
LX1YE99AppQOIFkHw95rUYOX2i3oYiJof1YsHXpZ451rrhG+bgI9g0QUJkvKZrkLLUxXmd437rSm
UHn6PurpRaLTng2QM9nWEHTO45K/6qo8Varey1buh3bY+I5orgJd36wImEE3awOEmrhB3D5OUppM
cYqGAy+giYnbc54QLiEBQvQGVnpzD7urA+7oHOnDSz3Kp3aac9aO661BbzmTyBgzdEq+0U4Gm6YP
Xz1bNcVCgxdRYguhD4YgzOKCDo3aA+C2cQx26kTUVc3mL5yVSUEsFFZR7PbmM5X5KdSEZZwAtplK
0T7K0Hvw4u4OPrvJjQvbuis6NUgexl1HkF8txn2Z3aaI+3baJJHijxHDBd05Xp2HPFGp1u1O2/YI
917n4E64GEqnt5BqboeruEaKCZXTOzyxR83nBVB+fQUVHJjqNksqFqgTJ0MLZvLIDm215lBV/I4d
nU20PZEFCvjIk92aPXrLjMTN7kiAeH0pvR9IXqBpMTcGNplltYE3bplTGY9ZXQNEGJQ1gJkz6jjo
/iQpjlOdtVOJnS+4k1feFGXV7NepG5UUFGVtspBq+tVS7qnURCw4NBUwv3DxgijCoE6qAWealn0F
ndYGbwGhVx31trD3q/JB+k46uPglTdM8jnM8QFduhBAAvFiQWsgkj0Dszla8217dPaKzfSThKNPF
W25sOb1VZMU73kde2tTtlEWzKa+YXG4YIteMzN7d2sZ+AUgmCBjg4gyB/THw1uQ1CL5Z5JlXlkh6
A69b6IGz6cci9PemIxw0ht7JuHZb0NXIXTv5d7wdtiUrgeObkwdIokNVO4xfIX1SZ+CatFmFdD4z
Zq7xTTXClmp8to76CfeJv6IS8T1MkMVeDcziaSRq4yStk5qRgCzSqmKiErlQ0h2ayOhD7FAJyqW3
Fi5R5qilh9p3G7xBb66EuR75KmG2jtkpsNjEmyD11qvDk2ziOUMCtiK3L3dmKQ+c9TfS8puRIxAa
/SGt6fw9Ltn9AAXeYlXVXwKxerpMYj+s0zeyQsVgVUmHKw5u5N7A7xzoAsB15nqc6BUwgW8WLthg
8To/ZhXvcQ8eqioMNpBWPtmySQobMpoZ+G8PUMbjavjJY3YvJolIcPWHe7oG2yVOXvyygnn7YCF5
1AdPSHxu/bY52WTiRzgIfqsqy2E97D1DsbnLxkr1WdSv33oHDBqfxTtWL90dpAzsxkA3LHNjyAJ3
1dWMXOKujgb/ZFkN9WoRZmE3H/0ltjn2cd5xc6wT3qboom1WW21Rr2nPSktYF+H/5ZK+gGyXsy05
2PlZBHLJsbXuXzUdv/FVOAXerC8rL297f3kGUyYzrjvkQelo5OjWzVxTbWvS7qmtj3oVR/BHx4w4
kXvLu2QvHFQeGlJVKeo6iMnmBKZJU4gS3zDXxaSYjzexPtSzBi7EI3nbQWpmpNF9yXq8/iR+Zc38
UPZ0i6vxhnmOzZ3AvkGWXKdAbfm7MdQ/BswnmjsLnudQ+M30imf4WuikKpIWseHMk2vfi/M2cO4j
7pm87cUdpEl11qpg44/w15nYd3p2/DHYkIgsYRgTzntvYm+Ro+od8PBQZi373cpBN0KfAdhjB3qz
3apfS1VxME0UagpzAf2Fx7Lq7quBnBnKj4hzTlRFP00tgwz3Tl8MTkRT4wrnSszQNw8gj61ZR7e1
hJ5QjHkwNZl0iktRVKDJnuZxTRBu1afG9Q8hR7mmmV8SHT9Dad7fsJGxY4TfkhKnBlsf7owGdPBs
ieNr1SHhRR9J55ROY8o7u6bNoiEcQpovdRncTcy7I0yOqQwYSVsP2xcVnmKAJiyqNOweIn9ZJ8Jq
X9ax3sYjbp+gQ9rHNdJdunOMRLOVt3v4r39NnP7oDMGOaueqGcg+ZCxvuhihbxluUWSDUVMX42no
cwKbsF28Rt+WiT8ny7iFsAGOZLlfIKWfQiV9QolqhaMIkstBJw9xVJe5FYznw4B4w513VU9IVifO
kSMUyHofBSZIiW31EF7ZKMzRm1lyt6xf+t6LwEes92LohhS9e3evpdg2Zp4zPDH1KW6d1yAyZeqY
8QsnVKUWVpPMiY6oMKeT8lEK71HxGv2ina9wBAooQxVD9JOV8o5omSfavrS+OjqxzlDAvR5Jdz+B
HJjoaSvJ+lwlvJh9WlixrkB3Lw/COLnf4lZDAfB7SFiZ0bkCLNPkSRe4WyTUdzCW2nJLt6qviyFh
mSS8cBoChZi1mNEsqWBYqCIK8X9crX51aJfX5FxXQ3aE2MizX/rYPp95r/CWCx90aLajG2dtBQ3F
9cmMywkg7GtQ08AMTLDtVFcQat9AZjkX/SB5w+v1q6iXpyUmD6EEWiUcwyOUDZ3t3Iv7BbsoM5Wz
61210QHn2RSFN1FF75yyO43w44VsTLnrdfA9FvRnqMNn6ECjDhJgs6hQF0kQ7VCWRh1uVKpYtNvt
dNXth45DdXsYNkRGb4vX4UiPh27GDRW4O7FS8C2nr3ErdvUcHNGjOFUo6ZRDd10lAkiJaDvC4xGK
M9FBlYqlnufsSgYHZ3gv3nomEAVIoTMAs/NNsrCj9sS+ZuGVr3qgLdmypFU0fA/ZnHXJdBA8hl+K
BdCWjekq1UYIZ+do46ei7O+FGB6lP92egxpsD3WAn4IskCbDPqDrtlKvKEgolNnCr6HmhSTXxJl3
HQJm27cFHmueVo7aRz56+3bZw8rqiE9+Kgd65+s6rxKnsCu7kQZPQFzGd6U0W4fIjMcc5bQkaVMk
AWjXifDRAUAsAzYB3wgx3zRM10A/b6C2uK2R9ePCbXjWkjrIcfHfNNzZd8LrsnruXyiYLri8U0Lq
LBntFv7nKW2Q7azo/jXTX7Jxv0cLv/KD7tFxp/twtXAVsgv+K1nt62V88EOzGc9SKUH37DQq54tT
LL5FjA6D7tT3kFGDB7br9JQNkhdTNBVLFOQMRRw0TtmtrzSCHVntmi66ntj8Y03mL3GyICPujtDw
OITWPQwabqdL/OYii0shDhOk48BSs0zXOqI0Ex2FoZdbQPML1yb/7pDgzU76YTLAuKg6eIqnJszW
KnlljnLSGWSEQ0WWNu9LRDEzyCPL2lzJ1m1SMiQHH0KjRecHe2XJRtJms6zh0yKbrGf4/tK77iL1
jYdsX+nqUOKS6RTKhiG9BjS1iMXflmP2hyv9A7EsY+DcVM765nVjjkz/ykNEMTQknyv/hhPkDzP4
4ME6H7QWb0uPelHXVqcEJYvKBxOW/+wRMmq3HDc+G/asm+8X8gCjwyf0bRBWx3lU6h2ej3SSy+3o
mTBzyvKHVG7q9/ORw0k1HAOYJPrmC2wh7iKnBcWVDwfliaJpIM80n+uTjMs4mwdJswG15kyyCb2R
2Yw5lOL3KH/9rFlTDAPsUbskvrcRz6QzzhvK1luIYT9CKgO6Tqvccev85dXCIg0T94nLrmK3JblW
/GvYIAPslnYDXcs8WlGBD6boFC/rjyUKb5MGRRIUKDYd9kAmF2QXdkZ9ETIBKEaI4EC9ad8gcQ6N
2BKhge1kSFOgkO9SlCbAAL8+syL7WeUIDe/XpQbUZEknND/gbnEqV/JDcu8n76HbmegNtzr3eL+t
ohb2lANwAsYNtg3zD2PsFbFN0GUZN5BQu2mjaEBRh15RNDOKlo+5rqeXEio4vQ6va4n41cxqbwnL
azQnRzs+9qTbr6UZcEChSR8ZqMtobXfWqJ9DH6CkrfzdYCB3U7u8sGS8dg26V6q68vX9NGpUAVey
By8MGgXhndNV3+clKlQyboBAvwnRK+qGXDN57HRc+OeJRsEGXMrj2AW7XsW5R50HCPMcHGl33sRP
1s4lXJwHyF0E94S6eRlAGWaJnT3CYViKz4nOgrHDQe3cZjP69Uavj9qf8L/ZMebSL+aufaua+EsE
6HUugu4MFqqXDYlZnyEtEBnacfsaDRkowGKzSlLmSiB+i1b4Zngh1GdrVA8JW6BWiBylrZuiEnC+
goK/nyrWvMYyvl4T+xKs9C7QuGPaxrubWQIDO/lqaI0OWnNA6xtnEMfLj7Hb1ZOLduOipltlThPO
8SL517ki32ozmg2CzDJtgWgCYx4aE/O4ZZIUJXLFBOnAgrV31gfHG3Fi+txxCEDVhr25c4lyvYJp
kIJMJso4cfgVB7/oyifJ3W1L4l0VYDfFyKaqeYuKZKZoUrRr66UMZOeqQiLb1T/hVLMzkuSjH+fc
iWa0J6CP3GpX5HxGv8sXc3k9rgBGKov6rBFetAsbJGxegC7K5DF7M5VkRBlJIw4TtD8pXukNwDLL
US2QNoijcdyoXtR3QDzx1Cunl4lHMofANM88hQJh67riB5pXJaTJtZe3A6lzN6zNySUD1IdcVJ9Y
7z8PJReZ1/HCDbq31ukPCPR2uJwLOv+0cobwXLSdxPo61F5GUc3g3VZTvh+SHMBYgMUZKq/gRGjc
3x6VCDXAf67JYenhx6mSg4dKHmrmp1JDnrfnJhst2U2S7iX8mZoGAZBoR0TSw7gNW4iieBr9yim1
E7Jkr9+GU1+EdMGGdW8FulAM55118mR6ZOU+RT9phnOOuXX/Tj+nk4aA3BhAvawReePIowBWgXrz
CCZ6u0dfMK0hKM6N+jEzZzudmftwNVpBTesIjM3b6osLOdoU7rJXnTXPfr2e6LnljNyEmWdCgckb
VApW6EFGHL0FlcVIuJyXaYb1xBxAxMA7YbGuqo7sZBBnSKRwO7c7p6YHOnlPJYleoqQ/iVoVqH1s
HUFRI4aoN7tGKad5qXqqsyiBicVgx6IhyaaeyA5cTnw0L0f/dYPsFpJY3UGR6sqiEUOC5q7lqG0M
G+BT0Ldo2Ruka/a0Q49Qm1Pg4vbk+HUOe1ScZBVqPnQEKBd0gtD+D2PnsRw5kq3pV7lW60EPtBi7
3YsAEDrIoE5y40YymQAc2qHx9PNFW4/oa7OY2lRlMakiAPg5v9zlBSASCFCAjkBq7rUqXurpuWax
kJUMPcDCrrjmoENwQxSezr9ydwyH6qfLvOekdfdD7d0bc/9iCLXtu/Un6cetNSK3GLN4Fam9kU35
MYvsSYwjyNKPGHnIldmjN9W7uS32Vk9ABxCDrIycyY4ruUveg+ZS6dlu4Hjp5uHbrfsL6VkRWm4G
U68MK0X9TuWaO2/SLwQyblafrSLwjpAlhyEfdqP/wu8d1fnyOFrQSimYz/A5eEvc365mMzgqb7hD
QnWqE/tVM9snAxP/CovYT9ZJOsY5Z0+ZxnbnEA5mpcyMYN7AmX2+nAhFP5dJHUlrso5Gn9zrSRbP
vh/pDShzmTzbSkf4II9NwMGpjfepvZxy0Imhpz63UB5iWzBvbT2J1f8qEndzU48EWrbXAprWZ/25
S42TMP7oa3EwV/c0MGA3oIH5gh6h9Wbgk4ZnoTd+cDf8BOheqhQa2Czvi+UwuFeozaeUeDPRdhdJ
cnNTLdfFUqdVHgMQFH9NN8uNaRTmLoMsWALguKmxDnWi7ZTXXS1lvZCySwY1iKk/eV9Vn303hXBA
/N0KWKA6lLeXaCi/Cr955gkVzcWwrdFVLZyZhIaGBZh4l+mfgTecB1GcDJk+0VuPLArOxJ2KX25d
vJl0OoaDzC6FyHg+aE9B5nDvTcca7rcZOMqQ4G5vBEvqzN0GOwyNmckpm9fIWd27zK1ZQuqdAWeS
5/WpFuLgNHnkdwOoHYRSyqtZZWfeniuX0LmYlz+FWzA5Um7ctfprRWqEZ6g/s6nAoRYVT279EZgN
OOD0NPLK5LS19klLl4K3PguHAyw1m2Xjirf2hus53bORCPi+Ic7bbp+ZQoX2YO4mxuNNA9jBp4YT
buSh0x6sdr7CA8fSNh684IM289iCOi+G5dWYsfWMXhpXwGCrD/YL4JtSbqnzygas/+ME390YWHO6
9LVZ64NhjtvUehRD/kkwQ+g1D5NuRcQ9HvOZgupccPKvkSZU3CyELC01bfBV5Ipp6zbpybLQx/rH
QRrsMa244z48waXsPat6yaV1XDwKyDNOl2DYokAJxdrca+66sSCGlfPSiuleeVoTAiD69AjptC7u
WkP7XfFoAB+h2SP7mW37OsvprLdv48jRyv5RD9lV7wpscxAFcr3T9HW/juXduDTvwWIdoAo2LbIU
0RUh5W7I+QEkCyI+EqZgCSI8duDPefE9Ek0KPo5jAjJhsLpv5r0jF1dDomh+8jL7zTLGnTL7Y660
B91cD/Rtvrr9vLHylY353taqeFaAo6334Kl5n1bTpsgOg7g6PC0TnikoSdT6Zy3KcFzXrUJ921Tu
LsXLrhenen7lxDhyWvwRUxKbjbbx9ZfMD/bZWJ7VMsa16rYgwy/r0O3KYmbST/tYOeur5ky7lNQZ
afUHd8i3ZBkQzcdxAbHtM4YY4/OkOReMG1E++g82OAhJXptSfbrtEoEthgQSXZbaOTid2CRijGc7
/yxgUOyOABiCoO0+2BSrHZm9SSKNRiBRHjuNsU2JONMLGRn/3NxmWvv04KXX9J9U03ZFyaTsNtyb
WHZPBO1t0wQMvZ2uY5ede9q26OJgqdbYwC075sEXqQzn7jwqYE3tXNvBW18HlyGtfwG1/J7r5GzT
ZQpOfZDaTa4ouQAg5ePVOeY5hKPS4zS4apP9y8rkqSim3W3J0Zts55kqXEoVYhPaQnpEtaEBF/8g
Gg79gLu9s/6MgzgpsE9NeyFOCF1BM13tcjna6CQINnusTCfbGFLeTd547t3mQUk7Tvv8LGsk1LX1
+8aJ0EpwnWzjbTaqPVUmO7O2sKINsPbEpOZtjA/oUKACyssqlp4ZrU5yNLLy2IlPMed3HHLwfRm6
nYrp0XnATrW9Bcfza79ZdvYIevlO3rlCPwSiNgueR5UdF+AA7VxuvaQLxfSylBxOjjXyPEOKMcmv
GSK7XpqTSYVux2TQiRGTNJKDmI7AkGItxFSkyPL+Ls1AqtKHDyVawstk0nq185GSdp1NAgK9GO4d
nS7RtKd+i3vXfTZTiqhhjBEuOHEAVKDToN6i1mhUZKYuuGl9ScEIHXXniXOZfrVdgtALByX/tjxU
mDySLFF/mtQQxBON76shj9Y68TALABQsODA53Zed9avWiOwsUDVQqUyP2nKupR967qnUTHbR62Cy
bui/i8W76wo7JnTjD9G/dySmbDMKkpt85Yjvz5P9ZUuU+/kcyzXfLEJsrPTP0CyxZvTwoX/Y4zZ+
q74zmW4X4Z3dOQ+1ro/KrgUESy8FA7kfXCjLDFMaaSO9cDbUD50HJtwKCePG5GnX591RsGL5HhYw
eRB6SshUvsla7inHPC3dr14RZKSKbFOYwzPUns3BMN+NhfXlKk7kdajvGIXfq7yMx4QDwWcQ2Pg2
U6zbDp+Fo662Rv5Lg0vJ5742xJdboWJz0papyK3DgSCQwCk2gFqhpaclCakynozhYe7zl5LChUHd
EOt8a2tIXowsOS5d+tbyrfEp3y9lc054QScEfPogb6KWgozTZqM8P1LdYyK+muy9cfTQvpF4jg/v
b6N24rEyUOLNj7/snDK9vajL25wZHyno+4bMjR+n1QO+ygg/45r7NGGY6pvPSl/efNO8tk77nhn+
hzO8gj3osbmInZD6tnTSN4C3j9S/n6v8T78sL1W565Z1m6vnwMre7WTemixDTfZENN67PlXnwED1
VxuffRb8xh+6aYwT+SShKsQPvUn7ys2+HE+ZO71PeE4liFKCJAC8GXMOtfJH1Pk5EQxilbbciS7N
Hv15ER/qdknmZf+SZZa/N5JbkymxE0DEZhb71HA/9I1WRhk0flRVzIhqNfW4kZ1/chqfxK+mzyNb
Itboc6ZCPUutsJ0DFQqiwffVnLID2n3DDs1+v+hmEelW3m5yr19ZJdrktOhOuwmqvg1nw2rRTFO6
maT+5zS7n+tCQivM24dn8uaVxg3VNuvHsq3zrfCWz8kxJGIwyEBtxolZzZ69yZbkZWjJPqu0gYnB
bC/r7A671gYF7WRfIn2aT+mgDQcH218IylBvNY+TG+XwrZ9WXicD6ptcIqSWFRwF7gWuBKLkPMGX
KSGzvNm5Hxf/0R8zDyS1tBjC2hhxqIFVzMgQKFbmzk/Xs9tgsDIkCRFDPe7Gzv3MOe2YNWmS8xJa
ztEWw94kwIPVF5rmaMgZ3zObDoGm2ZdwTrSaGVczDx5GB/zacfc5YVkheaYp1agw6/7w5FfDvtH5
FoTpNZm5dX0V0fh3mNzk0wcr8YBEZCeumgZ7uqj20R2sc6CGG3elPRdZdlpbL4ICZ3r0+i/JDTCb
uDsLE2Rn2nh2dceXJjKN1zQRVrZBMakO6H+/MA7ooVrTOV5L1tvJGO0w9UsIv1mFjtAJ+vIPvD2/
LbN2d6jOD5VbPEyy2Y3e8gBUVsUKmXpkObi1EXoAsObN1jGLs8d0e2M2n6cF00M+v2Wky+wlGkQa
egqUcv5wKDHMQcY2TkiYxhcdmO61LGugL6HIcRwRrPYyj1YeR5mfH2iUPfk6wpIu7X5TW4SrjzWa
/sDi2ejzn2ydL7LotonTPw6m/qT79W97XW4HENAYfZgDCSPNt2tpM+l86aHS66hR9ofwXcYNRzva
JGVuhqzFLjuWP0bmGkgFJ2/T1cwEdQWxW+VcucL/FHYpWV/Xg5kuaAiKfj4QzHPfuOlF1s3vFdc+
IOfwxev6Ta2NHq6Ft+N/XpHKfdzwrfo2kFAtDASlwrTtMvAQ8nUXjzyLAbpjUr7YYBQYwymdCDuU
04fRr+RSo3Nc18/cXk3QpGHb4nmLAiHu6jq/mBmPOfaXbDOWWbEdhjVHWJlsO9H26BACtiuDjduU
3RKR59CGNrfWRvb1Zy/Mp5Wbu+LG5l1cMwTw3IwpGbKHwQIPnlSSQQeif6tsMWxmV/8BO5jjpavQ
U4r6NWi6W4s8/JGQNWmvfRH35DZtclpFjSWgBiYYf7IKpU07eYi0++ze8NoiGks0FnS+7rty/mH/
n/aqMzWa18aH3Hf3kN0sRvlBQ6AYps0UdTeY0y408HmkIWWrHeG+Pgvbjxv+YyMn1CvTzOBp4xVA
6HMhF1HfUHKIVmTUGbpvtP5kGmenSa1orcaJh4KJwpi92ZM8cK1c20LwbNNR53QuHLbkpN+JpXmu
5+KTyQxYpDF2Bf0gJJQwWo7JndWyu1EhsplQSYcNfG9DpMzWFeJlXdz7vnK/K7JfVVdHRVFdR9V8
tD3yx1qDiaQFKcok241pPjWoyqKASy2aOoeCjlRoG3uuT20p7uxgOKvZPEll7C178ECX32mU1rfF
4j7RSv0y+re8eoqVq2X4zof0fhn6QyW9i5Ty7JQtvI+c9nZqXFUGEmKaxY7s4/vesD+6Mnlbp/EV
P/Nbqs9d6OnWCbJ0q/caMHPw21xG65BO3RwtJkhvJo1hv/ojoNG6s1L9B1ZrI511F1TOQbkFtwzN
TUudtBFx0kgVu+TqVUTr4S4KhT0cumZB6W6qd/YvK9IcrwPlaj+bHP5JlzwnIcbwwJSPUt4Gw5tJ
FP83unHFxSEddV/lPkp0SEjSXfUo9zhxiF2FZ5F3yJSZ5zAYhGafdazqNqnu1fQrRUm9sRb1biZ+
GlHd9ZjMYHOe1yc8wEdvm6i2DJfaamNFnifXqQ1z1D+1pn/sZ+rib20ucT5yAdZigaVcUZ311Xuy
JNepGI6iVt8jHNecZ3bUIeQFoyIaXrSV2KYN2medjhJSTk54qO4Nv/mz6uDzi4cZedQYogwzTw9N
PV06Pj52UB+ddRCNu+zdjnuzFYh2MlxDvagSZNISHEkCrWtVf1qKoIkyp7uf3P5oJfNh5Y5Hj7Oj
ce3mDRhPpeWW8WzUbYRGjp5fmHFH8x9lbf42rC6NyCbm9JYaY6iAhgMMRazkckbXI8/ZJe95OFVO
HoK9ZqTde48p0QGbdk32MuCa7GB9BKIfZFPxks1jnHbBe6c5b55RwCmIi8cJ62X6Q1BmR8oHWae0
Aka3RpUL1P5Io9pp6hAiEDXLM4whvejrBzBDwJwWHGiGiZ/s7KNFgrGya2tJ8oUJKgtnkycWCDda
TPPAFA4ZOw/ZU+8TjUPK1y+jMmf0Om488KuXN53uMpC7LGnzuy2G0l00qgBGucWBagFjdv2+C1LM
lGatzok+snw3iHNGz5VYq4R3HazB2yvR3CK8H0zTNrZG5b4E0tcPWImWaO1d0lHNmoUuM7gfq1aP
+tKWCMBZ6xWKiKuO9iJEaZtvpQH8W6yI7ep2weSPGqSd6RmYlLafOjfh8SleTCjPRrofzQzQ71vp
KxYHul8Lcv2L/BXx1KOuikOKVmwwWIYsdAHpgvzOf+g97Xn1zevo2a8BAkMHjr+bJLT0ZDJomN6l
X9fnsfdOS0ndpStv+vRbZbuVy8jUeHw3yoBvTfWPvpkOA5JFq/V+tdPy7gWmDt7YLdsyz9ggSMHe
ZxQ2ITRJmM/KBbbDsMbYn8wpVEFzHi3z2U08OhRU/Q6NcDeC+OIAmUQ8jvpTnjL3Na7zstbdE86S
g111B82DHuzW/W2blHX2rKXa3VglL2nqXkSgsbD3J/xYZ1PdByjMQlOh3W/qE/lRKNsKjcdwmYWd
nW31DthYzRe3quizLedPjFKBVC+0TezhZo94hh6rmvsraE6jq52lqV50j2lpAN3Qc4ZW060FYJW4
rs7yq0efFCq7gkBT3gyr0Ee8Q+zldshVmZyQKLYR7v+XvmBaz8UpheXrnPrso6xkpU0Y/a30waF/
Sbectyo1vtFg7HsrPY11ewcBDORZj+Ho91810Gqkmdr9HBQoWeUbioywqGj+yuMinV9SQ/6q2x6k
19zPJPkDLsgjaaDnutO/HNm5W6Enz0PtnlEHxLzZEDPMhhKNiRrBV8BqReBsTa+L6hUt2Fx4J617
70e0f8lYnCiqSqlSsUI9m9xNb+oGU135Srj6m6W5xwKRC76gN3sxI3po7idGBrBUn7sFQr4sB59H
aiaBFWyIs85yd2XPMoaTMbUqNj75Jm4yA7s+jnnwTKLyTgVp3BnOY6UXKHidD7miu0OcfpBs3Z7m
7ANtfrbR1U1OGRkNul00MZ2xrjF9XvgKPHS69mlakj12lnttTUAdql+idPa27TDufNctJBa51YjF
1+xt7O1PsA9vU879F6fyU6nz+A5QsbrOY+f5ce15VxIDf3cosCEWtR9mwnggu7k0/EdlAg2VKZRi
B0Mc9z25zNOMbCjBFJTXcrNkH3pRFM/sUi8tawhHIRy4LcPU065F4d/JfETrqD9h6XsEQI3am4PK
oF9uK9nhNy1utF895DeZnTALhkC2wJMQfpmgacllFWjmbixaJlSLEPCVQWXtpo++dXe2tjJJaesv
z+DkaYL04RZDm8yMMIazpPgC2AQWiJhFqrdkRlall4zk4x+LUzJ0Z4j1ti33aSMuc1c81UF9UoG+
wkv1bKeUDwHiDzLq8wG4piQA1jO9vUPfl2/RjhUEOqS2Xh612R43cALHKc8g0hpTi5OxOs2eBquz
9L+SWr15yrJ2VA3vtIKzwcXNigHt0DKeNvUQta4VZnQobFAfphjshjwe7fV1EroHkz6n+zJfTG4G
0zyxsj07eg2xi5cTw1AWBiuq8Xr8wIR9ncgI10Y+vcqsYS9xRO5GKZ4z1zuKhnk3SC/NQI6XPYx7
HmYvXQGk7y3HDjq5tcz4BqCbaQLYhaZw0qaTjRSK9TOqGxtqgV8sSCM/WyBkA9Amp4XGr6vlTko/
1hx1qhQrq5NvbKXFeEhMoJDsoBFpi0gI800e+ONOswhC0xd1XZoFPpdhMpiXPYrqnRtwUARl/Tho
s4a4V56qdEE6yOvYpHrAZT8VG6OdBoSs6QtDVWj0Vjway7vBTIZKkNveCnCZjK22HJDJ4X2DK6co
AFeHM6HUK2FiG1k+Gos1cduaD5Rh7rXU/V6M7DAquCAyy0PY2IlZgd8tndxi5/sKB97A7c/K3MzG
jlpHxADQrdHATUmVeNTk+bGZvTtYsxiPXIQflsx649fcVjEBBnlsS44/vWGwXtul2wQIJiKRzjUM
/9SEaS6KOGgC1kFXY0aQ4uhAdQ4IR6Pe8LeZgNCzXYJ506eS1iKOrY5Z0fKBjc3Z/nJnDhC7B9s0
Rq6olcvGtBU+16x+JNgYTTCp8sDDlj/FvcWtMmCcmfuNq1o3XHL7rqHobacJ/xFDJEdRgeJBH1D+
yGb9nbS4nzKhnpWW+yGiVLC5JGULGbMH4Th36L93Ms043ZAgAep0OzvnsB161oWMgKaqH9nHy+Wl
NoOfBllMOJTGpU7LvZU4/Dh1TLLzJnV4bHiKFjjnwQUpDOucdd2zB9j+9Bl70rc9ek99Yz+ZpfcS
MNNuTEYFy1Z7d7TvvRs9yEbzOMniPdCM58WzvoLcWfDaiNOKi4kNvH0fJkwBbjNfvZkKNmm2wG3j
dO0wB4NNpwv+sblk3OLJTveyjBovBcYU8pc782PdVEVY+6K5rr/NgO+lG2+WU/5KeiDyVdRpnAjU
67691Sd32Nim+GIuXzemJ7pdTXn6hio0Pqbe0Q+QQZS+G7YI/c7fQ5LZu0C4YBOrMUUga0yi7fSW
adbL1C7HQpQgveajZ9e82TrjsWLdWToeQ7Pr3nc2WGiLKCcQK/g7UPAw/yiUv9UqkeAYOoeA/kai
U4vbkwPT7DXa7o1kKwqAVbN5ZPFlCA6804RLQqIfFel48TPrbE/B3phZFkzvKmwN8N3la+RpzBh0
ksjN8H5GGTsiQ6ax16rkEEztfUL2CHCYwEi5Dt/gJPKMpag+BV3wO9PzBlNnjl5+vkN6taPKycCI
pRFUl6f4gFEBlpr4NdqI43AhrGGfqbdm6D7abLmQs0wHkpLV1jMbQDE9+20mdbfNLaYoWM5J108U
gfex7tZ+aJOcbZbIkRGMsxBVKydKy5zby0dKlHmdpywuyeQjASuLmkpBEtjpuMlGpYVdQtp2K+bt
ipgZMwgcs4bcnuc7ZhyhwWH2AxvW0n7rmdXf4BeWL2zq1N+CD1nVOfG7r8RELBT4NV/No508Szk2
RlThraufWcT2uoFIQWvHuCnLj2RweyZmhoFczpBvmr6zhZsRGpnT0bVk3A4tS5dmVMklLYNniyRZ
+DSHLRZXJuY/Td+CMmQhTWOIeXKvCzUF5aa3KTRbgtwKUmXx8NboS+g46A+6zOZ+ypX3PS1FHgHb
8dT3QFYXc8aK6UwO6iy/9LdVXcrYyLMvi2yeUBPkvLu1bHdVTRvVvMxfLXvfFgDx2dfts+varPMi
t8iD4/1oCfb8NHzS2GZ9RaxrW3+AzGwYIAx5lTadSzefowz5PQ/+bAr7wm/R1yLpAu/ZNxoHZCZE
8G3K1Icq7JIXri0EHIG2hINXxavFGaK1SFI8RbFYkcPxyhHiTtPuaYX/sRfXOuUDy53TzhxfLbI5
286GfV1myA8UOAgMZ7OlByAPOeDKB46yKTLy5qGVxhJK5VCXKDMyDMApX7vcfnTwYN15pl39oqHH
D7WAAVqfmuSuKhaKsxpj2HotDfFcmgpfiv0MlQwKMnOuTIWjRb2tHlDaNFth1XOku2PJD8gM1HRc
IXMiJx5HTiKPqPNQbhO/OW7o6EEAUtB/0K3ZhdxK79kVTvJjwNc9ktTKdT13c7BVq2XuRTWkkTUp
sNkKJ0Jb46tyMnOgnkd3tlWPeGqoyUnw06HZN4U1PtANy+rCdRSDev9w3Hax46+YU7r0i0tlOtSg
8Nekd5atEH29F0uNktYore2q7E+7RzupUhA+3Djf9LstaMtQCQwTVLrpllwzLrquZkj7h3LNlxD1
A7pqymeoiZyn5E/hFdrvoRtnNPW28k+uI1XEqKvea4C8fVnbY+Qn1EpCUw7WK8Bvz5SRIToxetGe
cIMb13Qourvey/1Pe7E8Xum1RSuhafKZsJDybU7t8pzhm2bOKDU0N1rSxWmJWnvTWentqcPpvSNQ
bd7XXP8XLgl2Kx41DD0eZZgWzEdZ86YsnaFRgqk8OKpmuaypzY2AuJHZTKHnWtz06FSmuAwr0vLC
uqlO2uSm7O7zvUFrVFw4+bRDmIG8Jh19M7Ys1/mpZwQFWY0GeNSdiTTFsaEuZciiKlHuyevAAtY8
X94nQ8Fwu4wpdoB7f5kX4iSUnJCXVwmrQWsY7wrVJVBUgJ/U0rtDqRR6hczFG+szceq66V87CRQv
Ut/cWwUSg7kybq9dujzyJ+2kd2uDmJNCnBLZHmnSCMBsi7t6YvvfT2Xj7nLFy1kUbvU9GL3z5Y/l
tM0pqNz1azI+V2A4967P6cxLJp44v6sL/AcPcKUwuHYdKxAsSDwQ633X3rhsOdPY25razSIXpGe/
0oNTmybEcXZdRkpAUmzHLPAPSRboMamT7FkID6OgHftzLgc8/OvYH8VU5pe+bec/ogfSKTVc7Khe
inuvxwchuqo7uSVlTo2b+bTFGPM9b5p2tDRbQ+XReHdWgnYnwJwQW1luMLeUOJ5Be0/LInusfavx
RH6Cc5Rttr700mDEBR+J0lau90iT4dMZYA9mrVNfM/o8BiprOhH8DdQ+8ngRq27sjMSs0d2x0w6W
eENoh3SS4JbmVMtJ2+oVERyqhvp1RlsPc4XBXS8anfPS8V8t3qmnYU4duG+DV80W0GcY3UMM5sOF
0nmxy3FTbXE4pXSDN+Jo8ATHeCq7rS4WI5amYEnBB35JmmC42viw486bjL1hFRSAZm12IKuqwDU2
Z1vm+2U35En1WgkfNgBR6LZSqXWw207eT1Jwbd+knAVGEUJ7LO54S7AtdHMdD6vp7Uh/EBSAwNN1
0/y7vfF6U9435y5JvA0+RDeiKT04BQX3aylIEzY6EGv6ROVlgt4kO3GWLKNWb59V69g75MftXnMA
Eot+GaJ8chEnZI5+xz6yohN26H+VXomPoci2NkoV7PCyvkda/uBntnoaDDkf4MNhH1Dai4jcL2Sz
GIwjpiRVhKPRouYv4G9iHHMcbgN66GE7rx7+QC8vofunIUAboxeY4mO42vbqlEmF+3GQxaXyEWNy
lRaRkQr52YqqfZQUWu7wY066jCATp5JwBR41zXcB1rCZxKIOdWMFh8VunZi0o3HJAbjqEjOUKAtA
7UwXV6VlzSUbZ2vgOhrL3Uj8uggHoVGq1OM9FlC76fI6u4XzqHGIyFiblDPwY+rs7wMABQ59fTRB
+uhcx2Jlu+pX54s8iCrhYTSWyajTepV35l1SCRz0LVMdkL7hjbHRDf4CPjsy0vt0wLmsWnnWI3FS
DAgJz93HtQ4qf+/VUgs2fjO0T2S65O84i43pIKyqTLdcpAHSUtMrvDMihFx7HVGF2XeWRgLGAx2F
JUbClcL7+8wprLJAIsD7dCRVRjF+2qsckJSpyVGoNJho4qqBjfoeaCVLELkEihMtlfNI8sHkzDdL
0uS91M5QOnG6lDI5ZlYBBuL5tzzJrrEmd5vgJeBpg/PqJTfS5FM0pRpiZ8qDR5KxEJ0tjYNKrO9v
ZkRksGsQlhY1kuxN7JHuRnKFtxtLNU+ksjJNlpW/yDAbcvR5rDUzJny9XZeN6pNKwfUu/aT9jGUy
uYgCOju984YcKDqn0al+StZb2xUJyrl/8RMjB15NfPMdt3QV1X3lx6ue89rqCA6aeCxV2wAJjdlw
SOwuW0PcIYRJTSZ2whj1NfEc/lzzhjLOFNZWyYzPJT1yME88WJomXEWT/E5Kj/+0fI6GyB94pu7y
tr19EmWZYKTmXKkzNVpDHU3FbTbSZNf6T6R3TM8W2+rzPFdczNLtqdCtm2W1NmNqN7D7ZQp9LvkX
jwJnRjLVJYQfbSfEKXRXlZ1BKBhKQBnbhC2xyM7DTZCV2MBJmo9r7VCXk54cNBHUxdFjXkBNNLuY
GUYfA+59ylVySwWx7GKX9JNDspllTt+6N69Z/N9I/OUR1+h4tlwR+QVmhPyr9Z5sRrEUZ3pHN3fS
+5GNf08jNkCo20LurOUmLYhJIuJCgi94yNKBnDA/BlV5GNcc0a0TZnBgDpWTpYCtwyP7zyy9//49
/4/kp77WhGTVVfeP/+TP37weKkvS/r/88R+X7FvVXf2n/8/bp/3vv/bvn/SP++aneurVz09/+Wz+
69/8t0/k6//r+0ef/ee//SHm4OuXh+FHLY8/3VD0//wm/KS3v/n/+8H/+PnnV3lemp+///X5mzM3
yrpeZd/9X//60OH33/+yLKqz/69gwdt3+NeH7z5LPvO5/v7kC1Xd/+Ozfj67/u9/abbzN5ecVoT6
AaIVWrvIVZt+/vkhR/+bB7tMAK1DexJsPRloFdVSKZ/m/M1wA/owCOI3sSd5t3jPrqYLhY8Z1t9s
JuXbP4TkUXLp/PW/XoN/e7f+z7v3HxXxCHVW9d3f/yLA4b9Eu/EzEfEJPk3SO8cWP9C/Z8gls4Xv
v0nwNjhLdaxxN3BsL53noP5bTaCo0c8ZNGYteXHp2rw3h8648sOTluFo7Q4yAtB6qv1dFWTtiz0N
CwNYjx4Xz6p70hunbzfo17rQCNZ8L7WpfGvEbL0iLvVe3XTFaDfa7rPhM6v7rg2xmhjBi4mEaesF
YmIza4iVsW2sW41wrFc7MYf3dhDVE6+r/eY5BI/0rFlboebkXUDblZsuWMdd1yT2XTos7VfucHb+
T/bOZEtSJEvTr1IP0EQzCCBsTWe1eXJz8w3HzN2CGQEEEODp60Mjszsyqk7kqX3twsNdJxBE7v2n
63sBbXIJytuFyboHQip7eUUTVHX05+RB4eHx05PmnhBuIrEPh3Xo7FvhZpuuWFBXtsyOR4la4S5Q
dDZ4+OR+MEnySGh5iCQCYrw0VXygs+g3zM3r9stAXZNCLuLoGafrsJ29H4i4nKe8a3B56XE+kK+O
GSKO8/dqnOP5ZELwO1VwXtMfRtiwsm6Tx4PalaQpbfKxMxIlrXZxmfTcBsI8WkKOUI7W9tGvvS46
oSyLr/0y+bkMFrtEuPGsNUhr1M0bOc84ddKiuh9xjBCJUUTHxMmsbRU4VDJWzvYku6o5+FYaYtgr
mvAA7EXLZIRI31ij5ZM1qBwhM5X8QzJOzl3pLBCxcdh2b+wgVko2JJPPCEuZmi+L0dsHEoWIEBqT
dtcvBCUpP5sLWKYWN/q88LhIE90kRYeuj5zWJ6HRh1yN3QB9jP9XHCe/H14cUw/7qAFGKHq7eGBo
I9VvWcf5mXKmPIqgmL9hUFmiXdU6mnOQivTadpr+5A2+ZByDwUFMsLU7HRbh1ocsHpxbOmJ9Kzpk
RVfGw+KFqNSYXTNkDSgzh5jOp/QxWbz0jQXFVk44UPtsJ654vVxt5XjWdSFxytoIRHYyV+mjDZ95
Y0xfn9HDRXcyjjgm5tajcbFUdq0Gz9sSW0bfQZt8bfoWnCQJGZIrWfuvhYmbjWrsSe2BItx5l0Wi
aTDZdjlu7NLryS3I9ZE4GeTQabPEt43jFawPJFPMtTELVD0HqtxJd4xu8FqK17zu1E3QOd2BSdn1
cS0YiBiZ0KTpcbnPxwA2tZhrrH1ivpezGXYCJz+K6UVwxIKKTQTwTRRHdku2SNRy+ge94wxkIyQ0
DINIxmQ/5ao41HMSnaRWyN9Jhu+v0GyhiAbnXUFTuyZeRdPIMhCMiA89hdl1YWbx6tjG4sb4SCt6
nGHvPeIazB+6WL55FuUCheBUvRGRlz4WlzPXmDl9E33HgWz49SghIs7jxBT2UZDdeCzmLprvmO6w
VAhi2zHaoH9bnCMDOatXs0y+/154E8d/NbZAlnKY9Ntou/F7NwXuj6AQ7YeOwe8OzAeqvivIxC8v
DMG8FoQSYhfGY/JCe2e/rWVNCxMVTOTN5C6C89QD3aAXnKMY3kU0b36QmxNzBanoJHI9rB/EkLcA
0tBotobFvtJLkT7WiZ08jA1dg9A6vk8nucg9SKls9m29FF9zjWB4E1q5jSU4WYy48l3jZfDxjGBM
FGRTa+XpraK/Pa8W6tdSEMZY+CmAGGIRQOmBRK4XlrO9sz2yZTYirMIfdl5S8wjLMy+ofYJwJxlc
0dGgrCUyxH90I3k0qJ8vdYzvIqe6CqMue4TdYHUNiY3ZWM3po8ojbpSG8TxJz5J3RcjSL3Qs78ir
mBcahkneIhyWt46wnPu0GYKjylftCNOefhV1zf6lstF8mcDC3EAYlNmLxDIv2q7zD7NQSopLBWYW
G2tRQooT3B6F54fpWvuoQJd6wiPW2q3AS9tSLPNQmpHYA2xJ5cEGk3WuLk+lqSIKMFVNL3Kphnse
Cf2jCLP0Ubb1usKIvUdEaYtXU3jxvXJtilMeyhhxRMPbGWnie74Fi0+Hbfoo4tB8SVeilCj5jZpA
oV+44/i0JKvso0kHXjNlrErLE6+qXTc5yUpFHF6fRTbF90XbSJKdNJUod13eyabm1vUd8J0mfipJ
Ch5GO7N+2YmHcRks/Eq60a/LjpOosDyIWfG8d0F2LctqDa3FJX9DahI1eE54JI7F8mAQy94SH4gt
3+JfF5VudiqwvI1IeQdwwrXUFk58jwK4xjqHoUPN7PeUp9ENTwNfJuMNTU/kYGIYAabhkA9qGKbP
wlJcdjHyJBYhC8BevHX12F73XXA+XqHNQdqHw5Krzt53ebUJAKawyvUQ4k6OJ2z96yIy6WM3Y+OT
rSFigQWIarixjyEZHXvD1d9hmOJy/tFI2HzRpCsAmHUk70TPj+EZiEAuQXmvSKlCaxLBbY5we3e2
KJFdrS0JT5086KBlu+6L6G49n58TolvPf/zoYL40KZJmZAyydRusG5IyZNEFvMIX3XdbpYA09shO
gp4B00PiowbbK6fk4l4qqGq2OGI1tyIhq404QcApk8MK4GGIWF6Ju658IxpycLAVoqadfZMcCxjy
Q9DL/qmWxN/1kaWfJzNYz7MfDufQhP2qnXPuisbNX5I+CjDntt699qR9V8VJfCzLRDjr3JDkOhAS
iZhCixqZ2kf6UGNWKYw69UXeHgMHEXZhmu6txh/4GAtsDMLH48D8ZvJomoBkJTRi40eXF98St6HP
p6u5XejFjguZCgceZecYxsbFh2+jRWnq6cab6C1SPNcnMniC60540aNehNnHTZ39jiZYbKvOht4Z
8DTI2WfZIfLYMVRM3bpQzp8W+ohNb80Z1kOVEg6EC3Z2FkSEc4V3nRRkNPMaV5JQfYctBh9h6Hvy
ZrBku2+RaOzNkLi/3ImxKdRxERbMgRa6gi/x+cEExJTmW8mhh8PGRE/WpXOuwiS9bhle9tVEGQIE
K5GvfrtU99pum0+5dMt3SU7CDfGbGUMXK1tfQzR2R2J1JYru1AkfFdhkc1XXtf3IkNUVdbWj8GWw
ut696tgufkl7luxsuvjd4f2dnd9xDDoMIrqLiIW3aEBXDMCpavCAdiYcFpVK6K9bROLthN9RACQo
I39Vc+/eS2J9PxEyCFx7OsRwyhVvn0qdEghVckD8WOJsGE/+nIQfKvYRRNatqF6j2knQjoPAfAtI
usblMqBHRRVhCKZv2mxo9j2D6ZNNtbT1a5LZYJqDA4ijVdkRo+ICk3O0+2rrk8HG6h1C2m2J0+rV
7iN6XcEUuAF4F8fTLllwntPGC3bJftTVlwW4c8c+ttCtN76XoBKpHevusnkbI9jS6yaiRM0rB7Hx
suh3KtoVObggNAnTzqGE10PJlJmEgbJrBhE0dT7U29FxsDxNs7zNB3olchJXIEitmBBZ/AAD6gIV
ydrKI1QAfffdXMCkxFmBJSbn0dHjL+IDBMk6KMVmASdjJU2+w9VBoEnNYZFuXbIKEir8kSiUDtzn
kF9wLb1CXIOv4gc1LcV4VXhhcl/ooXgYAOCfXEsvt84QktOcBl5NAt5cRbcYhCD3ncC3KZKrtoQy
Yf8/pk617GFQ5q21LET/kOcKmillC5siA0jgDcnDdGUGNI7o0srnjoPPWncuwSTtmchiQdBxY9BL
krml38mZrr4GUCgiWOLFVIdOriqfOPCLQ0bJ/ubOrhNtwQQRg46hdO6FIqqwToLiC1V8/0sHCvke
IXPBtvLcxBwG0xTkMHboDjB1i/7oOyY+NW2Tmo3X2Pnt7Kj6u6cTSgY3czvM0yPJgFXimn1XhMj7
AsZxiNvG1G23a+k0M1q6kuFIbAcD5zoJrGIj7Q4kiWHsndmFiWt9Oq2E1g+aaEESzuw/knTtVWXS
9DpezlUyRYhNTG2SDYU00n5l57j4yiBwk082Uc57QwzETM60EOpd5itcFDBkVz8SoElwhIjHarhV
nDrWDnVScS19LyRY2ZIi2IlmUj8jZZx3I8L5ttKBT2OM8J6eMHe69CB7szzT0Opxl4UDc0Vyq+NH
d3PpBJsJ7Na9skyIhRdOxEqOXlUgcWcJIA9kfsdoHjPyD+FrcEhlRxtxujoKXyGPmyBSp01uUwpv
8kRnZCRmUE4bol1iMq6jCaNRmHRwpwDM9k1aufD+lWwIFvHyAdlmm6fdKXCIdlhTeQjW0t2yBpmq
tr6bp4UwpsXIGedJmYrrsQ2DH5lWwadUfblcVdFUflVhmn1DwOn9WALPoRedVtWqGcTPMYrIp0Nz
upCA2iwkn/fQy+oYoOObTrJEuJGmdtZuksr0X5Wlh/5omrK+btj3QLjGooZEQG0aMECNTGbTjLg6
NBruWnQw91UpTqYfcMSMsfpKpqVBe9IlSbBHClO+JVUugS0rm1J4ponLCQIb1mgG0/eHiS71PRiW
8Q7wF229rcMBD382f8uZwvYtWDS5fugWwMxoWcgaiksbVYDCO08ss2x9qlSeHRJbaMoPVVPDrsQN
eqwrEjHCexemDfoN3dgDeZzWk/Ay6zNq3eYVyxAulTF3kseuW5JHq7DNk0H6+sUTEHzmDXmkG50y
LTLsZGE2tXSL1xkm9buZ2uFrMZRYnoxclF3MLyYVgGLkKlPuMhCIOob3NK5RuG3dcSZCVrbXmeMm
d5ETpG8yWjkfJ3SCGflSEfwAVTTPnuXbT+Gs5bteRu+YhP54jm03eizYTjZLDfMzJ50kzKgNXjvS
DpDSQZafeqeL7qcCamRTAM3cd9oy39tGuDsTWgIVoaPyH2HblgdU1fNzmFnZe5dPAuA0I/yKYubW
tcmaTS232tcGigt7hb2NnNWOksfsOXlpCK5NNFwJYMVmiJZ3t0Ej1cAXEQSSdenZzrhOsYM+k+C3
YhfISWI76qBxQ1eO16mr8CYosTzGA1NJXO4EeT9Y4vaB3UgEEApxaexNxy6J+6egYYBtOfsdSicV
PZaQye8TWU9vZIw0Z1n5xEHGZryXDXw3+i5J8ejAf4Ljw08t+aMbTriBJl2jX5ut+3ByqmuH4Nut
P/j5obR7/eFbA+nZxCcQ9GULuq8Fb0papDd16aQbg7vi4Lp9RClYO2eqcH0zRV7HaMpm8W84QoJz
Nsv82U2Bxsepy4691Qw7piCiLwut8MkOSuvZJGp5VrIJyKzmkdKOR0PtbNyY4JG+7W9UR69hAM/u
moV4VvAzNPCuG+5j0ca3Nm3vPWdW8JCyy38b1/aZU2MttqmP7SpoNrZ0QJULG4RC1GX51IwLNtlw
7vdtqoOt1Xsk4tRJ1DzyOEYIyVgVlhWS7RCMztadRly+SZ5vnKrqTyZtxC73o+XBmRHAauUUt2L2
411OrNg54uljxFSmyNPzcA5rP0Vv53hp/iIVYHWQzFjYtD2QSlGRrIM/qNyrNCmP00rpEpaUeZ+o
uapTOdJ8jyZeri0y+a+9rHZvZ2ProytVdaSwcnEwZFn9zGRObFglwzpRGU7GNWV+tQwFMkNOnRaV
wCQ/6yKrd/gpi5uAbOUXr1tlCh7WlhdHt5SzC+FP99IKku+iSVAXTV50W9R6HK6WEvs0wxbKY42b
b0Ms2XyrGhO/sOfWW+kregjb0OXY/RLdhH4FlhK7QpHVKR1ZbuAm/BuRTtlPGWbRXT2tK6gNIEOq
oitQz3UzFvWkFME2aLLwKUzpNgX71jmI3exWal9a1wBBa8My187bIHs016gBqAHpjGRgZddeQ/d2
6ZZynOVXIVkRHzXD0w854XB4wzoD2OWB5grX+rakHfiXLGi/GRBF2B2gEk1Qdn0BBzjEp0/JAedf
2dYgXnGwpI9aNbxNl2u+2TLSNgtlA9dYle0hrQPeswuaO5WuQE2yOhguMFk9TTSbnDynwS/jJ4m/
58mnV7kpsiH44as6e3GBX37IGbl0a2BALC2sF+15gMTd6kcavPyAxnG4KgsY0LCZakx5pk056WrG
mduhuUUYF+09y9IbFnp7Q1+oX9ASH/pkKGHJjLohxgiDO1kNn52AUhVIWX7Uw+ht/ahhT1WFdShq
udxNk8tGi0mQeFRQhZeEhIyfgYlY4k2V0rDJ6WcR+s5ZFDSozPxhcdsu9evau30oCOaXgkIbgT3r
gEIH0BPc8Eg3259GN+eqEdGF/0zmpINoH0RxnGaAEUtyG+2AzrdrgRyQp1I6Z4MKjzgCO1JV0YvE
7/9L8DCycCV4QkiWvyN4nlT3kVUf/0Lv/PGaf9A7vvxNQu3QMISYUIMwYpbRP+idQPwmHTrWlVoR
Dk5JKJx/0Dv+b24A6h6RUewhIfQCXvX/2J3fGOS6viWjjwIRBb78n7E7/joN+A/Sbv2JpBDxNjYD
e6TjhUKG4i/joZIJZWRQdWojSmigzdClAshiyqrnlnBbcG07/8hDHf6uyeE6D+kYHCaCS9tpjxgR
JS8C9qtuSGJMRvgvNmM01KcasnIGDCfcQJYkBlwpUkxu3d4hMGPyrPGnpnZ9nAYxEk6xpFih/KR9
1PVQ3tQwxqTVz+LLceL+DbVW/OXUQ3inss66MSgN4DwrBxGL1opsiRRjzAD2chsDXLyTB13cZb5f
PzMlrq03LXNerrFzEyA/OkAynD9h9N1qwvHs2el8nqqpffeIFbt16Y9XrUv/QhD5RYY1ef2ua0ui
TUOV7LFQ1Q9V7BYk7FTjU6pa6ygzE10jHUhvo25MnrM+D27k5CWPGur3Z5qY+GdiPPVSAdbhy5XB
8H3KR6K3nExdzx1DEmgt4vGs5nG4hU/R2KpKNTwyWmo8eNZMb+4xJBJ1ZCiRQEvdZvsy6m0s+Gm5
y3xZHd26xuNUchI/5SQIXyk5qj2B0B6OsaE81FZT/IiqhYHWC0JXT3T9s1SdvQ+qrNtVXuPehEnY
vyxpWuzDuViODRnU+wxFw1MRI88flR0dIoyEmzLnbCN5WX6OtqOf+3TsPzSDM7fJEnYv9PNASwGn
63OOGq8h+aAtn2elOKBzFWFXUYOfXDd1YZ4WxhLtbTuzXzvGW5xNljUIAVB8ZnhfEbLasdiOXS3f
aNiHbaV80qmSPCXgqQ8IvdSErlYFMDqp1QEJNL58X0JExiD09k0r5XBk4nV2TniySKgc0D2AX+96
x15e4QjJ8GmDrEnRk7pE0MVRcKoaBE+cLeOD7oPoIMo5I/vCsk7LEDgPxp000XVxfyytFMkiki4G
aXn+tCvzIAEAtuwbZsIg0aThIfNMJjdzsMZf5DThddPbxyhAgeEMkaS3npPsWAvDiCbki5uJFL+t
jnHb+YtredsxGKhGoplMXc3AkYRyD+/LxAvrbgQy8Ink6YLgjjECyTuWgeCGLPJuGwASHVrS5F6R
/OmnXsAF2SU57cgQKXew51szAb0p0BvsaqPcpyXQnvtIqk+MTppBtuODsVA1Xslqbp/RVdIw1DBZ
YsDBe1UMHryUNZsvIpGya7um9LP7XryW3ZzcL4w1Oej1ZAdEB+yhM4bTTagWLWDXRPvIimoF5J5g
DTrYRCxP5ARzEo4jAIDdAR3LwQU2LWDIBL6QN81ZRTgK1FnS2eZraqz6sR7D5mA0HBYl6XSNeNM+
hE05/iIzSe161Y1H18ntFxI10zt0EwQ+WTNbilNKRJ5W/kCeGaUFJo9HW7n8HB7BZAcIu+r7fCi1
FkJOF2qVqKy/VCF8fxPjUJ87CK47EKcEg+Ck8S90xv5mJEUSM4fi+6VeZgKAdB09iajjps0KVOsq
XxRamrab74hV0PdoddQuG3WabMIMyxRevcHe5j2FtqVI22gBqsMr0SfgddNUFc91g6ueKL2UEGyL
vsYfi/HF9gax91PTvJtq0scEMvMZFRlAlOdWDzGDA+5mS+KfkMhLr1Xp4sBxG666JLfwpsG43CLb
Z9OJ6ud5WOzbWONaKXWrTh7AfUscJfUSGhdGbTCYgWScBAjtDu96Xm4royUEt6tpI/ElPPZA9J/I
quvs5Ovc3vrk7TyLjsCfONaAVU2OESvzrd0grPnazxZGgsOatTsiThWimnxmoopvdR+LhCDA4WV5
twyVweMbdySrisVB7t4RPZoWbGt17m84ReGas264LqyuoUTskic4D6TwqdM6p84aEYxL2synphhL
FB0Vbqy5aZ/8ceD7A7/dO0Kh6aNprB6QWhEBg7eIt3Tw/lB9yxNVujkHJtUvZB2TJZ3EBWERWbG2
hYO8V1Ph4kkjcTFLKW2ZGEuwbNUmP2c/DxNMSix7iUZtN7tdA1JaTPekErM+Wkk0WZmTf12jDH5W
c2y/DStvgPYSGTEI202jLSK8DCH6XwQPMhpBkIqQhatPwmB1j0YVHfOeqJ9SifnTQXd59KI+PJJN
mz8gwWtunR6/kCJi4cUsyPk7gNndsOqAXI29lNPWPi1VikC+Bk7KQuK3E5sskw6bI2Z+kr5jK8tP
Bqpz67kxhkDS+54DUYRnbF1y7w2mPGFn63Zel7dYb2fxfa5m8okMYS8N4M2WwyM8d52ezlFJJFw8
p96taFfueDbvBEFD+TaEPcppdA626tQZtXgAAFBiaysDdzsPc3Tn98FA3AuD0UYipO6TVqPzrZwF
OQn2lV9+hZSO2VYBrYsLNHjtVdI6NH0rrquliQ5xjKBuM8ec3nABwX6K2/qAL1O8LJGfsFMJdxM1
/RhfBaHHXsF4vG2jFnNvoYzZUXkbVGJNa0EyRcO9VGF+MIjyP7IsgH2wOfBotjXy1K48uAMjheY0
zO7c2RTYfELaC1kv2PE7B6yuzg+dG1l30kGr7NLSkiiieiYV8BhAdWCtCUg9yPDtbLK6nM5mqnRF
klgQPOscVJ6E0GE5Jd0yRlcw6PptUem46xsG0wN8kqo3gTyluUvKCyDPAYyRqR116+6VJBoWGcZw
CtigSCENHX5v4jgPRL8wmckfkoMF5niXeiZ+zEC5j8QysTDjAMhlaRgTeMD3Mb4sTua9DF07YVtJ
M8S86MIJv4rdm1oEMyEd3bQfSVuCbDDtFB8MnKdBK5HWZ1JuIK5wUZ9YYfFtNvQW8EnSPI8zsfZG
scsyDi9nrh+CgKua3v+WVAVDvEe50Ndapi9LPPtM4KoZoHcaNRu21SfRz4nhGyDFkwbpyR0adOQy
7snLGR13NfVRpaGu+uDe5gv9YKtyrybmI25LtAH7Gt/7I/15uvF1hFkjlT9g0c1x6dXyyIAbRBjU
DrRvoXfnRQOZMAtHxNnu3IlwZyv6PbXr5aBLqzlGKrOuiTcMD8EyE9Ixaee58vEURz2DgyIkptTF
OcIVuKP2eeyjlb8Vg9l77tpqO0HMiK8ox6mHyb3ZXP5zyT2aOjZr990wH/YNaRh0oAfk9qCqJj4a
wWkqqTEO2mMnI28C/lTmefILKBoUu4SUUb0Bs+kRDZjWQQlpI9NgagNnHr0lyI0oS1gXSfrpDbAW
/wPyms6RdwFbzBz+s3B9eXfpH4mOQIxCF34qrIkjej30JWnn30WvmuHgYPeGTp7iNfdoCKZTbVgd
0lmZT7tV5GNmHOxQ0MQtGpvXU9QdYH2gPEmh3smJP17UMRdymqYdWrTvVm66kyS+84pugeauC67S
BWuSM7ICBGPYVAb+CY0uTK42qGpgWLlcF6KXeKd7/OVchHzl+Fexix4VBLUa+DILWgamo5uvzga6
kAIGfaWJzuHKISeu5vcbEnewDIPwbgXWORAMB1lxQEwR+QeQ45qe6QORK/x2OMLczsK8qAsjvsp9
bAKgHjHWcuMozlAIZL1kdAYph8hjGZ0gqmYzNUBvQvLNllXJgLLBYjwZ/046DS/GK3SQhSJ20gk8
bAZmfKihlPCluaA22yLuY7jbVT3Qhom9tQVEeOFwhxMqPUj+rn3OnbUgA6hCvEYZpp2Ukwmr5q4r
BeIkWdXnxcfT56cNsqg0iD9UDuMqhpoyiHlRHxdCHIUheoNogIW3FFdGg5Z/6IWvrBnbciDQKX3D
XLby7E35hMKwPpuIu2iCCiJdNmZvtbo+XxZU4XI4JjijXgwK5V29Sg+0QkfRdQhCElCtzy5bb6pY
v3678v0TC91zF4QJl79dH6YCvoYN0QECvaxpBrKyIlIWczEjcNBJS9UaT3xXWyFPCSvWD9FPqJxo
bB89otXvC3b76apgZsCH4IJ9Mv19lfQ2XfoGJ00BaEC/X6xEmB0pptCGaQnTqJoGPrNoAxTJNlTw
9aW8ZQFQK7Lu8O30Pk8bcFT3XTKYGOc3aRxXjKRIaa0ZWPDGKYeol7qbAliLgdtjHMriEOCm3kfQ
NPcCa9+yU61ZmdNsQSNC/R+j6a41CSJJERFK4Y7Boz/2LaoBqvTEb1GJ5NCfhcn5FRoLwi/trgjt
ZUMZHVC5MTXckpI5DHBO/Ulry/GvwpHfcHnkVNeiPBjLpjpmvdO8GL2u8UEgs8DJVF2pmU3nAtIZ
v0GXcMHnLo/tRTnyh7qkrFaKt1tlMEXHerks7otWQ8sQnDxcH00vK+0jIkjCj9dbcpHDGcXukMwN
OpGLnmN9cBUzlZ5sLwUPS5Kei4FjnSVoBzB7Gq6UZ75f05fo/9b9jR1D65ZLedkejceUxouYJtGR
+16MVTPTOSi+2aX8Fypcd+LOhT3UdoVoT3QDn2H7rOjEp6BQNqu3sPP0kVye8dVnm4GWZiJ4gSYP
AY4da7px1bewFcJ0XLy0H6ppN8nWecHBTjhJ2eeyu0Y33ZGrFkFFhmTMfjkIR3c9V4UjluckhQmR
zFXx3EAf0iAI7+EByBEj6VabQ7am2+xs5dnfwgwX5XaO2/Ab227FeLIptouPtlm6kTQlnrtbrb01
wUPwSsaVgU/CTCMha/ykvu6sdjlDbaKUbeKFbHa3HanfUJFyWrgpWgODafF1iSq8I/SdmJmNSrLt
ZGbr06ZdPBWSehXSdCA5FvKUdrhovxFfOnwztqluBmJoziIR1X3OKIK9l3QZ2Q+pl/y+FMu4FV1p
30l/YnDcYKnvkYrcz86pp2+xdOxT6+XhPk/kdE7EoolSdhj9skxO/TBzGt1Lm4hQ2g7Y6TQXmAUt
xiSMBJTfwycODrk6pXkKOLrXIQR+x2wpzz5L1Aknp0B7YRxHvhNukk/b1g7afUSTdETxBS07ESbf
FW15Rp3NFJphZhSgb5W3yODV2RKpOZdjYr7R24jnvq3AhDBysDuUY0+qUGbM7+RfknJTe/U3wFWe
ESQ4L6yuhsjngQl3gYyiLSsjZuROj1Z0KhaJb6IjbsXX1rHNm/5XIRqE/lahDnaDGEfWIyGQScKo
MKsnuIHI6G25IC5CA4JXrBPLRALXQk5LlfYWeg2pi68yxF14E9uP9kJvdXRMy8SjPkazZ8hUwBCm
AeBzJ2b95p21nkvRihWbyln3GbdEpAclbRH+Rjn2UZOgNO7zPGSjq9l3XxIGsYFFhDMm+trtkVck
AQRH0dNGXSkWd7aVrs4/xoZj1GoHGZ6sIPPeL5QR2tNVLV6vboq2HlzIdNUdzThY12Tc8YBLSN35
bnZ8M7xZSU5pUuiMZ5nQaO/dkjXAyuVboLZmay7UwAN7ObrD9aisg5HHr6jZG/kSuGQ2shfsWVYy
qvGoFxIjdp3B27Xt1pgbshTX/d6AU4brsKVR87gLQgUYBr2eQvxLtolaTlyYetWu1bniC1gMSX6T
SHGfse/w535KF3l0PSdjPdKo4LxtalL9MpxZDlNz0VqXsGwdfMly7NYzzibgAT+H4irkEcB84oNk
JJIj5/I7axfRoBpMfR7jAKFkQTVPFKzpYWsc9swLnjKuKco6qrrggJNE3l7+5x8yvr6pz701Tbuk
G0bcbzFjMkZik+SEKxhxNDrsNIzPLGUClqSifmqZz/dqAtj6GmLkNo/p2TS+mp+CYdGbvLftQ+PX
4lpAUN7kvQeoxVU5S90Eu8II9/ewmAkZirWdfHYkUhOCKINv9kBTMpo5fk56ETAOJh92Sw8vvpKq
uzlnfHHIoBd4MzNstUwm+v4YYxsaFzoatNur4Y9lFzrk3Xgts/Zi7d2QS2SRslS29/XIEFxGxC5k
ejBDIDIMS7CtWO/npCoOmDAZHdLx0GVJbM5NPuKuypjdvGXCCOGRJatbFxG1NjQtbeqSf6DAn75X
jpd9WyboyNrinFZ05/GuRFJCxucSY1abgiWiAWPkgaGNnuKTkrP7fWQ461WnE1Fs4cfjb1G5dPrY
9k38bEHhPwRhMNwN5BWSXVQmPs7AiEMHGjQmtwWNenCPxZvKn4ecp5yjwp9u/peZ+YOZcVEbYUP5
v/80tvwX681Tpv7j19d/nD/qr6xTfyZo/vHSf/pv7N8iH5Yn5JANAtvx/7//RkDQyMhzQSxXo8/l
r/7pv3Hx5gSoufHlhMJ2PQFN9E+GxvV+89jaXRnhXred8H/G0PBGf6ZnoO7CUAREAlIchG6wflDz
8+MpA+fGrPN/kIplbYXmhBkIny2rcCTh5E8X5h+On39x+Nh/+Qif9w29AGMP8WVRYP/lI8gpYF72
GgELvX5C73QmxoiJvPPez0n6DdtfHPLnBFFYkyWP/+az/+It8v/47Ai9tGcTNBD+hX0SxdQBmuL9
cQ/TQxJcEY1tnsp98VVsvB/Blfc7eXXeK1Nfjn//wX+9rHxuyKW1he+zktyL5+lPl5XplX0oUtJy
QZOvQvWrG+///gMwgv3LffvLB/iwe3++bxAW2bpZthtsSydb17umGB4hy/S/uXvuf3P3/vxLgvXv
//RLcoR7U6Ty9Qou+/7k7vRmOtbXKDo306b5cK/6Q3MIt4AFO/cYnv7+Vzr/zf0LHdsWIBG+H2Ad
+NdPh9wrc38MSD8fsh1qDnAcgQVlhmWnICOtREVrrNbbRHhaQkMNyHRQU4t5k6EBBKlhw/o3F8SB
HP0vVx4Xm+v6a5CmLde//9MF6YuRfbhYIxoe/RJgfyMPy7Y6MrFwG+/rmaaTkJ1NeC535au4+/vr
8d8tK8cJuRDYBiTThf/1s5NhdJiD4bfoUbpgN8ZDvMfcKbZ//ynOv/mYlR/+80+ceqFc/z9JO6/l
tpWma18Rq5DDKQBGSZaVbNknLEfknHn1/wO9weQIL/Fvf1X7YFfZ5eYMenp6ulevlWa1qz3035S1
f7Dd/Nbkew/rxo299nP0ryHOixnO8xihLFkUZwAbHhwDkDIXWNbr8Td8zLmbIQ/+qXSfj/km3BqO
7JY/R888TL+gl102Id/4T/bPhbXPfl6F7je9ccuwFCFi2GaodwWUj+7wI3sG/5RRzoXW15Nem28D
wtlu8NXaFNviQPF/aRfmzpr8x7aqXu47XaySswATbo+uqms/WQfmFQ7V/ff0jgm9p+7gRieXpX+L
HpK78PPCyudCyrl14axF4wAQzF4hKnuwX41v4x084R4VSre/bZ+7O2O38o4LK56i1Bk4YArPsOzi
ybJiaxK32eWCK0UuGwpI8Mox/MMkJsQyzO00zHOWvNoDhjcQAQK/t76+1NmVnpkVvjHYrYIGBzGt
0j7BDVvHL1r78bqJ2cClWgrADMO0jAl9cX6EOtnSxjgNardVD+ZQO2H4aYXeQUicum5ofi3/NWQK
W5j3q1Lpe84qRKA3RxuN6GP+ABB/YctmjwUdMFmFvRSi32m9Z1EPJG8HwyJfajUaANCfhvZ3z6iB
ZvzKlZfrK5p1ijNTQixg2gFCw2SKPlt/V2/B7W6CnbSzFlY0f7foiqSQ+6iMOQtRLi40poanQG7c
1WseuFsYguMbnp8Had8EQGQdk/tlg5K6uhBgpxW8c3ud+4PtNCVysMvNRMLFDA0N/ax0hfJA/8Gu
f0+j94AIoaJ+yexqwUf+x1KndFOWEXkXAzpP9JYpqLxy6/W4Njf1FkqY7XE/HW5Uj7a217r9Z3Nh
lbNHwFBUxZYsjWlD4Ts2HUwLsU2KAgbU7WjOpcnUi/yYR8/XHUaezuu7/TyzJOwn44L5qZFhaoXr
ZN8brgbP7Gu3pjS5ZQwUPR9pIW6Jh85WCFgGaA4Q+BP8SgggSZ5IhaQRQHLwb3ltO2XyEo2v15el
CasSjQi3QdYZFNoy+rdSAcf/K/OS/7d/f7J/dqShhsBTJGSYKgIvfN8h4MXrFkQPeFsB069kwCTg
wMkuLTSJVkZJdGrdOP9QVh+KaeDH3vX54bqZ2a/xx4wupKhjXsia2SqtW2Xqr1qVPyGHeSi0/Nt1
M2IIZDUqo1RkXbLJgt4y5bP96oIg7Zny6tBk6vbMEAPp3zIH5fSZtO31u+vG3jLbc59+syYbcCJI
vA81W3AxZmcJUDAButJD5ykugKLvkQd/gEst6UN/qzjQ0+2v21Smu+KdTR6Xsgpon2erEBGPLVgb
9eh3nKNq3/7OnuVbMjE331JR3xWbcH30GPo/uSoEnZsGJmDvLzxG5XL57y8QYgaApYHWttG4Gdmf
qYMr/qCPX9P28/WVzjimOnmkBSiOTFq8zVIrNihmhnxKe7gfYJdd22bhraQIZpe8CxaOwbvw+/Yt
z8wJ+xqUUqBZ075mxNk1fJWvg6e5vBj2U16JRJa0yb3QyxdW+S6PF+0Ku8nQURWNFnYp0CKCfjdd
p0cPlIS+QeBuA1e+Jy/40OzO6lT3IA3RTV0TzmKkVVWfWREs1U2/N/tgQ8trm9jq3moWMqx3Uf9t
dSbPIdXgfGDvMrpUtGeY1uCEmE+njb6Rd9re37ee5KWb0Fu6zGaCsapKlsJ7HlQsINxLY4wH6PKp
l9AqglwS0KmTFgtR7N3DcloPnBwyOSOPD12awtxZfDGgI2G8jvVMeU9zD3kZ3HM3Jgd+WFs3sYcy
g4euY+YuvTum3y4ee1W2dMC6bCeg4EvDSp3ETe/L/zJcb6l0rhloW6yJyNO/c82OcOE0Y12pBeMU
bnY7eIgO/gq8H8iqfDI28Jm45vP1Mz5zKxA34Z9k1EcC7SysKqflIJlBBaQxzzdBxaYy55BCkn/d
zJxjnJsRFiVXfepXCu9FinWfugRyK3A+X/7Ghk5BUNKYgjeEHL/zT0xf6fDByKX6oEK9B0Rofd2E
MsUg8eOQkf7XhnDfoHNsMBMoIeK4jT6a++5VOyhuCn+2Y30iz3GtL/I23OqMLDrpz2QNh90a8Y81
MNX18mmbdZXzXyN8PIiyNLmzwtptPGN73CL9/uEHgKt94xYuvGt/8w11pt7RjVckS7z36hFaXEaj
areEMnVfRn29D6L230xV/7PIMeuQVLE0uJh0eI6E890zh6tojcZLLVAgcYGunVY1DMJytZCovKum
TJFkqpf9x9IUpM8iSRaPo9UAm3aDPbo1r+Fj+QirjFfcGohov4QPzZ6xZNdcw8uiumMNjzjNJUfZ
2R+tv9rZP79EuPns1oICTuogAFQs4MdoYKG4ft1z5bms5Xy1wj1gpq2iyy2STpM2jVlq93V3PMTj
MAl+oy6D/u/zUbY/Mxi07jt7wzTfQlVu9sMaGDFthikkMXDnk7AHnDGEgGQArx9+KZkzP8rlv9ot
/9N/ZiONwXQGdSkuCU3wnyru0DmqWw4jbBoOrFeMhnV/cX3rMBnA+UW5lQNx6TmjMUB3Xkxvb//O
DyZNw3YfVN8K+bhw280thq3CEhtnSboQboYCBqHYPjG2gC55fqQ50CULvidPuYYY0gx5ojDTacDI
uhBETn4cJZwEHlAjvLCNZnWHSp/gyoXWwrvcB9/GrtZhwOmgjQTbqg8n6WHBOSfne/cbLH4Ck7Ey
51vYUMBMJ2Ogje5aXyF50nMH2byt1juRtgu36V5dI6d6F9z4EPF8Pj4ubYGyYF58GpVNBBm2TT5d
baztcGt8u2t35VqibeDFa2UdHqjwPfnbfH98AjvgUNSWHMYFpI3uTmWBpUCrTFv+bju4CUmigAZB
S3fpX7lc8tfDAKncB3MPIOU5cBmtPVgv2R5O0heqvpZnf+29BoIXdxgp9ztUXA/mwlGazYwtDRp/
zqzGtSp8liRWa8SvePsGe6YqoLm6gYh9bd0ODGb/ULxim9wtPW3mosSZyTdvPQvKq9oIdBs2Cpe5
1U0b/DQzxEgHfykazh0suoOqCdkfW6wIK4NdyDhCz4FGHI2JcKd/HnZQcO7RqPJ8r9suP9nm1sVz
UaPQQ+7IZ738pFZs85gy8fBpOH4VfLGDwdG11ls4SHNR/syM+Po+MfarxwlmIKBYI8/k5i/+NvqQ
rcfdUpdlYUVvz+SzL8UAUxMhg4Ceo/7zaLBrJ+TFYLJbWNH7s0ALl88EuyLtVwgXLzdOkSs9yRTS
4WiffLx7zrx0K90nj4qDBqbb/vNgOFmzeFdwf0B/Jpy8KDazcdSxpm2Tj2garae6av4cHYKFysX7
3bMpbcoUSabntfyW2p3t3jgmU7cZRkNtLDLI18N14vdfQ8Qsr+/fTCy5NDSdhDNDTd/3uaqbLUVN
eWNMK9qk38Z14AKCuQfM6o4bO3EUh/TU1Q+MYDnINCxt6/sAe/kjhG01kGVLaNK3bsmPsL6tMue0
ORFbg02VOsoLkHK3WSubqSW5jbbXd2Bpp4U0r2pUVYOkuXVhCHB8A7xr8nKKPl03MpNeTSuEQswG
kaBZurBC4AuyAid0R1sofSw26RYqX+f4OhWglrrm8wv6Y0pcEEzeKwCDratHlhNBADAxd9oLsX/J
iJCSDjbjmmnddMARss+WBIwoqmA0toKbhY2bcw2oV99K3wrlpiminfnnkJ2yFOmMKRJ3TDE6OugK
hCkoVDQ3TKH9kA/KRttYG/tTfq8vFUem4HF50YIdYbKOBw2oDh7Al8aPJ7vv/SydjEM8gRDlptjU
zI15KFp7rcfQ3HPhNKMDHHQT0i5fCG7vX5M2c8RQ0UwOSKVtin1nax8RaJK6oKXihfCO0mVOo309
FXAKoQcINdD1nX5/5WFMhzeEipPCRPP0Ic6MIcTW1Wi+Im17upmkV7NyKVbP+cy5BSFUB/rxCOYc
lqGw1XarEJRtiw5oaq6vL2TCGL37amd2xBwhhniWgTJWkpXRqnHksVLh0G9HJE+ZZThlUuxZhVRB
nRei/cVrEgxinv3sy8rekO1An6/L3S1ckD0ouuQI/HG0hxyyxrrfJyOcNwufeaZKfbH1b8HjbOuB
DAJnG6et36NU6El3qLi6qEx6xmvFU305g1z4Em9FwTODWqE2fpeuuF1QJ5IjNFmgDIdOZSHdmHlC
TwsjZedpIklw8Vz6lOrDM9LKfPFuA42aven2GaEP7eatfpc82evwV+Og8ecGu4Y82X62YeDbFO5S
iH/LnsRzfP47lMvfEUdIz7YhgkQo/Tz4u/TQfGf08LHfnhyECCEFpXS97R4BjNdPNH31hX2Yjf7g
mKCO1nhFQdEs2DeyoYMqFVCsJ7n5o3wT3ulbeV3fL9+ls8f4jykxw8tbKC/aFFM2o9tUW9fWyXi6
fsBmTUw9OxJ/CeScEBUzJe+RM+SCiVsguh2kMePC7TJ/hM9MCHdYA4RY1qMp/64c9fRBc6GgWtvr
+mu+tdfNOv2ICDgvLMVjlncZUDHTagBhh89C7Q1JGOQLl9+LiQXZz/UjigdPiP9QwFO/Z/QZ5K32
40guVFJBQ1zo+/VtnSnFY5V3PIhz27DAqAhWmRZKFBvV5+C22Buuujvupyyh+6TtlsvVc0Hnwprw
FY0wQiADCPZb4teE62zTMb+1qcizopu0cNLN7+TOkhaC84zvYJUXlc55oFQunMRabqO0Q1sC/vuv
CsP72kJFZObGBhupSpA7UR60xKd6ncHJU8l8uWQ/3E5V+OGw2io7a6FYNTmAEFBo6pKzyYCbLE0V
lqFVRldQE+hcP5eZY/k5rmzXqPfd6vd1n5jdLqKnbtJJnCAwly4BXZ+0ChEnoudVMrn8dRXsrhuY
d7ozC0Ii51sm1AU5TtcflIO5gQl+d3pI97oL1cS+8Basze4bWFn6/nwlXXxXJ8ySGsmJyoW2TT/k
zGXTm0HnyriH9MMrHpCA2sv71X7pNTXrFZaES+gTJlk8z5nUVNDfYzaWH+zjl7x4bod9kH20y49D
D9GU6Sys833RjAWeGRR29URtOe6Cgu92ax3ywxQ6VtvTXeYuYb9majCXloS0zR4qrWuQ8uaK7bzx
W+0k/35cBDv9MNz5i2izWZfE5YFhT7AfXVgaw4yQtigYDPSfI8O/ymmx07tkQlhTMBTwZUMP4B7v
kmfrMP7KX2LXvOu98Vb+FtPjjRdC76x/gBEAlUCN01QFg4Ut5WjoTIk2l57bAQfz0niF3najIL8k
V5UHeb70sPLV+rGtw9VSfXN2wWf2hfyg1KF56xhYc6vXbqP8boj+p8/VruNlwZy7C7fp/dKbeyYF
BP/K84YWKbgI8TP2fZwdi9DCZCwhZ1//yBufEZByNSychbm1nRsS9lY+oYUSntBO1BvT30DwLnty
23jXD9w7gLVNRDm3IuxgU8GV3GZIR0fo7j42QId/2D+kNUOva9vVt8ZTiZrrq/Ka/pxKGcli93d2
O7lw+B3Q2KjThML568n3pcpWUpQdjvKXBKXoxH9FYej6IufSSEPmGgADBH5QEtEsdm0yBSCRTmtU
oQvu6/i23APXXv/lemhig5vhmgP2f7keWxoDo/JPvRuhBH0sHvv6y2BpC64xV3yCufSPFeGBG6Rt
n5saySrTRgcYywNn5WY7m4Egt/VQozzuujU1dLf9TqF/Yzyi0JzfTED56xs7+/F48cL9pUHYZQk/
o+gNaOo1Fpu2SB4aMGFB02BurhuZizGqzZAKxV2TzpAQNxtY3xoVeksyE6Yvd9Du8gKIDotvnenH
iqkJzmHSszcMXXkDSJy97YrGDKBvxY55L28Y092a69Mb8JsWANfrUhyZzZUpU+pwnVGutEU0vRYc
x0ZawWsMS//BVJx0VwKKtGtHv4N1YVPfJw/ZS3sTbK9vpzKXSpzbnT7q2TrjrC1OZmJTtzsct9LD
8NqvZW/qyMbbt//bgJrx1K3/MbwNHqd0ZioJT232pSt4+nDvN/zPBghHv9MGqxpLgjd8C1vDz6DP
/hkZqQs7ilsES43aOV89X7bgRjGMQFFSk3naFbI1qsJM7/RkiC1/8Rpe2mEhcqsSnMHB5EnNa7L3
4ZT+iSiMZ+zDvXqwKg8xc3cKPv+82w0o9MyhhFC+Gs0+1kbM2mB7GWh1TJitrzvP3CZSz7MklJv4
T53StzPfKahV2mPCK0FrGBGIVAWxSAa5PyAfu4QafutziO5xbkuogTDBfqxlWFoo7ihIunnyJl3X
LxpDCdm9tYdN61XymJP+PaxxUA9RlaX9XFqsEMohr/G7CukhmK7VVxRxv8Cg8qKa3cKbfe6eP1+n
EEQnlfUTg66dWxz3PnR3VvF0/aMtGZj+/OyjARzgs2VsJBz8UJBHkNI/X7cwu1N0WyjUvI0CCDsV
2xH83yOpLRzcPXXdvnRhcPmeRNno/d8sCZtVILfpW6epwKCGzjFfOafuW/NXsWIa96JVNI19ibWg
qlOGtuHruw1SilIGIRNK9AOAhOuLmS0lnNsRXFyWWAWqzpQSGNvda+vyrpGc48/uoPyAgM0LDkfX
vy93C1Zn/eFsdcLXinK1QX0Lf4j2JMxb20m+TONjCIK3nrIxf1UvS3frrH+cWRS+WtmQlsFshZo0
2i+K/iFDbxvZtYXtXLIi+DlMLZpcTYWZLOghyA3o/lH5/7+uZfoVZ6fJtBoEGVB9ctMuXietgXqJ
sW7/Pdz8P9E2s+WFc9cQLscB9XdIuKZIuzVf+7vjPnFOh25dMfCY3S3dxEs7J9yNkaZHwTC1a2om
wp2yyH7r+fgpNYvTX30ilP1ozAImNIX7I2z9DM4vXK/JvoS9Rl/7sUh/XPfv+cX8sSEcqmMZwgMA
NarbQBcBQ973bpQ2Qz4uNJrnshcKSxDcTm95+w3ReOYHRy2CXQg9Fdc0v8NDyXiJAu9Juh1QTEop
sf7FoiyqZhNI0KAbeul1PZCKtuzYuEL6mPYPkXljygsdwxkMpm1QlfuPDVv4OBpPFxMKe0qMT/Im
cAvSYMSw77Uv1k/zJXzR7qfHhbz2X7O76s7cTzNR40H3ug2ECwsxavYbnv0U4Rv2fYEM/ajS9ZXV
XYgKntMZDY/DVH65vq+zZaDzRQvB0EZYIkV3dSqZMEK8jhkyWNWOStVpQiCp++Ui+azjnK1NCIYd
DORNE3CyY0TWAoQiyoFIFXlD+2M8LrUOZ2P9mTEhJg7JyFCDRYdMNpBuHJ/g9fEWdnD6ve/ytDMT
07c8OwjIaoFzLmg01+scYcFdslm5pVe37vFe2YCYvVt6dc5A1S8dVYiNY24GZbliUdG+u6UrCn1A
6MQH6PiRRFyPXuKMm9FLveVv9z9M62BoeYtq7168UZLr0aqnwmY+5c5XzY0Pk89YXyBPBB+sv0SH
J99baoPNn4Y/RoWPCLXnUTWnUnNi2J/6fHVjKAoMN8h0X/+Ucy9tUDP/XZzwJflX/ZD+w4SQVzct
j9F2w6jPbgk6M38A/pgRPl8HT0MXjhy5urAK+JzgadP89TE0b1GA+JpI0hIcYH7/bBSFJyoMJh4v
PTTLW2ulou8EzLjZqnXtFHG6PqK4c337lswIQSuS9TEIbG6Erm5+p4OiOcjy3LGcBfKF2Rc8HBz/
XY8Qs3IFZt9MIVArD/LrBK2o9v4jEz2b7qZ4il/kz91N6Krbct/vO0AXu/bW5xl/fIy+1gt3xnya
cvZThGAWNHINAna6bGnQKm7myTeBN2Gf1HXysATQmQ1mpIoT/wgcCCK2C+rZsDRbzn2eRz+YuIPb
UF64eGaPwJkJ4ajVXTqOQzfdgV302sSUm8ZwY4YlNEw5UEbDRgpL2lTKX7WTjDPDwtlrqmqAl4hX
YLRHfGI97Pzbk3t0fOYNfG/pZbu0kcIJrOuQRFzFmC+1e8lHsDtcQsXMPt9NWE/A4WlggGyhCNKH
XRcrKqchs53RZeLmtd36a0RLN/B6u/3Wf4AuC8ZaD6oj9Ze+cuqbv8EBvRVhGQCmMgIBzuXBR5rE
L6fUyTUjaR1RItACGP6GSYwWDo/g9/XzP/ucm2q+/zEnnEsbrvek6inAQFxBLpGu5V2wMTyQZMDv
/v8upOlLiZcvFUtYfqbZKaqjlyvUVLOi80BeqEPRFo53Ldz4VemjjLUE4Zw7GeCb1EkiG2uSYClA
Mj5Shn5642ebYjQfOqv1GtQFzeqXQm9CWp220mJ6NndXnFsVvCiB85i2J+ur1yCJ0DjyH6f4/US6
hMy16vaemjj+F98t76H0W7o43tqq77b3bNFC2o283BCAf5lwbBPs196s7kMI4t5gdBqTQZrLPM1N
fAg8iXF2hkvyjbyWX9KPwYfisb7vd0svtdmqsQmKlp4bHE3vhprroUti7WhTFYM66Ee1hyncHRDB
RtHSHR5MBnUnrOlns4dSeSE9mE1+GKpUgVvz6GGq7dLZFCsOyzimV9R4Vro2fpvQzgTUNbubCW6h
vFbfxqf6iXjpXT9YcxfruV3BCZQegOipoEdknMp79I1vugE5tMB+vm5mLiqemxE+9olWVGdENDOj
ttzEp2pt2ZvrFmZfG2cmRDqjAbKCHtmUN1xk5Q2v0Mlv1d10YyqrTfxcPzfbxbHqufz83KYQBMPe
hzK85C2V3BKVtva9Yr3NXxw99cPpg/yAmmHn+HvlFdmnO5q4rz+L7RKOYPYLwljAsDOgNlmct+mj
aoyQz+xcWAUdKNS9RPVfpG6p0Tf7Bc/MCNmIAb2nNjZsb5AFu6KOv0VqsoCTmUNYTY3E/y5l+g1n
zx15MKCorNjOsXKi53LdrpG/Zq45u1nx/tC3+kjjWfFiXh9L1/b8LgIKllSYvehBX5ru9JBoOFq8
VevQMarUVU6fxvqfDwpOE8Z/rAjJQdwUalrLbGIJndREsN+kv/+qSMOItgK9HCMIqiospTrxqF/l
eu/6Qwr98mpvJsODZVne9QM3u2NnZoS1SJ1ZNyRsDKOkweNJgjG9Ln5l/rhwrmfM4NQ0sKd5Mhus
4uWHOUFhl58KFZBkPyDjfiOn+pOt+gtt7Jkb2JQtEO8msZdWjxCf2jD1g5XKnv2LmYZ23VtisVTg
nPZEuPPOzYivJRRKuziwWUxHWl/7nzPo79GqdCCE/8cf58KQsGu2j+5537EeU38cwmcJ7dClSavZ
D/Nny8S408pjCTc4awmj3SrfMwbioBe4cC/O5CisY5quA/RoIF91+fXrGIBzIGPktErQxzM/w/ba
OLBZbWLjWLvqKfx+fePmv9Afg4JXR758ijlTvav3dncfSnKyTlGBdEOV+1/Sqnp/3d78Lv6xJ9z7
fl0e62OgsYvxLvefjFZyEmlpxGrOCPMKDH3CcqAyNnC5i5B6S5GSYgQ9nXVSDZ5xZFRS+udVW9gT
/lgRlgL5d8lMJFaaSrvT4bLVjrC0tqgxqhtfW3iozz0ILqwJiUs42Cnkt1jz03X8AbzvDSN/m2an
ICbVOj1kEd0WMdOFczVzC8KkgCPaMm0VwAyXOxnEjQbTOVYDVb4dtOa2QgDzn3vEuQlhGwedOZkw
ssGfNOVdFr/AivvcJwvfanYdzPUxRGsCxxApFLRgpWehdASRbZY3Wq3vFGmJL2QuIZs40qjmSRrv
Q3EqPobh+dQciUHGHUSWn5jd8lau5vjP+d4HP7MMepjLHy4sCl/n2IBDyFKDK+muutVceW8ArM8P
U8lG+3Fak0nf21vdXQbrzA0VXFgWPhqcg9APt1j2v8mvwL0GL/lY7KvNlMHUW2Ud0QQ0XcRa6x8M
5ocfo512E4D7WES+TIbEG+Z804VjoRah1ugh3lOvURBVmu9p6MbUjRE139FPA+lz+hoMnnIL35un
LNyis4fy3Lpwja7Skhy1YxuCPZCCb/FOZkS19qobOmyu7qovoH0W0pCljy72vfShLWHnxmZ/YAhL
WU8EPDrFAdNVDxUVayBGH3zgiv1uKWecw76ZQDNBxZPW6e94H+qIVoNtpAPMfKcX3R9+dub4ODbF
Q6t0X6RB2ZxOysa3T5tCNQ9ysVRQm9z53bc+My+4u62EUJtnw+DW5Y/Tcd+3yJkFTjcupOWzLnVm
RvBtX09zKyj9wfUbXqPyx0GGea2BKBai1sGoF77n3F11vqeCA4+N0Ru+hkDzUEESn9/k0VZO7YVy
8tKSBD9FIm0VWFk8uCnKGFpzXIcIYZfKrwDNwlIvFyL6bLD9s4Gih5qUxY/aiQ3MLPVrjzLVqC61
F+ZMMMXJWAhpPwQPQnmsiZQ8CPMpGUN1pj668Ntu//m1dG5BeP+drLboViMW1Io5jOolH5+O+re/
sMEIBlPEFpVNsUsaW2mUVBI2UuTprRQRJy1zV8hqXTfzbrOosigWTG9c5WyXSApTQkpvWKtqxMRT
MfzQ6iV81XuSGyzoEitAIBUGVEtIv5NWryAkITAMyI3+PnmZN+wQmkII8JW+HaP6/7i+IhgUvr+p
VfZYyTh0hpRVX/hua/1jlgNM0M3lcTSRhL4b/DSDMND9gjXlioS0ROOdeuYYlzrl746/YGX6dmcl
ACvsUuRks8GVQJl3q/seMQnFXIho80ZsSwWMKkMfMv35mZGgqSzA/Cyli25P9g901lGrjhe87H3/
5m0pf6wI4VnP/RZN0WLgMiz2E91v8zbSh84NbYe/+zp/jAlBOi4mjfJmCpvaL1O/i80f0dI9MEXe
i+uG9TDyg4YmEQZshvBpCg0t+ywuOZnVYPwCVhd7UBGpSCVlCC2ecrXdrwZJhqwHXPv1Ezv3wc5N
Cx8sXSFIgpYivmdJTpQUKJtpTjDof2OGkrgEGSTVeEu4e6pjngWS0QxuIlc7KZQDp0yzz5FWLjxe
ZpdjKZBnUNCA7F9YTjBxtvpH7JT1rWw+rqIn67TwUHmXG/Cx4AqZpvtNhQxf8Af02YPc7/hY1cn8
5qflbZq5WWNlDjJ8CzfDjCm4LiagB+VHQDTCroV2lgYpMiBusIJup1HNXd6kL3WQbKtVtmDrPTof
XpepFDDx3aKUII6f59E4anLQ8oluVUd35I3stSC4wPe5K98xPH1Ld/TD8Wlq7zGDsPUbZ3lOceb7
UWpl3IiprZn5fyM2+1oxWHEE1VfT3oQ02U4LK521AZYLBhtwSciAX8Yo8Gv2aTX5SNxaN7YJT7vV
fkREbH39ZM19PNhdqK8BQZgQppdmhnGwzUTDTF+MzhB/WeU/JPNRDn5dNzO3mnMzgo/EdtWPxshn
a6CWNqSvqn5o43/M3YtvnBsRsrpT6dfNUcXnkYh02uZT1X5T/XIhrC+sRIRpn4I+TbuGUJSu+rWZ
PqQyrNn50/XtmslQzleiCvlDnFEi90My+7LxV3CLh73yJGurasHH3j/Rpx1TmNsBesITXSwDxKmf
DpJBYXU8jL/HtcqsQlw6lNofVg/lM1NJG/WfsppzcImwKJKgy23qDGtfOpzKGFGhAwRAXzh6QpbK
scv0q2wNC0ubuawuzAg7SBok16vJr9UgdYzg10qLd3p/guCzdBr7m6IWC4W8929fYWFCCqYNNfpk
Cd8sJm/9Vn0c76CIqaESSD4UN+BVnrM1LA3o1l93lVl/PNtPIS9Pmww1uRSzqY6WbvDBJm86Ng/X
jUwnR7j6L3ZTuPrbAmG75oQRs9ybJ5qg1UTvdgij70kVQpEduVm9BEefy58wCrSZcjzFf5FFKbI6
AzE0jE7U5v5NeaAf/njc4Zkb5TPiINeXOAW690v8rzXxkZYlRtkewylCdcz++s+AaZE4+6ZKrdPo
S3WS2fP9Z2kitf+pBefG8CZP6k+re30z3uUvzU1yg/rxVv1EZeZL/Pn66ua95M/qBOfsDF+tJg0z
d4V0X9b+qtrvx/4fjwG9nYA/RgRXPJm1hPIuR/sUtV4QfKAHgZpLsJCkzfsiHB6AlRj2FTOA0q7t
7qhhBTTPYaLuaDdIh2yXkHTzO/bHjODyaICaxgDxips2lOniTdubXhptrn+Weaf7Y2T6EWcPEUUa
CyuYolRbq04snZy8e24sNNGCG8P/ct3W7E1PzjJRA9gSFHKXtvTIRuveZ9+MEe3dY1J/yoBTW3Lo
mkmw4OBvWirvTtOZMcHfTBrSpbniYsluy9qpuEl28TrdJvc0cu/zZ6Si461Te+U+95jKeIxK5CHd
pdLg7CdEAsuga0gaLPI6JJFxRBWdFfeMp6bja6/9Gvrd9V2dPclnNgSfz1fo0+fliXfXqdxLAyih
wV54rf6PzYQGX1IReHgnZxEcdSsZVibnyjCSR5XK1Wqdp3mT3yLCeWxeFN8fv9q5hd5cqozfLViw
XqIa/ZU9sq19tG1LA4CHmpYdqpKpPwwOrJmrw6DnzW1frmhFpnZT7Ya0UG65mVeBl2u2ebC1Y/5P
57GmCAETMa08AwIJkbtqzO1A0RDRdSOyGj94tNKFi2r+Fj6zMJ2CsxNV5VkVVBKpefM6Jk73PHUd
bLoO4IfCvbTxmQ6EfmB93Qneo3fe1gUhFs9GSCdNIVictLyZtIE5x/o0TVd509Rnuv2Rat74kTLD
7/62v4/W9pd2kRVyNtEBNPYf00IIsdQO2s2ek5ZAvQ1mait/t4AtfU5uylvZTXbD3XhjfkR7cnke
+z1galr2hJSiJqBIDHNdbjZqmD6yqCy7XJv31hatiV14Fx7CbfDNgpImWrc31XYJFztzqiFrR11P
Myf2MzFnLREELaMYfqgjFMByou/qlfKx9LWF0DxzsCcWFQIH1Uj9HaviMUh02MfjkTw/ejGT4qW1
kwVnnTOh0o6FXhN67neYr7SjSmja5cgbPUbJ5Ff7j0c94H4/NyC8upRQzRjGrtkqjbHf4auffEuz
hbx37nOQtLNRjFpr7xi25axDMrkdRrcNFWfV7Ey0aJLo58IBm7m8rHMrwkr8NJTq0GAl9Trbp4/K
t2mq7kcwtZX62xxE0PED3DDedatLS5sykbNYUoSpohTmZDT/GRT7zIRXr10oBb0niZi+EWPxoLdg
d4I1+dLIUU2zhBHP8Q3l3R0d9KQflcPEJWjtIVGuN+2mvK33xkZDKcn3xqWO4ewiz+xPTnq2SF9P
1CPcF6OrtEevj3LHLn5KS04yk+dwlKZXJhBHIAjCo48GXSrnBk5YVXmyQYD4Lj99CJHLhkurR9oH
NueFe/k9vRr7em5SSHeOvmIe7VM+uvYu2qf1xt+pNzEUb9pzt84eoYWUHJuZK7BsDyBK9AWHnXZN
yH8urAuR0VAKlIxlrKuVnYHMyz/FvrXgOks2BM9JjOB0TPN0dCXTXMPss1aXSthzvgHfqwFNKFoc
TAZc+kYUoYmsIg/stvlHadScMUrdZnFwce5sn1sR1mEmuqKu1GJ0o/4mJDPU1a+S9qnqFyAPM+8G
PsmfxQiObpqZVBUaZv4D8VK3E3Z8aZBirveDHXRuoH6R0ZKczsLZgVpl/bEYrIADvaEMZRzabe4a
e/0uShx7i7DhRv2LCMwFTFZPEEYyRVhYW2t1kbQqaYambFFgvQsDiqOatOBu76cOphN1ZmfylrOF
jb3SSOORDUTk+2P9Wd3/i7iwduOHsHTgu16BsMj30Q5xa2n3+y8YIoUfIOR2ti/p7TEPeZ5nceq0
vJucrDje5Z36eD3wvwGi3h1fEJTTB+R1pgrf0JLHIa8Lltq7hadss735VN1abgu4IHDVm2FfwuIW
36qH4VDuV19P69Tr1hD/bZek7GbP+NkPEe89ODFt+0SKYJmS20RPJ+v1+lLnUlfkRnlNU5EjdxVT
8gr3oR1GOtVt+rW6yTbMSTb7euu/DDfF+uRK3kAlfXDsL8b6uun5tf2xLHxOhdnhBAUXNhmS46KE
UWfpZMxaoLCtIr1DiiJywYdoVJr+KuFugyskf1H7JclYdS6okEKh7DkxB9I4ujwTxxOiQkFxgqwU
QupRf+aiW4f1BzjB3UgCih22XnmEprVr9m2+1up0s+o+KivJsaJkV9YvrRls1PK0KTX1vlGK3Tj6
jn66L46/hiHktvxOrfQmN2QnbZ+t/kvZG08B0wmQoHh2dR+0sTNmH7P481i11BCeTs2P699ofn3T
+xbU8tT/vVxfb8gnIgL+N3HjTexO7Sb8uAykn/tQCH3oIMU0IrQlbuMA41+vkESu2mitVaVX6gtB
cs4CdFsqJC5od1JPvFyIlMht2eTt6DJ6ujnW2WNvLz1M5u4xyPxQaGGK5z2G2Lf9fESyfnTj7Gds
5E4J5U6O8GS5UA+Ye3bBGggH9KQ2w2cRotNpVaSn3idlmyZnZK86Otnm9NliNhc1gIfRi3YIT6yl
v8kUz80KvpDYDJYedcyWynPLUZKHF8tceBLNZRwGT1k4qcg5eE5cfqajWcVxL002IFE1YUVsXqVs
IRGYt6HjBTrD/jBLX9pIlEYf/QEbefnB0D4O4Z1SLXRfZ01YQNbRcpnAYULymSS1UdPuGt2QN0Nh
/AxAmQC2vH4252odFo1QCbV4WB/eifrZdG86XePpAO+RFxWMT8m7zgEe/anK1uo0K5HCS7j0Kpo7
SSBAePqr8kQJK2xfV9Rt9v9I+7LlyHEl2S+CGUlwfeWamVIqldpLLzSpVAIIbiDAFV9/Pa+N2dTR
kbXmzDy1daurIJJAIMLDw90EeH0AjuIWo+/V9hOQfNlJX6/fv5f4stPcRTpIBbBESeiAQbh+p2ww
22pLHcqNniR1fmv1Uyz/adEvW28cl3BUI77ZBmuSapZJH2xxBT52Zd96blcI/frP3++7TQILdDRf
YSQMDbYvL3JrQ9LZ3SUkyQdn/WXLJ2q//PMS336rv5b48iJL1/0vppOkn217Y6afiBnfxTwgknD6
QRMR6m6XZ/wrJwzXTpGmxBZsY9LANmCQcRBd/xAUvk2pAwxignIdYhbz6yrVYC9VPaAvozMQ14cY
dsscZodo7iWYiuPx9qOF8Leb4a8Vv+QmAZw9bLZhB3L+Nns6jtbPCFoI1TbEYj3T5eGfv9O3r/Gv
5b5sBeI43RDC6SoxwXtn/bFXuEmqTP90cXy3HTB8RHFvUCiNuV+WmbcI7Wt1OVdHBi28a/VwgVH8
VKdtGcNj+upnDOU78BoDlf+95tctGC69LyTW1Bm/vWCU1hPfX5w0zB7YbB7iO0Jw/yZ4LE+WC2si
9qP5+rdQwN+/wpeT7U+CuqbHr+AW87VMDQYQ4y694MI6JXCawagAhl1VPOT/A1WLS438NZb9tfjX
kZ+QDJgQvIBIF6+Iy0xr/2eOB4hBYSTw8UcBwkui9E+rfbl4NtelTI54VKdwD1biPtVv8x4UdCiV
X+bB6cFr4jIPQIIv37sfNSu/3V+QqoUEL2xCQdP512igGm2MvmQI0SIyZbsx6d//84NyGQEH3gw7
v38rrgFAtpI01pZIjAgq46VL2SRDi0nhn6Lzt8/y10pf9u2miW3WasM1N6h3VrbPW/DT1/ppiS/7
0q5rJheKJUr9LvSNK3f/p5f1dSI2kFtElg1h0yavlJxo9RCEL8tP1OPvQuVfn+RrrjPRSI+RwVPY
g3rs/PpqreEwGprzWI+/ptHZI9v+IZB9Fy7/XvILLqU3mzfTgEzbh0b8PB4DOmWN/1D+b9I4sAA9
mNm5AHTcL7eAnCl33QG7zSqfe/VIJkzquT98pO82wd9rfInJ7WTsCpoRQArbMI5GExv4Hf7zPvgu
0cDlAuM/UA0hAP7lWFo169TkoYij3p9OPvfOTbP+8EW+fYq/lrj8/K88wJq8paMSWw1Jd2I176GU
/8eH+JJplDYlrdfjm+sWDWXx0JX3iu3/+UX9+xgPWjGACC9aNjC5cr/ONPZuPdgwKsLGOvKH5sPF
9E6Q94cL2rPkRX8Yd2j0Zu612KlkuG3z8Vzl/znkc/kdIIEEv4DLtvuyIao1iICyYUNEjdyFtXUF
4K/45+f8968F40RUqJj9gomu/7UComRrZyK4lQTszV0eRPf8n//9GKR2MI1AMVv2tUUnJtfuB2Wb
JHJ5ArXHuPqxz3uJjf960UFMjV6EoEFoAPLy5S2ti8IAWzgbtE1Aw4tHaM8CfEzmuNuFJ5P1qTkA
lcu3MYaHy48Cw/8egLA6KkiII1yc+L7y+0F5ddpGKJPweTrMYsyGjaR0PY/2T3TDbyh6WCoIge9d
gCywhf/1ZBGGce7NWHjQPDyD4tXlvIMidfN5sXrynpydtuL/vMTDmshwMUUeYub26/dbuwFZBAU/
cwbgv04t6NY/FMjfvsC/VvgSL6bSWNybQsjwRG3uqDdXVEXofjYtS/95K/577MOjwKoLgAm6a2ix
/evr84RnDUSNwDHdX/by5PUIHtXvf17D+WYR7AE4syDxgf/l1/aWM4Qb/P58k/Sf4zVMPtLSi8sj
pCuz9gZ4MUDVeRdCHSfnu17BljLGBoVDe5hUPya7P/0qXxJA31DjMbOaRAfWvqPw/OzrdO7zH574
cry+HL9/eeIvNzD3OidSwoOBeb5WsXsHLvaJnNaXav0v6oN1D7H0A+gPeZljYgBsbOulbROIZV0M
wX/4yN8EA/w2gFnoRScAQx3/+pHtoJtgPx4YJPgXgxWS0ULvnd1P0/vfhM1L+wN/P4IalCm/pAMN
tao2GrBpiSeOa6Wvuv/cwg50gL+W+HpVD8RdJglFloQNTz3qpBLcnP/c2PzLIl9eF/U5q9fNxUSm
P043TNZhxizT/bBHvt0i//22vk5Z9Y0ybPSllfjqbgvmuJ42lNHAjtGB7dv4hw1JvW83wV/rfUnY
o4BbrmmVBfc274ERqCY5gxUbvh6bdhiTlo40bqR+UGG107Q5+tRZY7eFQ6DrreelDa6nxt4NpTw2
A9gsSt+vZbPfHOchiuD4wUUUYwCyaEx7BGP/cWXrruP81+DWMlZeeNW7o5Pztd1hIuwoJU87RYH8
b1HMLSutpB+DSVKUjvXu9OqlBNSZcAeDupFFUjPOU2oNxs57Iu8dVTqJseucbnOB0J9ro+4D3zQZ
E6qDF6SVt+Vyv9rRWfvQau637tBP3osdXoqh2Y7iDoMXmNZw0jloj9WCWkkKSCzTpQmOEIawTsRz
95oucPBr8Ztabv/canIgY0tiZvjZaumB8ho/AT1wsp3s0oLa2uWa8Vom/iBk0nZt5nZhPgzdwafd
gVTOkjjrfIJkwhVoja/jaETaO+H71JGzruy7GoLj8TpNjy4Vv8Za7CdrzAfeX0FA56azuiGRCuXx
Ft1NTlhmqi/3rVVdG+LxRHEiE3eZH209f7Tc+Rgp+Zi4vCsjfV6d/rrqCKbqlLVbIrazR5NvgZmf
4Ix36/SeE3fGvh1qv40HXpLUszBVVoX2zULNAWSx58kv0evSdQCPjKVP4Qj0YlXm1Y+Gs+BSZbXV
+vCy1g9y7QpDwHnmzmIVbT/fbhLDnHYwvhjwNsvSj6mA14C7PA4TrrTG3ITWWMcaGimSynsYxkJe
iXq4ySEzCYO9KVnbzclBo3qE62kbo/QdsqbuPywr/AMy29Fz4bXKfGuNbSe62ritY1Or08XJvtfL
iP5PkG0Q38+6cr6Z63kfLWyHUdAHmJfmPlF3lhxzd5ivSVkf4YpdjLN5qKjFMFWwFXSzoG7VKZFw
FoUxoPdCd6aJgcyrmFf+HToNGZozISiC623VDjl8WdNycJxd25t7KdczOlTPFmM72cED2x8bUC0r
/SqC8ARzi6tJ0gNbprybjbkuZUSQc2739TxcW/Z48Nz2enACHodz/cjXmqFp4uG/wCjC4joWo4Ok
jsscf+5J6/rGbbZ0brp9Fy4PfF2jfI0qFncwOIjHuvzoeXBuHBVmo6evwb/4Fa1O2ontdqrc10iW
94HXxZRLuCnOU+6W7Vvnhh++5EFcqfBuNsFNvZIlpna3Zq2rWBEIYeJ19IqhFtctheEV9BEFCK3D
wXT2XljDDVnhD+UFJ23YSRECyL0dkcuYd7cW7/OILrHxryaht5i1zrOW3Y3wJrjgrTmj4lp7rIoZ
9V40J79nHXyYdvgVQPZhxSeIS2vL5746l5N3NXO3ho69Kgi3smAQOz+U1yzs3HiKYAHnkp0yzb2C
gU7c4GjH4dCgJV+bj8Zdr91oeZ07EiSzN3+QEHkBrNKh7mb0Xjd9lNDBieKI+Vej78N/cN1yx8xp
5LD3TYhicyP4VJo7hWsit2afxmU03NXM/yN0BFMJqT4EtvPWs73q0I+0F+jHwxuscvZ11O4nD4n5
JvYselhsv0+akbiwNWlP1O8Su3HPWvJdNPRZVdk5HCpyGASl3Fixhs5aD/r1IgH2BmtqSABFjOnY
Va+mXE6D9hPP6fNa+ZmDnWXr4eQ1a9yHQTGIdTfQMdF4aQouzyP+937OtBfgME2ZCXfUedy4fKqJ
fbAH6DSs0d4uXYwbI0Mhv7YFsonoi9919C2IatxcCkYwrrOr8Sk6rh5rAy2F+mRp9zdkwPYMHOeh
B9eD4RmHKK7XftzPgzi6JThVrBO/IiRAYjgFkbfnenxwRsjDr07WjOGOj+JOVND4lfLKhkGuHzSF
QxEDxinWJXlsujavMG7Z61rHbfBAQp1OGJ2x12MNRqkalrizIHliR8lg74Shqd/LIZ5llbQrNHlc
3CsGAJYs44DeujggKyTLUFb6LYYN5NlYGOnexhTD/I533JDIRVCub68afm76Kkaoz7cyKISdRoNI
RXTclkeuXz2Lx2un06DHPBf+QA3rAF4npruu5hWR3o0NbCzDwGRlUGWSYT4vmNBOuevBuJo3hjmB
61HcImjl06YSRh+6/jqIjoN66hmYF1hr81859/bRtIAaf2qpLtayiwfrFE23E36+sho3O09CTgu1
fax6zyuWONW9wazNMLwFWHiCIdgw3A29fcD4HNnstCdWOlk7j+yj8PFig2HXTUq2Gs4KYBd2+kos
MqvbKLbDU+cOICaU+cwowJ83T569CpFbVTAP99JAO9BAyMLmDZVqjCJmCh7nCNFIn+v5hIIkW9mY
iurYeu89p2c6PKu5ILiIWjbsfPUB6fEc/CvMTsIkZgrAgyBZHV35/BUJQszqD7HiMI0Q8Wif/eDZ
nWGYwCpws/8EOHHCeu9hwVvLIW1dnc5Olyp5u/T7dSjohN6fLxMaxIo+mfZlYZDu32Az+0TwRi/o
rJMSdidLCElXv/0tE+pgqSVboALJNxmXDr9R7XUUQQHSuYq8j8GHelDV7KP2RtFDUKZbsGclwhfZ
uRDL9a84Jp0pZIzmgnphbHVwuSLpzD2czCYOuXXd6jBt5Qcqd5jDdDsi3hU6RqHVXLXAJZV+9Bd4
A5XnHs/ubIWUIm+6JqW4k9v10bjNzsdtaHSbitDbNxCgsLd89PO68lLGgeCLh7LaE4KcB+JQ0kaW
0uWrROoTrlXaR/dcnDRuvKm/Cnw0FNd7Xd2E9ZMzf65qiSvnTonCVVtsAlmo6LVfn0pxpuRQz1eX
ZAxbNXE6OwmjIbGiOnXYjd/tsVHjBR/dCklsD0c+XUcVOhz4MEt9DJbnNhRA9kIckBeIMEdzmwTr
bpp2jn5erTM1Ou7ASRP4fRzkL+szY7fL0mSB3WedBiDIPpbgdamGk1BOprznsP4zLX7Kg0JZBS+L
1s1bkrrjeKjAAjMU16nzIvwhjrwcvwGRD+Oyk0pcu3RI2qXZkcjbbfKPHEFson9KrFGreMXdaIvM
Fq82BqxLBHnLB00Stz4sEkJwbGmISJDaEAUFGcULHicrq0WVUBDbRna1zrcyuLai+7V7QW7mmz0N
d4OckOS81/TY2GM8BPeufdo8LyZyiUm57SqYZ+sJ3ZAQ9tlQqqPKTXn9QnBuYCAY64hmrlXGlr51
24dyOminKxRYsZAdgLbRVRXgDVleUUvzZGSXQiADQZogftV53ddJaN2L+U1WO3ekOV8OA4RinduI
kmLorZhPIjbdXctfp35KWdWdXfw6zK9iI1gOW7X3UjqxXyHAcS/TPLhmUZc2ChEQ+95/XZx3XZ1s
9SkQEELnIWC3DbRvVxKhb72k+AOJJXGhbHiA0t8zlxR19TyZ4RA2KtVCveD2Tm2Y6224cssXiKkV
89THXbALVnGL17GG7+vwUhIr70sLrubvnPOULMvemtosiMq4kl5mlqgIeFs4JbL8vkm2foI4dr3T
0o2jxU2m+na0zqJ+bs1VuK6ZRf9Ew2c7rQd3zgex7/1D2BPI9u6kfOLqwZO/3SVjnYX7LGtJQaus
nGXMVQFt8bTDNUww4WjjVpOhEy/T0VSPXrTvvdSgjYGtztfPcL0VkUzUkrf9Z0jWApoOu7F8UxF/
hVKlzRC6wp2h9/V6kjXGWOglihJI9WxyJ9pXuj5pAuVMsm/cOxGaFNngzrZlHHX+TsE/G3v2um1U
7Fb2Oei6m1KGqbbFAcVsLHyVbMO0s4m9s3DBVat9GrzqCsYVh4W8lv3dWr+iyi6ccUQExeWhYArm
M6gWw2d7iJqUNVWG2DxNAWAUhUtoSz0ii0ZiyDwIUx+yX+zeOHdR917z06TbGEl6EkqgIFuTreII
a+ei8h+c8JcQd270i2xeusFkwVo5IsXzIrq45GCTj7+Z7RYigtqteFacweXiamZ7FxMylFMkPU2x
1viu9qKSWcMRQkf5WLWZEn3uNktBSjCyCHLquk6HHsUTTpm1Oamx6v1ExV2jdKzHrnDBmtiUTMLO
w6rDXTj/IV2ZrRrEsrJNRyYOpUcz+IhfueuUasfJpsv2QsFWr4elHWMIS+20gNLf3CR2da1ZmJT8
rQ/txGvuShdJXUeTEOZYi6lijATspxH5RIgtj7fjYBBQEB8Uc3ozWs5btTRtPHZzuloq42FdbFOZ
UVHwsbuvZYPkP3ocQoysOFZRouw1nn/t0fBq7Z9GweKwNkkzQLx7unXEknkLy9xJJsxEadt4x3lS
0NAVuSfWtIIkCttA3mDNmbd24Tc39oRrqAcK+P+5YHubVPgmln3UHYYwcOEoYLhGdzGkTuJSNOka
lQm3vbyv2EtUqjQgECTF5bfoBUmTlU1tVzCvT6lqklpGOQtJvo6IOeVZXj4LqKob1JStSmTGp0Vk
/FSJLQ/dPp3nClbYUyrXk6IUVcQNV2s+6WdpD6fZfVF4krXHhtMEkqjYydNw6KYu7h2nGCG3TVv1
Lsq1WG3oBtd7XWFXojYNqxsfKSuURuOJNbEXrYUq0baQt1pscQ8SCAnZL23NsbYhsgqMSU5g8eK6
FALGiuhE0i0PpC6s9gkTPpkX1IntyJiYeh9tA8JhiQhT3gxef8Q/dyWxQaf3Ui/A1bC1J+iCA5W+
DWcHsMN1wMBMa3nqdtBkoOEJN4pavB30KWAX91I67bUp9clCUm7ZLwT2tIL9QX4JUWLEhIMaonT1
rwEYoxoc8ReZ63CAOIcK3kdEZ8G6nKFhRuTvbvijelhJKVVU3kcwgG6N6pouxza6cTaB2DjkRquj
72LIvYE7AkzgH3oGWKdGYcD4moec5KIt751wseNucHPBygNgcBvn1rsXo8oJzGjKPjxQm5xpwE6L
22YWMlaj7ROrzO+2Wa4gxIRY4CMPspedF7F7yyd/CLjEUzSnttv/nhgotpNY4DtKsJHH0Y0xmHkr
lbVvS5P7nsjoJK+8sPvVNDOP24EVUNo8NGET89FKTdsWXXvJHn2RaRTBvax3Es88BJBh6corAlJp
2E+30Qb7Al4mrR7AkREW3a/28qh49SZrN0q19A4Db09mrXeiCo9itFM6r4WjnNwvWaq1RjpLnyCR
fre5LfQcpf97c6rEONtrZdtgzk07evmB3ZB4tsWbXWNPTa28Ur2Lmr05tmXwjM4jaoOQPLsCRyEo
NdQZI/6MNlvcaf4nYnZ9HXk1eMbwmEoQQBF/FDlMTnOLzugJ7LIy3pxuhSmHD1OQkj0yEey4dC/P
hCfuraEgtn9fjvXZC8S+dvRTs45o0LkoIUe351lpBTdtaHfQ7WYFjLN/GeOiAh3r+6BBSqSZ6vHi
KlSFsHDRGgmUO9UdMNi6ySXRUWpXKKq9OYr9FuABsekrZVuBuft9f2FfzsvO6tg171B2L035MgTe
qTT9vnPbx0rI+kDH+TzO9HUj4e1C+3M96T7bfD9IpyjaNaoDvuifx6XGlOJCWeZIfyqG0GuPzmTZ
acDUAPGwucwmy2I5BFIeA2cCEuI9YEgZho7Ojd+PBxR474TIg17pIfTlTeNjxyofuuVtGyQuaZ5b
1dwvDIQDZT+TjT9ZXnu7hNtvWlm3xIfMaRM6+jiAhZlKWz1y2WHbDjV0cAwyeC/od34EkLIi/R8e
sCElfY0hADUeIVUyF+hfOaDLNU2ExMScp/kCcUZ8yGxU4bHVQ8sSCUg6Vh0KJJeIZImCPubcOKkl
gjUH2fipdqdHuCek4Qoddsa6IPaq9c84B/i3hX52wzala8M0FJQBANazzqap5wYFCw/POqDzgVbR
XOh1w6iP5tFNOPYWGmZzVxXLuMBGFVYCdzLCQF7W9ZszZV4deUdNS+956gbysPZUf/YQAYqlCkFk
kMF6NqOK0rqXXt7IYMv0qLc7t2tpNiyu2anA74ACWSrxLeKBYOzTc904/ZtXunVupFjOncFNAD5L
dVVXkOnrAT29orGnP4OmsgnOw9C/WUv5PlFriPm8jR34XwEtMIEzYJ7Ua5an0TfW29wJC5iORz6s
iPMHHIsqtwJZpZNA6eD2KK942JrU2aRMBz2irhpCv6AaYkTJyhWNmVu7h7m1Q4zgNiR3p64ucf0p
oBkebeD8KA2mVPxt3EFt1y5oKYErlC7dl55oABBXQVrbVrunpW+jam8j/NSrUb3AR5k4Q3DNawXg
qC2btGOeX7SjuEjGAbbStm4xIdq5VcrLucsnKxK7EpOD+8pzz6PVjOemGkc/w41fLW/EYepzsF1x
FEqyFcmhqVFnybHx1OMMEe/65E9Le+VXZi2iDV6vQ+8hc5bwShi7kued7XaxswT0BSUEFP5qty1Y
NQI3F45JZsarDJ7aKrkomN66Lh/OmwJa5xhPJT2r5myVZfUhg6W/7SObHDAM1cm4waEq/ErSPLRw
e2M+cAbEURF1EKY1ObFWP1lcue7F0JZIS3yktdsC0tVkVXv/Ig+ydcTOHdZqqPAalsketeJY2RAu
kgNPKQWYRRZnebNo7T8BhlKP0Jj1NaQ3FP6ME06Om9ebLm/I5o87Nvno48MtTd1Uk5DIRnhz06qy
/oVpD4ahblDIfwXbIFExQ4jSCmpxbDDFPMPiPpoEWrs1WWka1iFBzqPkXNk79LkwxkAWG9MGwt26
13JV2GNlN0f9XYAxcZaHyEbDfY1DKFMa9rbKhloKHUPWb7ISyLpENOGNIYDqYPIWT422TRxYgl6j
+gJ2AOZT0iiFgz9tZbaE4EjPAbOOfAinozcF5XvvkGqKZ22DDkn1kHcQNd3PLhOnsuvtzI2Um7ks
CnYbqJMxvGUA6imx1AmSSAvQ3zpnonY8dLYm3B/BYB2105JT2JYU2JM/I7cD2WZm8hlJ8XalDcEE
hxzKZwfNmNiDx/o6VXfQuNZxj52b9Qzy+gOqxPjCEIHSPm0ClA8YpL/R86oxfBWQrCFtf1W7s71z
fO7nNhX+rkSTvWBkQ8lP5/nd4ROGawwuqUBpa0dKK/ylo4kdnKn3EHMC78rXoR9HvgmOqyWibHKh
mSTQvkr1jExsWwRsBXBGHqbVIYmq/OABrXwLreURleA64cJH2pD7S+AeotEHSr2Y+gScedvNwwwJ
sGA2ejetpDyQdQoOKyYMTpy2PDObaX9XrVUWE4+Wq2Vbous56NmNLYFallPgVTEMeOd7tkiCgeLa
zea5waGGdwmSfvZsxsvGsUMvaUo1vJfKgZ00m9V14yxL3i+0/LQrJs6TrKM/fhianVHzdqqCUd8Y
OHOAbtsuIp4XHRZWuUWFgE5xboQLPy40O6Blu4nQvp8i3j6CeuLFl9b/lVKNd9NEurn1N8suwojY
boJ0neWau8j5Rx9D/x6bjgM0p04TBgGBqImtYAPAtsYb5hSYdn2jXdG/gKbPnn0LPMq4hJzt2d8I
RIMh9XhtugZord0NeVjXqLkE5d1NuzFSNISbR5cAiZFzCIs0RJRsRLBCJj6hI4XZSrCicRndTma0
9/aMiD7Qodhg7nagoV51vIHgfPIrNHkg/Lzd2nh7bz2O4i/0iqF7Dl/WNML+TyHg1e9LV5andaun
DNYU1phYS+DdaWoDQ8cs0skaWJlM3OIH8CLrWxceLz3MeYh6HhtbJ+Vq/GQD0IJBX3QJZT8vp7UP
7psVUrdo5i/2k8dLY2KPq80/LDiQ1VmUlr9DB2fo861iFrnZvKauDrKznBgdh/lTGDfqYxFUpRW7
dUP/sIUBhWRAm2IBjsdpdUJkSsztUcnAXT0NO9v+tGvBa6CXwtpi7Sv5OQdT+MRl4NzquUM7ZVIX
wJvQMLlkZbcOFOfRufBGN0rMTAGkMlFnmAhcrrkBmsHJ6tU75MeLD4jJXdBGquz5avG84LjUYbBC
nW6dPuViQAmiMwhCTYAqzuXYXhbHtGZgTHjnAkq6QxtgPpAeWDgu3j6pmn58I9qNIF1Cos9hjPzY
poonI51Qleieejvp2sNOgep/cAAkpI5NWKatZSyhheO4e06gm2mtCIWJqqf1yUzCvt7CTdwZs3gf
izdaidEOGNl2Xaa9LfXVGGmajnzlqfHrPkXlItEzCFhmqV6gtqijfHI8seMWZQALcF7zfhYwsGjI
2qYAKP243Mq2GKSlTixa/RhMzeaOsQnNtbUEWGDoGOROWcsHvQB7jb0VOvRtOLgZ5UQ/eh27VJ2B
2ikeQl19NCwfrAkZ6rz0aC95eglTWndDbBl3OzWTHWRoJIissRS4LaPxt7h1VooafKMHE65bf8kP
y6QWxsd1U2nv5LOZvtDBkyLpp05dQ5J3SdA6B8w315J/NHbJ0Kh3HeeKQPfhzkOXAm7JO2e0j9yv
75pgfezI+jC0PnKAliKyhzq3ZH+P3C0HQw0UNAZBig5FUCSjj2gDnuRXA2BbH5gkZb8jtvZpRZb7
kVh4cIF+sUPIHRl8SLup+eyvs5u62pbIYVrkFM6yn4w3F60MX+xohWL/0njoIHZR6k+VObAWte3i
IislkTlDuwOIrv7UYfBnHqMxgTJswZdOJHPVn9Cq9jMYnySmBoMmWE1alyNQWgP4rMMO7y3namyQ
aUbT78utHy9MfDSkf4jMdPTH7k2G2xY3duXGfeU+ThX9lN7qxcIRrxCDUQnVADStyekyaATnlq7Z
vpwHFGJzXUCX4gMq+vDR83nGhX3fDFtm0wCxZwqzSHhRZpCQ5EahCQGM4KEbxG3Y9jund+3Y1v2p
8+gt0FI/rezSZJONVzCiErDD+r0Py4O32QydWVwb/Vp/roMHleWGvDYQDUl6yq67skUnRDZ9sXLP
j7sy/Ng07MQmSIu66p5y7B9HcAi3r8GDZNFu4vAV4OX/Y+/MkutGsjS9lbJ8RxbmoayyzPoCd+Qo
kaKoeIFREoV5nrGnXkVvrD8oIlOXIPqiIuq1HzWQBw64H3c/w/dLXEaD4juFBLeFj4Y0jo2QtSs8
Fp2SkkuRX7RIfdZ8Pd5Uo/9RJRG37Sx21darpZ015oey7Y5qFVh2IJnJRmq9fQ8KmqIYACqB9sOK
NGtn9f626AkB64KxK0xy+0baeptK8E5+rA4b0aNINKpf06RGl0xzc+J1LGKxK3fgPQ+J6n4tpfrZ
jIWv5ThM4t3WB0PNLEQRRGrABM10uC0+uWLDamxFJ+0nMdZoFBy/GFFkDUbl4KYup6AA3mDfjLdW
ZSTbOm5djljRJ/ha49ZSPWM/ytrdoLOvjeZ4H0iEdnvha696nyIyyl3JpctXCdoEhpceWP3MzpQg
RRsH90o6fElU4Zpdiahq0X3t6uCpjU0qQwL5azS0n6XOkjd1Prz4vnov6jH/zfMeckE0NoVUl2Q2
LGIJpn9ozeoErk12CNaQLx81m9PSMem4TidRXG0p0DmVYrnnZn/r+v1LVvbfau70W99Q423jEfCn
6pDsOxQMM2nu3Jj21kj0vzOrdMoGJHGTKflDGaXZ0wjBaOMbXDJMAG1GmNyHsrlT1errAG8hIVIS
KtbRDSq7caOTZnpbJZOcfJBuRj8K4LV3BE/NnGxY2NwoGVwU5D3ahECnOoa/FW1xjBQvIXyVEM10
o53mdk4uFPumlPdBkRx860vsERSQyuRDKBQpt9Qvo6BvvSy/6st6C5jhKFTV55CreaUMe7WoP2uD
yYmVCZIlE+Wgij95miE43oAzntxjZDY7WXXvVd/6TXE/x0Z3Kw66bXrpTZLIW0/SJSIjY8+UhiFM
sJMrxX1fsiCrnvhVk2/0aIox58KdnuqfxtL/HBL/c7QKIrC0TQtjQ/7tNUrN0rEiYYcgiEUwWHuJ
8iC9DtlEXVH7kmhPRvVSRwQ3dfl+0PrYbmm5knitkYF3Ssonty9sapg3YtFuSmKxWUU2VJGNJ7Op
u30elp+jERtSSvq9lr93SffNdbVbQx8Cp27cj3Fe/iYWQbgRSpdYq6vCxe7Erae5CLyJBBnlUXkW
BDLpcUFOUeS7ZwZQylhSbCUevlZivA3z4KPRtNoGBRUEm5LuqKTdq0T/8KZpXGZSF+OcjB+6T9G+
bxBMaAwqwQAcbzR1uB2z5MGsTG9XjgQKpUquHC4613Daf4QcoigpcZ+5pFy13JIQ1SI/ZHGntQ1/
fJVLreFXBy81m7gkoe5VA6ThkM48rj6FLnEprW5kZAIpzdJjt9u0Bmkhycz2LtelzaD0N4CGEZcT
CnmTdd5tqFQUHrmVsqHY6DbPvRPCvwSQxvsKQUyvN/ZR55XMGHd0Yt+1toMlXyVGdIej0yj2gIUo
a+NjGIja1nTll2xsPGc0gqck5J5DDzdxcS/wD8RWql2gDp+8kvBYPqruzlSq18iACRh3UuvkXkD9
kqBE+yal080aOIuyf7zKg/RQEkJweKvE6cJBsofY/F7X3ldvUGK7aaxjVKcCCbdSutLb0bXREF7r
APhJPX1XdHpW4TdVAJ41GWRqHAq9VXC/dAjYTSgGnHPgxLayIaS1b4++jcTItnA6xzpJV2jdKtfe
Kb7qnrPH8bfcFo5ebf8VGrA80eQpCJ3wPcinvn2s3uP+6IvjSGyS/gqBEiGyPX1lrtRTTtWl70Z/
ZmZWcis1/gTmHkbg+M8K4SkOlRtZum1Hb6XTYrGQ8szQrF2k5P6sFIrCunb1Ax2P1NZcWyPnHv+U
RHTNleaujP58PfibdzirB5fMDgQAAEQiLwnxrk+yMe40bq6Cv1IoutA8P1GxJ513MG2KKs+KX60W
ppioQWwwb4y7bqu+7KKtd7Js4zeI+UiG0L5yaMOVAuWFymEYFCL6XvSVEP+bvdImciVNgHprJ2FJ
bUiMw3q+XAC7UPetaFMFOi2yMNqNWW2ySqGtkXDKsIfoMwq6aepv3DXNpcVRnNmY9VyIjVHklSih
OJuHHyLKes3uz3d2Aevgq/zsUJUBa7xdS9moRsWYMQxoDdwsqeHpyH66167x5S+8L/QyFMJPpkib
w1tDPqFLvRFoVfQNY8+FcG9VBPPFfnvZzMKinTq7/2VmNq9FLgFtMHV/Wr66CcLnRuY2Un0IkhWm
weKnObMzm9UKm1brmVN3lNt9cIfiN9OgoOjyWJT3zaXTx/k1mNkcs8ANEH7l45RE3QubFt5Hk/4b
YvglTbUmiRT8r/sd+S36OlCUvRmc+mN6qq+UfXqbfqSdftJutJzsr7xk2s9RQzbppldng1dNodXk
gufqfWrn+k+ipLHnmhtlTQNz+kUzF6xoZ4ZmL0DL3MAcW7rcBJK3BRfLXLmx0hVG5rIRFLNUsDww
FmZGLJFWks5nZpZMmVS0KGz61HRrIP01K7O1XNTjlH5iKJxNqFxK6g91bYGFzYKny7NmzdCsLH/w
amE0FcrHM856fvYbYgGbRFvDYK5ZmR0NqjRPIBEwHM+7G9WrMbjxgxWm7cK2yMf/13f5CfI7O32U
HWyen43sw6mF/+TdTFID4mGtKfjn73k/ydAgnvRjNN2cHSdUpfNzSlXxTEdD3Y4+hJdgG93kV/Jd
9o241rBV5Y164NS1sR5CWojWuml+0qcvPcHMCRuqGBiBH9BDVHcSyZRAfK4aNTgRy5ees6KQT61S
arucmsWbMRd5Eu6g1CqKnm0MWudkEdl4V/RfiSuSgRyVe40s7r4a0sYhMcBxXqNuxUuk+ibJqfZz
B6k8CHQl7sbaRDAXd5zYFv+yH8rYvyExGT+rkaweCLj01NE02scQ5UdqrnquxH4pPCZgQexI6IpD
nOnmpzzRsx3FxXQaNQLqyWZlHJVEQRtsLKSrzMwzzt1kLoMqy3dS6HdTzq2xUy1CtleCkisUZApb
EEyfkW7KKZMIq5u0z0Ty4WFJKZ0m3aS6XzsD+Xi6IFRrq+fluBXlvtM2lVdR1dJq2pYifXUnlYV7
M6aycPLFtDtVXlw4DVTV3V9YZwjXSsS9kZOcT89U1cc27jR6lUf3eyFK13mf7zzaFv6CGV2j+162
TDTPZrNTIPGTew3eSaIkV6Z0phJ1tHrGlb1mcT87MzObgpIalErS4dKz/IdEUlkn1Hp5IAuMN3Yz
ncOSDvpMM+dNjhKZ+yFKOZPV0HPS0qFU1vwgPKgn1S5s91hy+//af0yfJsXAiYvRXHPRZGPbyBv+
eLz8NMvj/fUws3OCm4uuSUQarkFG2qCNa1uNpMfLNqaN492yhvJmIfigc/CduXzfbAp/EGgsrkpK
goU7S4UyYn1N85UNbM3OzOPnMUT/fqBrflSNuzJxP2hmtOt7YauzLi4PadEnnw1p5vbzQlTCKNI5
Lqbfa+MbqVMjeg7bk6SIjtF+rdf2gMVtxoDxZU4LAOrN21Oj20g6xEGF/nCUbsJGn1wQciZ/Wp5O
QfcAjoahGXSTyvM29CZDmw6cHQ37LZVqwtgf80b4OiTDrVbmd6a4dnpcGpbOnQFBLEM0WRWzYQmV
KEY+w3Jbl/rwl5F4RFWmKytOWprk52ZmE3AQfbfTM5kJuM1euidjNx4su9vp3/yP0xLznDVntWgQ
fDOtoWzcdNS/HZcWyjXHb96jwa6iqc9jf7g8/5am+qRW908DM28Y9FqHcDQG/GoKSxCt0dKsoTQ8
PIhdtMJYWJrs58ZmPlEzM0/up9cHMBdA4z+7XNcOIIs3ZK6QANh0MrXv1KmEJpKlLA9HO7yWiGv/
SB38oePuhmfJnvrqqSdGwW5NwGz5W/2yOpuDcd32Rah4I4k9E7yTm927pbjiLpZn4NnQZjPQiynV
Lig8B1g+9WaTz3Xaz+Oedtsv8sbfWrRkX54ga6Oa+ULESTt90KaVHFO4Ewcbay1yMv2GuVc//1oz
F+hquh+jXD/SexnsBPVTKdEzMXwvfO8m9mubTjjn8pAWdFnwTrRAWzAkiKXMsTJhTU1P3fGlOjJz
jucShEVMkZQ/nQWAKcVtQcG3ryWngnatXghONE77G7np/8I+oxsmKmowpaeu7Ler2xu01lMhDtlW
5tk1gH+fLshW2Wtyt7k85MUzOeUIjHg6MiAb+dZU4iOTEFDyYpMfy69D1VbteNdvIruSwGfpdzJ1
dvYEssru5UMhbYfD2qF80UWfPcFs8Reym/qZ0bHTydney28SSXGU8NvlcS7O1jMjytthQvIo3Drn
DBnV4zaSo2No+SsU4bVxTI9wdosy6Bno5Al3Mzb1MUzM294kY9avMTLXRjKbG3i1VGpTjqldLFEJ
JkNh/fA/e1czf4XX76rBn4IOZWu7NcCHNZXKyRm9W9msME0CLIvC3sx3DFE1lMXEE41bibqzwomo
A2poUdG8ne5rK3N8cSuzNMNkm8QLi7PxUNw4htD8OIFyLqRZvz6EhXmr+AUBK63/cfnlLQ/tl7GZ
H3atzMhCEte2RUlbST5eql9JyzguJaLCmhrr4pQ7G9nsParWILjmxBQVS1RH+ircUf5GFZRU7y6P
anF7gUdDSR1nNtDfs1lnFFKLWDLenqzMUcg2ysF7BeBwrI7DsbTTPfW7K/vL0tjOLc6+GoX/ek9B
xiRl+6oGz03EcXGNufaTODSfiOdGZl/L76l6dRV8j/yh++Hft43N2OjOhh1IvprE1I/yqgNL49T7
NeTGAuOU+yxnEIUzFi1XczJwEoyVG5uc8LWH6La7pbX+qIm0e26UPajxq8ihm/9orkUUl+bnudWZ
v099s9Z7E38PuxBAg+bI1lNUPIqdtUvWDt/TJ3r/dn+NcObZc7U3A2vijvpxcDLdxE6kh07P9ynL
cGV+Tv77nSkwAfqUhTBAQL51vlWpulSwcILsd8WTbA837ZW21TcUSOwmUqxyf9ne4uSU0KQlKCGp
ojkz1+RNlg8J1wqxsO4SSBJySRmdUR0um5GXjkDGmZ3ZAm8a2qNqg2F5L/kx+3mKa3fqqXeKcUOj
shPY0qm90h31QdsPTslVg26jkwIpGSrNofh6+XGWp+zZ48xOZLJaiiE1lZMAgLrXT6NjHIKT72i3
CgfN5mjukjtt5U0ve55fNueUqE4zkxpuGXeDD3Aft9XeddqTdls4FJKekp1xP65YXJy1ZwZnK8T1
hKqJCnxCW4MvIR9YGNYpLqWt++ch7ngAOgd+0uvIoM1eZ9emkCVMNtq6uonD55yW0pUPtnSxOrMw
R3TWRiI2TcWxp9oKsW2e6jvvqrAze6RJ7Sqye1uiN93pt7Qz2Vx81rjaS2eVc/OzV5lr1L6hD4+z
sdxdTaRRjvqV2PXiSvz1DucBBalIOqMLppU4jrRaquUe3Iu5CcQ16M/i5eB8MLMjZDMGhWooDKY7
mXvFCU6UW2tb944e7Z17++dlVqa5gTuTgOXRPzG74BcaBYl6xyzUB30qqt0MWr0yOxZfnYK2kTHF
4yVr9nWqkmRxXHJ6EGJqKeTfCtJYlPWuWFlcTmdW5LeeOYzlyKNEmtMXCUJoozYFHc7QXqnV/vJk
X/SVZ4Zm3yehNjIrqVe2E2/cpoTTu+RQU9RmjdU2sfK9SX34ZYvL/vDM5OzIr8hCpSUDR37hQMen
v+X2tCXys9XvUCuFcWBLN4KzRlFcQjmyxf36btN3PbtoFKlGf8TkEYnsnoy75mX8NvzQnkeHJCUN
8jQebEpvEz7xJpAT/9SDDETt9kir6MoRbXlJnD3J7Iwm+V1PPdS0646Sudd8n8Ynvw+OaZEQUCkb
aW8Jun9FokxwqH4S70JFKh7bVldv2lD7KzExQ4G/wBPphDJn76UL674zJI4bDV1WMsyLflgjqS8f
GM9szEYcqjmIG7YjIlXBR8HatNe0Idvxne9YdvqDFtynbOdfiYc1BYb/x1QzJqY6pzI0Td5+dK30
dCOZMtSd7T9S/Yw7Dw4U0DuGHT7J9Ipcx2iCJyvFK4sOnFPqP63Ozh+qV/iKPLB/dABWCqnfaPrK
bjs997uD25mF2R5IAqtQYIVxFZRhsIBnMLQPdVBu2kGhv3tls1j0RWQfSSYRNkUi4e1LdLNOzOKY
zUIn8VK37lSDvEu7gMbcasU3LO68v0zNjy2B4asVZCjugQ0sjz7rP3apipsNx2OhubCmZLgcdB5T
2vvxsldadOtnlmduXU7S2goDvlkyljv6fU+xJDqIlq7EbBenxiTZaRq8SH0uuupHGqw0md1jULPN
MD7q1VppkTQ96XxuUHwGkJBcAerZsz2wo4vGHwNuSBRlPOW7ZD/uvftJfNFzVl3Z0tQ4tzV7a7Em
uebQMjU6W7RJf2Qn9whj6CjYdAVD41e2yV3zdc3s0ks8tzrbHGlfHvVC4kCNY7QDrrjDWjBnaTZQ
BYQ0zJQmeMdzzejgFQKdLGZLzWbQ+/ei6d3JlHhfnnRLy9gUacZC5YZylbnvlStNbV0vHuENVbZa
/6Y3j0EY2gagHN+PdpeNLY/pl7GZEzYHKR+ykTC+O+ZOnX4I5BxM7ffLRhY97vmQZh43BfYz9J5A
gPuub/ayLW+lA73+G+kUXJt35rPyVK4GBdZGNvO3ddMUZh6xdnMJAEQNmuS1bx8vD2ztU82cYBkX
7MdZQlgdKsBGaoz7XLSexFx/LCQvBLiyJli45ArPXuQ8ql543kjdxZR1OdbHCRhbbidZ67VE85qZ
2QrOEOiWNLqAbIppv4ltZnuSbxfht7aaGGcQLNwScMqPyy9z8TB2PrjZCg4kWBQK/bG2f91s4Zko
/ra9jx0myrGwpwt6+ERnELNIstPtdMny95YzvjYHd+0wtjh3JFmXRFXSRHHuLSsAdEM4Tnu1DaaX
9hBK1vRjvvUeJRtFAXvYoEW95sCWV4lESZeumCZI5dkqqRNtzNT854HIOhRP/WP8kB/UjbkxtuZd
dQ+EzTFXdvHlgf4yOVskuaZ6ZtFOgbOA2vFGia/DJPxCAfrh8rddtgNgmaQQN7F5VUHvi1oua9gR
RvmFLsSDK7f0Tkaa8z+zMxvPKGUoPzRMIUiZY/8tCF5EY2XNq0s7qfRrKLM1T5hTN9vUGkAtRNel
3G5Uq95eHsXiBkpxDzKoEg3Yc0XNmuquLIfnbddZcDTK7iqUfHiQ3r7QwpX02OKHkS0Dwrupksid
zTkxlAvfKCYSdEufsxRtZIVdGyrW5REtmlHRoOL2remWPttm8kRtNSHAjGGWj3njP2W9ea1r5dNl
M0svjugvWPwpGyLOIxhmOIqV6GakhzPT1uhkdMUnM0ATkTaS/5ml2Q25RlHLUoZiGlB9JdKURCG5
E8nFThXXjr+LqfbzUU0z8uySytrhkECrIxelUHayF+t58kfCtrfpZZS/5U+iE2797V9JJlqmqnIU
geH2rlas6iqRGut8nIAVGzWWbaHP9uKwFgxamBpMDEkjo2jotEfMZqCeu6PeUqlnd6pmgS1Nki9g
ejs7RSgv//NfDVsc3yhvUuj6nk3DxHV7OLI0EFTZkycZtjvUVJzSAZJ/ujw9FpyEKkpc9QDkG6Sd
Zxtop5Iah90FBDxK7ECls1FcWbjLFtCwpyOCm8O8asVokt6LZSx0ihHv9NoAXl2VH/7KMH4ZmQ1D
LEMKxhNmuZJ/iaSrqnm4/PsXv71kUlOEuig1ZzN3naZxVBHLhDHu+wc/hrTTK9vKK1au3mtmZi4b
gIcFc4nPLgLGFNrXMXmwvLWekctGJHF2w8qorawNwWC5oMtVuBqIoA9TsObyG1s4mXEfpaZMZ3uA
KDD7Ik2HWGkaICLwk8oWA01SE1qIrSi5F8L4czBB01PT2KpE7C5bXopQvTE9O55R0xa5PaArO3pS
T1NZVmS7B7pKUSn4S4pY8htrMwcrCmlKlQXW0OUubG1X7U1n3Mvf0lvNzsmRXh7cwsahovwgyWA2
YFMbs4kYpBY4iJoZYoBvKv1bD2BtLR2yNeXKZTtUk05V++hMT5PozJVnvSrnZsM+mMFgbITmOOQ1
DSX5tgdxcHlIi/ORneGfpma+rq/SJqTHm8glyG5LPloAxvtuxUEsjsfk1U3tUpI4jwKNiEfpEC9Y
WQCxB0+3YygWoVDZPvzry+NZdHh0Y3Eyljl+zfcJjRol3erwRW41EbOTj2CnjpdNLE/xMxuzaVCX
LRHuaVdPr+trxRkP+QHuM0d+aM/7tVvG4lI+MzbzSvQwVXrtSXwgod5Z3q1mIkPj7rsSUQD9Megs
p4z2lwc47aWzKBDbOc2RlB8ghDGvZrbaosiUSefESArQf13YbmTReCms9MbUIQB4jbCyTS1OkDOL
01c9m/B5I7aygOKbnaX7QQFyeyUkV1W2VjW6ODnOzMzWlQALnx5ck6ujcJN1j3q9slEt/X4KOCGl
SNzN0DV9OwwlhbVnoQNABVm5SdrPevvnL2IEe34ZmL2nkf6HblBjERAsiNTkGQiZExRrx/Bp/s6/
vyQhG6VL3G4ZzNthmK41DPSSTOWT2qPeRpsO5VQVCYIh/VQZNGm5axaXDq8M7JfJ2a4xyHoGEZQN
a5IhFrhJe1thCwJZGDfxhnb523oPJDvcao+Xp/pSsvuN4dknqwAR+GPy0zBNKsMT3FPbu/GyDQCT
cmPuwm14sxbjX7rCvzE6+4zQ2uQotsKp+Th89KEHftTt/M5/qE+NMzjAh6X/RqRrdaiz2e97cex7
JbNTaajxEaAAyN4RLQ+nC0GuwuQtx5OZ3Ocu1y7xKoaE6ULNykBeXX7nS1sORRw02IkIe3EqfTu9
alxLD+CSi0qSH8vuOYLZbpBBvmxFmk5S72bxmZmZl1bMJHDHyUw+AiXvNSeVIruVPhdJeeUL9xE8
D3MMt5bw/bLh6ePN7FKwRQhD4uxlvOvPhaUkQLTiNSdWuxH7z4q24mUWnCUbKdJEXIRIA8yXZ996
SGagT0PBW+hQogvXQgE9Agok/np5KPI0+9+NZeo2nnJ8Kkmjt58qy6UqdXtOq9aDuQ+PE4T1Owps
2+iT+ACxoj/ApEeQKd22xUbexdvAqQ75p7Ur5sJ+pNGLzJKZBLBJ+b99Ct8QtNqP8EexhuhA3W0a
VZhYwknnX1t/pcSPngzokoYsQb+cdyXRnJZU8HdFu8i/5c0hk2GDmiupnJ+/5N2LtYDx483Jtcy3
WDDUkiEUGIEIvfVewIjEX4wrwofhJkCv3KHHoJ8Sm1uiqBv51L/G9logcf5xEbdCSmTqj56ym9q7
iQq/M9Y6cHwke8pr4447gl3t1S/g3LfAD1DTTa6lrXaaZLYoOdwXu+5Q7i5PsNlUfvcIM0coVaY4
NHkKX3+87fyHRvkclHcVKmCXzUizHe2dnZnri0pJFsTRr9heRLt7kpxwJ9jR1TSRdafdRvfKdirk
0sXNWtHhvDXsnenpFZwdbYIu8rVR5S3HR3Hfo9qbofhgW9tsrzsAHB3N7j/W2w4Bvng7XCHhQ+9K
aOfX60KD80n37lFmjtdVMhrTkaSwpYfoqXWETbKVIM460QlK7Jep5Byq5T4Do/pRvtahUq+rAS5/
cJoKuXFwspj7Lk8va08NQEkZwA8D47EQtwo8laC/v/zFf8bezxbY72PFY3AHVklo6rNjs0wNcpxP
Mys8mif5pH5sd8O2uY22wm1g19vwDvhpvZV3CG6pnDbW05uzXe6PByAYZWrUK5INfPvdjcFsyyIo
Krj9wY0X6S/MwKMZZ5+krt/vrOg1h5u1/WyN3Y88Nk9aM0CDEuvD5fcwuz38/hST7+aabBGcm70G
5PvSaMzKygb35USwW9wfCY3tiVZtivZ7VtwGw4/LFuc55LnJn/vy2YRPs7FvwSWXP9dadVuhd6re
lbfAfJ3s94jNv3/r/8N7BYUaD16WVv/1n/z5G+WdZeD59eyP/3UTfCuzCjHE/5x+7F//7e0P/ddd
/po+1OXra33zks//55sf5Pf/Yd95qV/e/GGb1kE9fGhey+Hja9XE9U8jPOn0P/+7//hvrz9/yyOa
GP/428v3JEidoKrL4Fv9tz/+6fj9H38jMMSE+fdzA3/86+1Lwg/+r/jFy16q9z/y+lLV//iboGh/
pzNy6insXn//C/PvUzMvopXkpqelx8pMoXj6/Gfz7wgSU8pLH6fIxflnyrpCN2f6N0n8O9sTkuvT
TkU/H8G3fz7Um+/z63v9W9ok91mQ1hXDmB2OqCqwlKkDwdIssJfv+n0S14rMwu2hoz43P7oX3wZa
fwyO8eduZ5yC52i35n9ny/CdwZnnr30BNHeMwVYprmCf0YAd6YfSimT77P3/MdTzoc0MUb9C1SC0
FwqiNV7Yzzqms2nfiH6j9GOQbGK92qWG8ZtV18gjeSsLmlIMHMe5Z+NgAkNvWsvE9ZD0nXnx0oOp
BDUt2xiwKP17QWzaYWqHHT8mwgB3N5L9cLzOzUQCZlT1lNSWIB+OmtSG+h6qnqLaZhCMxbEKqyy6
ayAOUWwxtuGeZC4HSUQJd57YUkI6DrLtB/0nfggIoK6NymMT+MA+9QwyaUOjfTQWQBTdmjke+f2e
KiAFTmpQa4BJoDtDYe8/ul2l7/Is65HlKvTGCQWxKnfcw9NDm8bV0SobuPBaCzWrtvqPoeGzKRW1
7CtwsgztibZ+6S7ptMBR1cy99uoxiB/pp/euwJ3qz1LhpnDezD5/EAUtv2rLSj2WGbdWyexDf0sp
jdeeSopif2iQ/mnSEw3vEPcFjLNS4WQng/V88ZrEqhw37Dizp7FpWE4o9ulBrDL/O8H5/qk0pOGr
VUoCLWHoxj/qYSJfu11L727bChnJ32AwH12v0F4R0AjBw4qU+QZB8s0aWz+nuSuNv5ioZtmVXylH
MYWDqdYJTTiFSAeCWZqwyJVGvw39FGEevTHzjRblnopoVycnoODl/iCPfCry0dWpD4vi2ARm7SSh
51/5qaY/KmJXw0MzIPpHAuMcq96O0Bb84gJLjjaCJ02CTWl87WWFe1f0VoleZ58mG8pgetia6LvR
V9hI5k079t2rICEiYivBkKfbclQRwVPj9kbzyoEa7ax6CJXIehB4p4Q6LCL/eQ0RLAJbj0IWwrZo
XoBtAI5beEjz5TkaIuxuzFBd3QwT0x8iYeAMmdDahjpIuzYgogJqsmlvWs3NbjNiU92ulAeLysI2
O8B0gjWL1qjdDnljw1MvuHP4kXEXegWMer8Inisy47fI08Vf6mEAzhjIQyNsU+JZiGGpZbWLg+hR
bhHEcH3JfNClQfNRX1TiQ5120r2WoAiB65I+I36JXIkKauIh6npuG1VeoHiQDO6uUnWY5FFgfami
FtZmkY9oF0K3/6Sq4Iw38CEQOxtM6UNWt21q66EmJXYZhqADk65/It8YbtsxdNF4S1Gz50AW1FuA
sfpV6DNLgbEpFQhA3Xpq6zQZJ4Za8GRIQAPVvki/0E1r7es8dE9DpozfVDVXXnu3jCDmyLLvVCMN
XhDzMmL77Y/KzeIvYioDjx0tzdHhamw8NoGXJExJCriqFNx7RtZ9MIQ+9ZhkCuJYWWAFm87UtOag
aX36MW1d6wpamnboZWlAO9LKEFeEoinQJll28Q2e0b2vNF8t71B/yz0SZZH+IzLIbkh5h4oOKhvh
B88NJ36dIOhwHs1Q/doHiXTdJBX7bYx4Xq6Ao0WNKZHgIQfKTyaeCSWuL49CrHbPZau0n1uxcL+F
kGJ3pqf7z8kw+veR1IP29xMd/mdZIns3FDoqXXIbEML0+r7+ojVpH1z1QovfSkx+JYCRAckzs028
HgaaAKXb8M2U+EcKfxvmruwivoTK0udIh7fqWG7Pp61imlCcyQ58TXM0r8JMBU8t5EZ9G8q0FmwN
Tg2f5FKaOK6U630NfL37Dmktc0ywSh9DGrkfrCarkMKJkQs5onaSXYtCMn4miWreRpWE+LjXpOYA
pNZNqG7WC+MexnEskV/tkfrpRV99QGolvFbg+jSHMJooKeBlBZRtNM2xVPdFzUanjyzhkVOG7tTa
kNx61CieuACpx36A0G/rWqU+xmNqrd1sZxs82yDdQCqlG/JPoWxjdqNrslYb3BbVT4+CsQ3byG9l
3xwvb7WLNghKkEiggVactx4hq0sddIENxGPsGnSdMe4vW5hFHH4fxZmF2eG9iLOmr1QsCOmXNpSv
lT4l6AAeG2Sv5//Jxu531maH9EHWWtmfrNXKtVF8lvTPl0czPe3sxAD+4V/va96T0maF2XITgBSH
CvFG9bzPmd9upbFFP7De94qnofxarhhd+UjaLIjMfo5+OCqiG8Nogo2gN0hsBisT4f2Zi8l2NrDp
qHR25qL63RtiERuaEu7U/FojclKH5Z8+2b21Mgs/1W5SZv6AFZGuIQl3hg4pCh4rObK1scwWjtkN
VeEGWBml+1I5Kv5NFK+A3d6FQX4uzrP3NTsM+xYqNqIwADG9lunsKj6gb0k4oifmJNitPQUhzK9+
vzG/epAwL0/Ctfkwi4O4mZi1SYttVEG2UWRuULhZCfOsvcJpVZ9NB1ntlDCPeYWqQd23/5A3CrHR
tQzjPFcxX67azDmgdyQmEMrJS9jmPqg29VHaFDbAM7Qgwbdv9F1pox63yn+Yt0K8MzzzE2GulH05
Mr7qhA7oPdHY4tZ/ppHV9k7qI3Jc5gPqdWiQj85aU+DKq51XlJaxUMveZDqoWv1713geqp+cppAe
tf5kH/IfwzQ47lmE0Lmzvv2MLToSQmxgS6L9oezo80FNUlf+HDzgdys6915qb0RaSmdrQXFl+sYr
dIsr/0PbX2dRaLtAjC5P+nm46+eCOzMyn/SgtxsCrzioNqxv+6Hc12F2kBS1OkqVtBJUXvxGMHG4
gHC/p9P/7XujxriVdGuS1BzbqyDcU05nUz6+ssgWN5MzKzM/1emxXHk9702Cad2CpNyIjbnx5Ek/
Md2KVnBTRsP+8mt8F7n8/T3+GtrsY1FSn6lCg1FxT8lefhyvrV0MzXgT7rpPE6U3f/EeERaXQGoh
MuD43XEtRT1P2v0xYX49w+xbQuXhLlPyDGhD3Hc/rG/ZR+UQOvK9+RDesuyHR3Dkh8sDfxdMmw98
thaK0srisp3ethVaR7+pxdzuazPeanmubaSxyG+6VNa3uS4i9SiLgl3LiAOZYt+uPMrS7KJnni4v
dEIm1Nnb2QUYAIBHgtcLmxQydAImK93HKAReHvHSijk3M3vLBqIcha4QrxG7ZqNwf2+RhijcT3Ev
rqzNRXd6bmr2boF6SL2bMaLa4bIX31ebaBujTngFMHA7PCN4m92TH3TQs5U/Xh7l2sucbSFKZ7pa
VmA6yFHVjCRll5egb6o03l42tLTrno9xtmWoZiA1jczrzEwdxTj5XjLjFUe6YmKeIzQk4PJtNG2H
lvE5QFDW78NPP0fx/+O8xHnpijv7pFMk+U2gd1vl/+d/l0Gd/dvDS1pnbwO+P3/2j4ivTBR3wq6Z
Opy3qXieOfVH7FeV/k7ESv+/7H1Jk5241u1/eXMqQICA4aM9bXbOTDtzQmS5bECAECDaX/8t0rfq
nsQnkqj3TV9URA3KFd5HQtrazdprod2OOUoMvRNY/Lv2q1l/gIoIOHXgXJcar4U/+7v2S7Q/UBam
BkiKdKCAgCT8N7Xf1TlZyL8oMcAqjZwNjP5rZJaSs7wDUyZkUpYqCdNxqzcx0Mtxvsh0frOxuldp
Pnb6MsHm2U+QAMV0MNjGIAHlpn9CeFVFRe3GAJpE91igGL4p/Wqrqfr+yH7yC9aBEmlKI0M3PUP3
o3ybRn8JDbMf9XfUPSWIMTCbsbnolcs0AcsHI41h2RqgghjSWN1xy86I0TeideOz+U0+apBteK5e
MQsDGR9vDCCF13gqmvTRVl9+5cXWhtd5ZWsWrexB4+025ZMwblX9hDqNe3Hat8vqv9lYpZEjtB3V
UcJGOzxBFsZtHOZJY4uw6OpKbEzR6Rg8IZa9/PlF5gBdRiiZDFXrgvIVAswz+6n01k1vkC1u4fWj
874eQOpwC0E1ZthriNiQlLZi17BknDEbAs2LveGZu/aHcjOibma68nl65IfsFjy3j5/v5LVjcml5
uZ8XayziBJ2fHJYhnegCyOomSGM5inHTFgvNOlRCzxOz8kCLWAunG0Abq+1k+pDFEIyUeFmHYMo8
lHzbyiu93FvwTRBrMlTX/LENB15f/7XdVfBQQTaPA9YAVRkUp/2Jl90+g3wgBFIGm3rcIPNuUKf2
Ntbn+Cy40oefb/Fvx2hZNzA/jqmC1w2A+49bHLcGFAgtCL80851DsXwL5Vb59XMj6/zz1+5eWFl9
yBnuu7YJrEDe+RkykiwOwUKAyh4S+P7Gsr38BbLT4Hoe3GTD9tqHv2/whenVh8UzrylDvyjbyGfZ
SDfJ/vVNXG3h6hOijW2mhQYLGUiUc73zdasNEMb4n2/i1YUAJYy3EnN0mIv5+KXGfgK5lg4z6HJA
rndy5/7lcwu/o4SXlVyYWH2mAfomWg8ydJQJIA0BPvv5T3oHuuYTdO+O6Oh8bm519NB1B+bUwIWD
bB9glGT1CHTocqpJojGPYEJLOpmvgmIErZuNoHnDzHqeBORSshgzk3mTek6yn7r4K9bfPl/JEnZf
vKC/VmKCFNexQC38m4dMNMXMeAyurCJ7QE8utQlmtG/z/DUHV8HnplYu8ZcpYJ/A8w804m8Z85CX
pIDgKNTTTIrq/rOUFnTEO1fo/w63+5uh1VnoZW0jwlIZpAczH3HyEUQz+5GbG/5naz2r68kLmggQ
oDOPzqPXD6lXGjcONHkb1Qk+37nV/fltQatrWisGpB8NWMrj9j4n5X2abpVdt0ys0rNMUbqaWTAB
jVgIt71Kc+OjXDtohgagnwlCqCUm/egD7KYtoVyAeGJyoIgLzk9p3YuR+jz/a5AbeKRr9+bSFqLs
y8dXZZjBUTkWU0PeSuOaO6GOUbfaxvX8rVCyuAHjneYRXkC316TS4KrOR63SmaeCIt/lZpCmvvoz
9Qof0C5IIf7M7pyf7MbxxkN2p/r0mPlbY1Tr9+n9bCCQwuU1APNFQPpxrRBknrNcyRjGI5QdBpyC
4a06JD8crw+Gk/I6BxBOijaZhpevtXYbl1ZXZ39ocnBXYJ7Emw7szgiANvDobbUHwbpPHz4//Neu
2aWp1eHvRJKi529lEDOzg4rJqJtrb+SDN8c/P7e0fkR+7SUINBfuFPh3Y3VGJyWD+CAGRz3t1o6s
sDonkQysKPGWMe+t5OXahVjYOv82tjqkA6lryLLHmZfSJlBNw9dQPG/IIxilbuU2Vdryxq6+GEAz
OB/Ih1BQWq+NmM5kVqzNITHsziFY385oubvsbQCV3gL3/5fpyrKXH+ytltdjeiIpujH3VDpB/O4H
iASgx2duXME1xOk3M8uyL+LsxEmoLbXmfVm2Fi0zaXlkvY4/1VPvUVc84Lxs1OauXbkPS1tduUHY
QIQR2Jwi6fNHgExfCXPnFAXR5agkfox8dDpuzcOtA/1fa0WwAaEIcPygVv9xrWSMdWWYsaXVzy4g
UNvy62jpJI2214WYn90vGe8WpOvapUBdlGKWDH4b3eZVlg92HMjTNgSDhWdyIEF2MIMZ81fLSrm3
NX91xXPDmGNhtBmwfuhDrJaYWxAMhLoDCqt/lUD7NJDqAKOR+/lFv/LYYQsxoG2bAKz+NnJTzKZV
iKpbpv2EO5eJO2Ub8ei1pwEIwGUMeJmgxuT7x4VAXFiomqQ4/odsV97gU2HIRrrWvXVc2kejp0Tz
GZJK+2pn3WXh1j5ecZoI3lFF1yxMLgAl8NE8xKahaVYouBbS9kmiQb6s8Mq6Osx0S3Tu2ieDOpqB
N2iRMVsTI9B+6B3FLAvPGYevppBHmahvGXBvn3+zqyuC4hcFcJJCKW11DDMBARimYkX9RMBR/szJ
m4j7g5P8+NzOuqb0fstMulASLtIiVF+9N9Qc9WZI0hy8OAYoQFOvfVIewPhxiy/2NBz/X/zkpbnV
pe44Zjj7TsGbk+nf5jLegWwkqtrS/18ua7V/ts3A3S1hh+3Tx2w3H6HWEzSAwqMpHULxeeNzrald
f22jZWDUFdE+OLBXEQITCO40CtIK4dNIOZIDi3SXRsY9HNcYguH1wTnmByWId/wtXmaxQN9E3DJ2
dRDJ5H7ib9GQXHXbqNz984tWH7bsGjaPOnoORhwY4Grc6Ud7b73GmG7xWmDjXChvawG/T0Jjs2q4
qpX8thurrzzlSLN1KK/DdTuaL/fDeanQGI8NEC5BNXjANQbxN8xFpMAHevx1izzomsczUbLUqQGF
EvSUPvqDtnEcEFWy3LPaLDKRgXcYNvv8hF03gST/3fGQ99fr4iVuoeSUWyOWmCbPiX6qnfvP//51
Me/XHr6zYkE04HexOH0cIPWkI4MwBHJ8vPQext0P5i4GC5HcjR4YC54NIHLDLcTQNQ9nXhheHRwo
q8NdNBYD9uxltF8IuWusjZHc64fzwsbqgDA6NBx6g0sY3+w1H3C5LFA8A61eVz8oBxuci8xrwq3h
yKsf7cLsyitAMb3P8gFmZQcy4MzwxnH/+We7evIh0A1wAQhF6LrYSxGwtHVnL5lCslvYsZK9Esno
3xJIvp+OJeRE2GBhCGXN7oG3XhQKjZk3fmOPapAfIaEx75RgaUGovVt+H5+yzZNxbfsoiOfAcI6I
D9KXH69V1gGzalUYCe4McPgJVwUt6+fbd+XsIV5HaofSmQOJn2V7L27VnE0yZSY6HHb7XIAKaNAy
t+k3oEpXlnFpZE3m2OgOFpLSDHrQzyk9dluD1NeuLvhWwFmz8DmACmh1uqe2IVAJVyHfDZbmJbOK
oPRBHl3C4fl+KXNVt5kv2GaWdWXuTtVtzAloS88NFIEr03lXQuxOXdLHMNkBWeuXGPoCz7bHv0D1
+FSem6P1VLwBquqXipeeu8Qtv9CN4se1r2jjApgLSSEgYatzQkRH1bklmQeY3gkvVARJ4C9KrAT/
/rCAEwDdDkBGwFG1MjOLWtMbYoOUzUKypcbuAGAt1CG23vZr5+XSzsoh8mbONdnCjqW56kNZ+oBA
7dLH5q6O7D2/XYbt9Eh/Hohb/Omch2Xq7qydxWZLbGmlrpNa/fKHrD4uXnvbmHT8EP3WOcmwC0af
embuocSUhnynmG75OEa8cPlN6U+7dmfcs6etWPtaXvbhV6ydaNInGRtxxKxbxBWAjyxUULE/35A9
AewbGJnRcLf7L9cP1X+/9so1ILemebYsHhUqj2EyOWsdv+b1xruuXfHgF8sD9d7KBS2Y+t7UM9wb
TJCfsofuZniY4cvhXH08uj+nsNsTNIBccd4ig/58jeZ6glGjgzEmKtZY21/0NIzrO8bGjQUup3VV
GfmwvuWQXbhYu0wKWuSwUYATijOwPasvLH2U9Raf9ufXxlRXQZhAw75XoBmBcn7nAkskmo0o4vpu
OQAkUPT80W75uBIyy76BM4SvA2A9xgQgmnGgrdvYr+vL+K+VlZcBV4+oa4bXYhQvPANNd5P4n/ux
azUHfJL/mlg5GDpxTcsKmKD3oDjDFLq7EFAvA7zzmd9vyVBsLWjlRZRijEt1xraV1Z858MD/knhs
CU0+rGblHwQm9Mi8bJgKEC4Omiu3OJGvHmFwg2MGEd1Qsm6F2s5YmZicgVxGr3m6TF3ZfVfkS7IJ
x1224re7cmFodcLK3mFxn2GrxoWhLT7ZJtK16mdiFZ5sxcY7c/0YXFhbnbS+Nm1wa2FZRpTsxO18
RGnvSSBnpWjqoaz4+am7ensurK0O3aBNSNMcWOvkqS1uiiZst7rJazrVX0fhwsbqqCU2LfrGhg0S
ib16KB+MAMhKsK+YwRDVEXjpvCZAteYOqXDq1iEYVcPtd/Pqgb/4FasDqYtm1LUGv8KaNfALqS7p
ivDzzbz6aFyYWD1OU9sKU21hAhP2u6Uma0ZG2Gw3Ihaf+duBXCimwViBGbU1u2RGZtHUHHbM2/6d
HcoK8r3tTv7SitgeNL+6cxfmVi685XI2e1BNe1N1nNFinr9/vm1XL/LF37+6X7PZVMlQKlgOITul
EEFqWoHWYqQj27B0NSYH6vufnVtdrgyAbLOT2Dkj0sIzupeBBR4oN4nGwxKRL7AY+lCGW9XzrR1c
3TJjQI7odHgEKaPQROOuk3z5fA+v3uN3QVTzHWO0ilcKTYnjlOEbpRP0DcmtSTrM3r1+buR66Imm
uYY2EZ7adazNYlRZshh9twV6xk7j3XxrRKqnh2WQB8mh2ckD5uRQY46/QKMJA3RudrvV/LvmjR0M
ZiGUAEssFvvxvYfTrylTsVJzSt0hQW6FPgQtzsw49ckWmOratl4aW304vcvLOV8+HDRBoJr6WOpY
ubOxrVdP5aWVlYPESPWocwEr8ttwgNagrx4wb+3pRyWY7iTGBJ8Trz9vi5heXd1C9gV1DQsCcCu7
VMCXgeMXLrE4tey56E/j/O3zI3P1OXNQCUUFG7x8dI0a4e1QzPaSBaMFZ0dDlLw6gGhphUtcjAJv
pr7XakoQ8AIzGhhckROug+dRTlLOy2Mjv08Heugi5YYfzdfpBf3GEGzdUVn5ny/x+i7+1+IqlFbj
Qu0ZJmg9o0rdZvohoJ0gMB36uZX3LtDa6V8ubOWFpaOVEF5CQNUGCyUgv21OaqA+VRHw5PfsIb5V
oRWGzv9d9yXb1KdZHsfPjK9c9CSNxlGWoMRM82MFDtnWqXe6ZL5IHb+rkeSPk7NRoFnTa73HDZcr
Xt30eDBEH6cwOh3kXt/R/fLILRpoW7Hw1S+I0QW0P4Cpw2DpR5eSls0EUZTllmdlNLSdm/RGoPEt
/obrd8GwnYW9DxyB62rxXPClA4dAkmEAGYL1XlzXeHTk8FTVFBix+WGegLOz2HSfUjPMMajgUrql
ZnntMQIa6Z9fsfJpKeGDEy/4YZY/WfptUT98flK3/v6VV+HKOOjZEgVhbustztTnorM3yuJbJlax
XCaT/+R8LeTnE/WLYBtEvVsGVpGc2UqLNRr2SLTVyVTYHoDereN99SEDzRrEf6CajhrZx1NHDaYm
TYewp/O6wI7KN/vwTqeN5jb6QjWqDAuj7Xb99uppBx/XgtQFY8976eMi9cdQCPSU8Ik8QX/qwAfR
AooRSrJR/bvWUgSlyz9m1l3tjskmyQccg5jrz3k8BVKZD4mBaniXhi1LwX+o9Ede6w8OXgg309lN
2cQeGCG2WOw3FrxGYfWiVUBFs+RvzeT1ySvNevAUb40VXb/dFwteeZF21gEno1jwLy05cLYel1Yj
ylTQttlq7F2LmS93d3V48N04GDDwERPxs8TgEmHPKqRmRDJt3IStzVtuysVpiduOKg14NLyeoKxa
1K45vQ1T7n/uM65aARATVI0gPQbpykcrdZPmXTYDhEToN8m/GWC9mDJ9w8jVsjj0Pf+xsnIbmiYc
maU4CH/jZRt6pszPAvElgaJa7iKEBVwh6MJlyq+wQKTi8tyNwRanxp7z+L9b88rHlFQX2iyBhSry
k1ohCAOG3eJ/fm7kemz595ptdV3IzCF6rszAynn2eaEeTQIe2nvQTUDcU1+yU4C8lBBcNN7ndpdj
8VvA4EBjzLTQAABQ4uMHJbhwv1C8zMyjfGReapjB5yZ+mzVfgH+QkTLxj4HEY40CROtIjqOJDSQg
sWmDlNRKVBncjFqRxKCOzGiduF2r2qE55TmkGDLpkwqjy2MJ1Yws5dgCiIeBMtoWu2UExDX6QrsT
Q91jsHuwdxu/d8nBVnsCIBpQwKhZQZl93RCZnUrOeYFPQaI4+iV9Ve8ZVDq3Gt9XbtMHQ6sXHuqZ
eW9x1ObVmQ4LkN7uCj9ByOx+viLjXS7j45IwzwW4DdQsgXlAi/rjZ56ypB5YMpYeF0RLvDjJJh6A
AaAgrimNGLWcicsasmy20+C9UdQvDWnpy4SHCUQtVk6ol/YzpmytdrSPc2c29ymGe8EKg4o3CFDj
b42Oi+Lpdt9+E3Oc30CqxDZd7ijtnrMOovYZ2qy2Xc/3o+HMrhC97iWYl+aYyDCH+4zCqWRgmb7p
dFS6Nabwn3gA7c6dZYIyq2XTQzXqgz+OnbNQuYByuy0UX9aG5g92Pe3SmYFGH/8KZRf3HkOhwq+N
0QpHPqYaytpjpblaXejSGyobQlmOlmvgCwHGxdfnPLu1Z2kDMVrm+jMpyRACRV/uQds0vZZK3R/R
JkSuXlg0eaoGR1ZuL6T20Belfrad6btTdWiKN7T2WzBWRXqXgcyRZ/kt2LvQ10sqgsEXgOHmweh3
GgWcRDOLDsl/ObTgC2j6aW/0Rv29VHv8V21swMQRF9OpsaEJpaktErNxxmBX05ITAT+N4tLJGtSd
LJrmW6uI9K9BK8RubFLyIDvNibTSaG9nrVFbV2FN/WYCiVgFNdVGlDZmUMq7KLA0rlVUpUfbNAb7
0QjdToNo55LM9BbQ5My6yTKhokoWN46MTEeZ7sZkmntf5EWt964JQQZ5aFitW5EmcJl+WGD5af0R
IDbzZDpxMZyYTswiSEAipAYmFA2ds5bWqRkys57q42xNnLShXSuJkWKKee5qkORVaMmV0gpL5jSD
yyTTWaCrpf6tV7Q5qp2Z+XLCN3PBZzXt1VzUmTtJKJ16nWqZkcT2HecyN78wEGOB3tC2d11rJYGe
syEyLTaEyATze5Lx4i4ta3q2qF18w1Qi6JfrjvvDEg6XdW88JEahHWIMcYVmXGo7npvFnYbx5wDz
At2daSp1UCQdccHk1TluBWK1vWwtOyBZZr/ESq9TzHK1vAoa7hiP9ThkB8WcGESAhRkqZpv9sGiM
LSS0bb2WVWmYZarY52xhXOusvHmwldrYq7VmBBYg6n+lCmn8zuq6mwLXfAS3uEJ2uupAf3fO2Nka
89of4BpiF71JUMVOLZ4SMeWPutVroT6UxrnTFDvxWlQaUs+S+mj4xjQP+6KEnIpOc3Kq46E4AmU6
ehkzZ+5WVl2Oj7EjjWjOk8G6EU3c3aZxzb4pektu7L4nnl1NgArxogA1V1nvzE7MgzvqjnytCu4E
jZHzNgCdA+ZdOptDomiyyJvBZ+K3eRo/q7XQ+sNkjumZZZQJcC458ojaFmERpPOqr+VQJXtcozLI
hqreCUF07Kxlfi0Jz+55qrC7BTBy305KjdxMBXVcUQoVhAt51+4aK9FvSNc4d3AB1DW0qgoNK2F3
sQr9S710wPHdm86+ZGp8TudG+aLzuLyBL5pOSiLtPU1odgLdB8RUY6Hv2gGd3BaO8Ged9EOoDpqM
ar1IohaaRlEMYubzlM8y4LmaPvRJAVq8ZFR3vTUVkaxy6tddJqOqMdKo6Ex+SjPozzMC0i1DyAFb
JGK5tyWkXC2nbA9pboBJxOrTkJCmC7o+66JBs9mBzTjMfNLjcMgIyiaSgOohjx2QAsZ6i/k6zWjb
nxWLZ8sFtZAV5pLlp5hbysNg0T4qnHF6AgEeyE+FmTssRIotbpu4Bxcc5kuDSRCGmTI+R5niCL9I
ZYHwK1bzk622yTkbMpANdkrzrGLeLYH6KwXt3zTPQc9seTCqif8FrpD+q4Riht+KojsMTpVGk5Uo
BV5+I/06dE53yBJFGuCJs2mgT1TetUZtvahVhx7hYLDYrwqjeExoDghcpzPiKhDvDrgTa486WAtd
4A26NyEysChXJKdPJk/Hl0YpoSZJCDO5l1eV04eNCXGdpJIi97N0SB8ykCr6hjqxsKgmvXFjDSRI
FDJCd8P8MoiyjSQ0178bKh8iPpVQ3ICsp/Y1aURB/czO4idIMACflBap+Qh5Wu0O3lyLilqogaOi
8gKkaXxTVHrhmV3c+tycNRkoJY4gKBsJ2SeMFAdInjdhr/DuQFuHd542CZRP+r4MZm1wAmE2PKDx
5JwazA4JzC475p5psXLup8E5IR6vjtbQqHuuS/6nYxZJqKg1SJRVbh5KbmZhak/spgblXIk3o+c7
nsXlrWCTtjcHyziAfyANdWHaniy6fldJNkZKJ63H0cbLQCvIX7M5RuGors+aySFtb7aKq9MCtMDL
WMBQgE6vYp045xWP3R78dqemq8BJ0ZNuDy8wvpoNKOOkmZjPfZXmEU1n+w1wQExmQF4lMtWGwoXh
9lVjGoeGnOfDLHq6N3uj3zvMtkBTRKFwhsnf/NmWU+my2WAu19oyqKE26JYFrvyY6ZCtLfUm0Iuu
eIkTKz/OOf2i4+1xjbQcIWoCn5HgDjMXX4wf6oQCxgZwUaCoZr2jioOS+FwYgGrwGuQ5cW7vdKcx
Ag4+pn3XNxgCVvW2DmcgJn9wogCnyO1ifKNFqp+BUG/OimGXP2bchaAUFQuGERGsDd6+A1WZ/q87
6gRAaeBIQMUKlvJ1hV0YM7BDY1940I4Jx/RIlGqXKf8eGLBYAQwPCCXM8KwzBBs5ZcfspPTUSXUH
9QZztRvh6ZWMHCYwewk4+jsIaxWdJlXS8IqrBSjQIb22T6ZzETrBEGp4NY7ssFVGvIKJ+WhvSYou
cuWpEL3UJmyceYu5a/00u8wHTC60MJQRYDw+AU7zP1Dq/09c8X8A8rlIR36jrfi/35sfl1wV7//7
f5gqKP0D1S3UtiwofuAk2xhq+g9ThaX/gRLAkjY6aB6BswJG/maqsP7QML4Gbl2QvmJMAtNt/2Wq
0LQ/MGsLlm9kmhaoxTH39i9Yiun7JbrInBbNLBxMG+Hp0vuD/vfHs5KMlsydIVH9lvV18dZqyrQX
+YCh1MqpqOKC4zo52F0vdxZi34e0VMtTnY/NDhXi5jGZO7wrSpVZt2lSW1+HsgTZN2+BD6jpUADe
PowpAqx8kAfVEnnQcyrRZk/0Jqx1JU53Nc/hZQxNtNA5A+ltWmtQdocSw6nClA+aGQ5rPQdvwhnj
0tNpLJnlQVaQ+OrYjSd7ouaP2Z6cuyKple+gjSyfhToNByErvOvapAcYk7cCaQ3FvoWS/B1QFO0+
lX3r4bUpXR1xU+EBFlD7GCfVMchuSDVQJloeKgOrPql5T04D65p7Znfmy4jM4M3sARf27Lgxvg4T
5/DPSG3uZ0fXQiclchdD+MzFVvQ2EomkPlhVk+87SLufy0bvwqRRyxctN8n3cjTaMFGc/n7I8/FW
1/t8PzNTPZW6UYSTWqT7ieEJm4qR3GbVKG9qiMKGo6onz63JUXJwHN4DPp/lRx1EqaepkbHlEmUk
gVRRK7KaEjg4UpZfTFVagRqnyQGUQ/1NAj0IsLKrgnioFU5RmhCozhglCbMunc6C8jmwbJCG1FM/
7zueOIGB4xvEc2d5dVK+qoq4GyfSRhqXmjcbVPp1DM7IIR7wGhGNRcQxdV+onVW6I4bRfKswAKwo
rTKAFPscqnVf4B1t8gdSz6qfjnWNHzChPiuVxue6nYTt3FIvtwp2KBxN/z5n43AATZRgYFV10ABV
egUc1KJ+nsHStKO1juHpJkNk6LRntN40vJZ57hM6dYeKqKXPCq6BK2SovAki7g8deoW7UkzUk71a
Q5BJ9He1hCZNyYsJD6Gi3uUiS+5gUoYcny+MuaIHozmpX3tzHuR9moMt91bTBib1vVWzKnstTem0
RqCQOW6slxIjcnUdmFWjZH2gKIgxaw//hfeKbw6VzoHM1BSAoNyRcL0BkUIKCcBBPkxZP83ZkeZA
GqIUBL7YXY+itY/Dke5zaVaPCld5YCS5EcYT054KxRL3XVJpj3Y+4nbk07S3aSa/8hG5mDuAUOYO
bMNgpmgm/bsJzuCXOk3bwAavsDdoqb0vWibCCqcaI1k5b45obVinGEWvyu2QfjyXQ9Mf5rxtgrYw
5htzcMgduNnyF7Q/McQoKoQdQy9U4GwN/W6u21kFkiIG+mSq7Rs+5kPsmiJPUf0o1OYWCapSH8Qw
t37HZ0O4lcxNy0ONQn/ti7y/i0WXH+ZiNvadxcTOKhyu4BDRIRzzHplBP9Edkt7pvukKcSZYYYSw
ugC/XcuhuMD4/FdaF2SvQ4ZnnyN4+IIoErMmnYHLKSbyWjdq/2QqYNBwLdLm55yb1b4glEQIfe1H
U87i1knM8sbq1CrIMqbfdXbjfBW9ykBri3r089A4erLT8sziLjSHHO5OCq9/EKorT7zUsnuwV/PS
M9W8+RME7dnLAJYqMMZWrfhigczGhxAA2FDmvGR/cSRVOHbdrKLTLkzQXeij1UdqwTo/bZCSgKXZ
7NEUJAwUuJWqtDeplaZ3hVXk946NWnhBGqt2IbVZnXMQjt+ToR51FzwKaHLMaU5LfxiHKpS6zP/U
eRPvhZpnQarw9BirWfFUGUl/LECbvksTFKDA0UWpmzCJkTmB+lRrxvUNIdPAQocozRc1nswv2mxC
om2yzDfQgagg3nX0Awo74rXQ5xoFM7MD41gD/vUAZ8jZ6xk46YGZ1RleDdy3xNR5mPHOuakT1j7r
VlpFTS0N1HBY7kRDag7fK8XU9sM0N36f1cmp4UzZ1aOIQwiOlrcoKqd+JVprl9ki/o4OZhMh3cH4
YoYv6OHnU9T9GFNRU9FL++CUeeeDmp9jYHzKonSwdDhwYso9BhLzMMdAX9Qm01ih4qLje0iBOTSm
8l2bE9DMz0MeJinFq9eStLlrpEwtN6ZNfyNLVRy7uu1um9kcviEJoXutas1vNTFQuGJgIG3jMpMu
Lm5yk9WVcbJRg4IfS0n+U9WZtXMGpXqlcAG3Yw8+R08Mib0cS36WEx9CCXcEYoUmQ9TolPpjEUv5
VCoOwvas7MbDkLbF16LseZB1OSqPs0K6KCOk/8IMOdzVk9GEBqm1s9mqyg7VA+PcmrUIU8f0VIez
FvVG0jPnOwclubnHn/UvgPBzj6exeiPAV4EqDBdQb1FsI9RbBWUpQazYl0prvHWV3kVlwQTqlUMB
T2ooR9qonY8ciGIt1EAhEAx+8ZM1KwaKHnKwvaLuoaReEWOO5gpUEZ7FdOWxqqV2D0wImMPLpMTQ
Fg7U9D0F+DGY8FD9GaMg+rMz2MDckiMPdvXMyoNGTNWOVmXxHbTvo3TBR2nfz3YqXCL04rbEzfL1
yix8QhSKN3/UzpS3kNhNmtovtbk7OBkREQKCZN9wonpaTWywAPZFF0G5q/bA2GJGdT2pB8seEo90
Tv3V0lpQXndJFmZt6qB0bJjHthT0OIP8IiQ6Nx8N0sd+7zRINNNYD7O+KQPCmuJGVzTzRtj4SJiO
i/cgVQfrbkPbaCJ4LWZF0fwkR4kxb7oypOUkdkQVWjTks/ZMHSu7mZuyj/p4Iign1SJB3jggaxUQ
w0DIltSg5tZJWQVU0PiIMWIMZNej+Zfaasw34gwgx6wVza1EBZmHRLEWfWGrUtRBORmxkaNQig8/
+g1wFRDMKX6A2cFRXWgyGDpacFb/BfPCJPFzS57ATI9cvppTitHGQdf+1MCcup9baE2zNrH2Wtfg
GRkEyDNzVC5dLVa/VlWDFBuvPyjDNftlaOs3DQoNr1aBARUGZvAwB4PvG8S3W8+spRM2KSWBPU7w
Wb09+agXyHOeQV4nhfjvySK5eooTVMkRyJVfY4gEfKf9aAV9a+XeyHo11HJqf0HVvb+TwhrPDi/Z
vTK0CFPiEiqDNkJaVyBQcke7VW6afE5CoPyTOzojP6TxUnNLU+JAaVMae1GIfGcOtEHpi44Ha6Qp
Rsco9WnTgVkYH5ifC1Lnf1pKYvsZN5JDAXGHXW8Dm2ahUHyX1mMV4PGmpyZxdH/S1N6rxCiCuqVo
ipVsPko7b/0aNxVuX+cv2jyNIUhp2JEUTeeXIjfPjEsZ9lhAiNqpEc62g7HtWuv2kBcWUbZwxE1a
Xe1q1CsiWyQZJCFo5c801w8mesWREK36Msn4f9g7k+a6jWQL/5UXbw8H5mEL4I6cREnUtEFIlI15
nvHr3wfKti5BmGirt68jOnqhlvJWISurMvPkOfnvkK9poW3VgnSE8350oZhL3Lb1/F1LqZqXD03e
MOrOM5fkQREyY++Jg3UyA0W6bvRo2NWVFO7VQM/eGF0uniofhqp0TNsdMgvtrucid3yP4mzUC4ab
6ypCZ2XtneNGQhTKrzXHg/XPNo1Yt4OEt3w8JUC1eOru+jT2d1pGHTNLgukgcLPd5COVT7T+ivNU
CwbnjFGPoQ4tW8slyTYTs3zH/8U6STyYjkVFg6bNuFwFKQVkKSme6+uUkdX6EMbUl81Sjt/reU4Q
bNXsir+d7xSF4NJo+AEyP8Ox18N33hSYO183e2QdMpdHdn01cDGfK6oVbldNsCAFpbXvYGM65QJF
+c4M1V1V9zmDcINUu0JXSveCbo3vVM+UT0+55/+n4f9LeWnmePlnoaC3Yf4/h+pr9v33//kOh2Sb
XGblf/7tP/Ny1frNoANKWYn+pCIjzfh3Xq4Zv0HFZJGczMI9qHfRtPwrL5eN39AFkpnCUUEHMJ0O
POAvBklF+Q1+djJ5yJwYXAdk+G/y8gUmB6Iu2tWYYaBAB027pJS3ejgaml4a3Fk8oy4GR0kqW4+/
COXDBOPZxTa9+ZHsX+r5qEuMDHUJ1svlNYMSmIBbSohZVdUUQR+X1NeNu5DOSdlyEUdqZtr50FI+
2Gu519W5bQ6+IfaOUOedhQRFK4wd/dPKpwfhoNuSM1/YRjTO4srjRUwZvsTrrbg3009j69d0vz0d
tkDkuP08CFOUW+IxbtABrYVq7ltW4vBGbqDpfxATTWKeORuHTkeuuSl8lJtNz69zy1XMZIoCp52U
vAiYffD65k6I/bp/L4cS7R4rbsXxyExBYEf0LtUvAq/F+q1cRKb5JpFN8U1K//K6l2tCETwStAml
KIP8Vpc95RvbDvNwUvpv4IjzYrvLm/YhCQfrwcio1ti+YpJfTEZdXHdhUdzXSu//XgVtlblel0uK
bZUBVAmiSCvZ9bMGORMjNsdpH0Rx9ZjVUTzRLS482jtqTfdSSUPtbElZrDpy70lveAMKwcHzU/Fb
wS3ROaoQlO8nYxjeJygy3Pf0DB8nudQ+sPKwtKEaFb7PncfAEbVMuc/LLkc7KNDKfS2kkXyIUMT+
MIyT1X3Shwj+r5Hav4qijNDCn9WK8EGldBFam/Kw/6VAnPg6o1CPOB6oY95WEJySo0mMwr412jD6
KrcRIhFS1Gm9E+R8Clv0y4K3HARjuZMJHlLKWTpCmFe0nWW6Hb0P3/Ziz5Rs2Qjbntgey9P7oB5r
3maVSWs8D/y4cMZ0yoyPViW0o6sgZkTLRBsH0MB9YdhZz0dzBstIdoYa1Ie2q5tvZSe01woVdWod
jRzyrgniaNwJvRl9KZNyzr1jTojdWqnsnaijV907VQ/pZnlmXNW7sWnNR7qh6mBDKQ1V5OSZWYlG
bN3KrmXEmb5P9SYzHKVoomk/9QK92Q5uetnR/JF3kK7XhmL3I6I+yEgZSeJmo0z6YvqqyZhtZSio
WlYFynuII9FTaxBVSVzBMkbVSVCD0ZxJKUXZUSSygEPbV0LvwnqYGHixyYN5FHtdPFSKSEdcRY6Y
OWHVoDsfWTAOHEsyDZpwSISMbgy4TXVAL5UNh1eQShfnSVObuY2Kyq9q4SsJ+jWWM9RtSXNbHGjU
ClUVf8SR5HZfqM0QHiNRTGsnbAxIYy24lDWn9nufqgVdPo0OsJHGu5DWa8WcU1jlNL1G6RFNj7Kx
TaXQP5eTRwtNLDPv98ZQfGgAPSEtnLyqRGaH6HqSfUGkqdueJzc8Q/qB0d9eifvWhWsf1EQ9MIix
Fz2JFLo0I2svCUPnHas+pZHl5WTJjq41oGLjgIaZC2/a8D4L80Z2EB0Skp2J8FdrN1IX8H5lVNZR
PD0o92NWtxPyNqjyuFLoK/E+FWuj2Mm97muOrEao/07y/D7oVVIwPHJKwqMiqcQnPpcs2mKRK+8q
UZ/iO7HRy8SRJj1Eh8iEs4ReNyU71zfMSTsKVc/jaWzj+R+u+zQ/WUrcpEeSjVw4dSHolN1Al5pq
R0ZrwO1p5fgOZUEZpKVgJpAaBVNGX1uSMgtmDkvLd0PASd31XAwkpkGYABJGzBjGr1pnoDEyxKwj
oa2a94NQ0yid62wwkIK5F0AieLp5HXUWkTvS/Ax2dV9r6FtWXXYzGT6S0BPjGkxPaHIuEGtVCThW
MPhvu3jIznQtDcP2a+b73aGP9eCtWtaq9RAlnUInKeeJa/uq1kQ2zEJGa5tx0PZnK2kUdaeJuSzt
aUWI5UNiNVmzb0rgNp9UA3HOu27MsxAdH4F3bxEMaXU0hV6ovorGxPxnEqZa5ppj3Qdfqpbhh2sp
oqr3PfGLln4Q7EL+bSVHAlVcI5t4aIbU4uEc7lpZjN/kQl7Jd1IPqeJZBwMgn4QUBYdbPapawLqA
PILWycSY2ZBGboLMTbKhQBiktxLDVkR/Mo8zF3F8lnsq8U6pyMStrFD9By8WOvA+2Zioe14ZRmET
K0FRlJVpvptkPXoYDU9lJq9qxe+T1lKeCErdik5wgPiFnZghXbjAmmtKoFnKb32Sx9UuJO268+RC
dQzQjW/L3hDvPKrbgavUU3aby4b4nQG5KkClXh4VuxJFJXXMdlAnOyurkl5gJUTqO13pqg+gqpsC
MQmZYluSjm11CKsw2QkK3UMbKS9Rc9AgHqc3vFzHyKXJTVqhROAz9p2uycU9jBuGsrMCa/Dc0irb
GikYqeQdkhcVilhksIHopKERaCDZsqA+ekbShd9nEWUKO2XIqxkpuJiMWg3j5BCnJorUTYaenRN1
QvKWOqGA6N2YS6rrQ3Kl3QHWNoZDGZrp27jTZeOtqjTcIMFo+l/lEcQC9PhDpB6TTgWh5Gdxq1Ks
F8UCnrGgzOabgbFIit+pmvfhoat7Qd21baV/rAsr6W+0vAPApBZBnt56Vmp9m0LAGqcqGaTi3vCg
tdhpvHRKuyspGl+VfWVQ1AxBcgDJy+LgpA0+4IiCCiuXRJtnssYbwEMwLRni3CKWK723K0pVDD4a
ZckrhUZrStM/pubbPvTc9cVXBoMk0tURAHBzkEOoe/atVqrzXZwPMbH+T2qT/08H/pdhW9qo/5wN
2F+D8OuzDODpL/wlGmr8BhUEwl0yxaeZSF7+OwFQ6dlB9cErHuZqin3zpPhfCYD5G5hJAG3gVwn4
sjTzsf2VAEjmb2AqURBlYAIC+Pnv/YvG3AwBvmjL8RiHPp55JRE8PoxbS+oR+gyZ1M+y6lORhTdk
4MYHa2iCGz1uxjeVKkSHJK7VNybzMM7FNq1kAwvQ5mwZ1jJZU+ArZHLpCch70TwW6lixwH7wdpm+
DN5nHWWasNuaZ1u2qF9YWYCODTW2AKnP4kUUhG69s7FP3Mi1dgroEqc8ISx0sNwtcZVVq9BSSDzx
+fbi09DWxdp6r/RRrMfqeN/Bm9EfGGzhOceQw/CHcg6OVDaP2vfX93M5rPi01EujC0y5Kox0kgSU
AMZDC3MSgweiTfuR93/4ZRbGlhxeQbv2Wjg39xAN3bQpmoiu+/qvWOD0lz9iOXswtiYQSp0fwaTi
UQl6VDJKwK7fEH/bsLS+yRp0QypXkKHMPe9L9IGoCmZXjCSBvePdm+fhFJ7BRx2LnXnnMW1X3QCp
3YI8rDkt6fffNpcIC60G+gR0z5Zpm32xPM84RUBzwbJ1+Y8KyzMh5stsed0ULF4UCJAhWI6tGHoB
rjjFh2Lxi6Ah4f5RhHXk9a/15IiL469T74DQy9BNRqsXe6j4HrQYLZ+rcc0D6oK1E+/Sh3ov8hwM
be1gnM19f1U8ppt8KvNOLS1TFSEAwlUG79EcmC6OiBSPVMCeDiY8X5M7n0rTNXbw6B9Aue63tIZW
/JJ0f8YdUFKZ+RqfmxvAG3fGLJMBUtCeeMsEJgKX4vvQCLf8cgF7n4/AhSn1aSrjYmUpOUZKeZbE
x2b8Bq/0mYtXmMTcIuh9OkzP9tBERQRefGSfod3i7D9flF8FgV9EaPVG11JuC4/yV+TnjzTlbvTv
xpdr5dxej9fjqXuQPyaHniO54T6LywNUuQrXF/IOCjgSME0L7wGe58mgmngZhd3emw6K9i0iVQUs
ce7Nyun0DaDWS5aaJ4NQcIG/p3C1HK6tDdCHZV/rtpy/K1vVBmd3yklRcqMC+yHThAN1pCeHzKSD
3HcHq7b2IRq4MRJeYaGe0vqjMXyFttBOy2xDtOfltM3zH7ckctfRKiimnB/XOogXAzxwynP98K2h
HLsL9p0t33V/RJWdfGD0xk3u8zfyMbgZtzi+V78J8BscA/J6xuye+0SV1UElK41uR/XJk8wDx9uO
W8BzteCITW3Lcb/hBS/peeeFX5hcuCHVuDYLU0yqNz4qU7AM3Fp7M7LptfcSY301xEGk6ltTH4sj
/cP7LswurnYyJ6PvEYOzEyQ4u/Azc/xuLn+bfGNjgSuG0CGHjZRAJfNYWUCXrBpUfWO1Bh26Es3n
yc4lBt2mq8T68Ho4XlRj5xXNxKcKlS6mZQFyPf922VhKRpvz+2kCkBSLYeqUUeRqkh8yX5BE78Ta
3BhbVPknL0LIk0mNZ9hMJkZofKrYXgSrkMJqHiLlAVd/fh9Gt82gbyzqpUNqPGHnWjW8bPqLAXUN
DDUBGYEUZLXp8Ebase28z7k+nWu9ewhl89jF8fHfbiQ2sQbiDU7HF1RsHcrxMIpjs9bkh6jUz0YQ
3qCSfg7N8lY04++vm3u5ic/NzQ50sYlaS8Fw6IHDZ2gNT1ZKkeFfChFKIBWgO2Qx5qz4tCycGw0z
Z8B50IwvzBvdABYCo5ULVijZuL1WlgI3gjTnJSZw2OWQrj9oZuZHCOFRqQOnEZ8UpdqYsNwyMf/5
xW7FeleJ9Ak1oM9KD7xl2rdB8vj6F3l5ZAmAIBc4RUBhEaR/biMBIZYUMnVEMwByGNKCq0P9WjV4
TlkTdax/aY07H6YHiTeoYqBCtHwV0lvp26iVbb3sb1svDxxByw9C15c7oVGEDWsv9k9DUgw6EpG+
EaNoS8aH1kpoDQeiaLft5Azlh9Tcos5W5GVUWJiY//ziE4W9oiBoj3Y9lBJwGKmOcpxZi/gv45TZ
m2wPEOgWnumjea3cmzP73f24VxzZlq+yB/nWd0PBqQ5bLOWLFzHuL5kzx9bTo9HiHff8VxkFE119
JYlgRelsxMlbKf0umhLZ+d/p+0pe+hJFrdF95kFKSKRHZYiL01yPDBu3adLb5di316buw0xm5owd
lJOuvZW9PLPLxOx2Si2We5NpOACMbXYbwmjiTGa4lQe8vF75PVQKmOtC+Qmu78WyMzVOyQ9IlDW7
o1Ju6wjfAKnawfkmo38W7q3T1k5v2lxc6TM8aip7bJpoGT8OrrZvD/7Z2KGIqx38N9ExOOf/NmbP
yyTNgUKTegcVgedfN5F6JlR8MkZFG+1E+73zVDReP1kDbZ+m2r3+ked/7Nm199zY8krvKMWmkYcx
BLzOHlNFnhG/p3B7kCLjD1No7rUEkdwAlNvrdl+e3WeL1BYv5oqGS2HWc9HDiikti864KX2+tbTF
2VUnoZ3SkqVltQq6AbjWQD/WHoTium4L3sFq/qlSfcmOkq1rd9nf5YTOy4OkS5YpdqE1/PwbMrEp
wHAekWo8JXXpLnIZDEFGa07qhJO+8Xh5GRCem1ucjBHMWF3r7KY1IKDKeJOu4SxZsOEsm8tanoZw
ZJi1YlnNvt8pVJCGq/CG3rJdntJ99rCVq647yc9dXJwEoNea2qWYi6aPsfK2lr79ihP+/e/Li/ds
lopWXUT8+4NPNT9ovsgiAfV1G+sR5KcrLAtBKii4rtEw0u2zUwgFnr+TPEfbiTmUNpXTN9RmlNN/
aXTh+6XVRvVo4BCVa94PruIix3BVXJUuqjWwBTEA/Oa/tLi4+r3cJEDpLFPjUrAHl8boGcB7Y6Mv
7NTv5SvB/Zc1qD8PGZMUFGwQ0FjWvbo8iYysYJECfcqRQU3EirXs3esLe5GKzCeZujQUQXR8KEE9
P8lil4J3Syl0RZ6O7rqX7EADHDSl+KwkRmAnhRZseMyq119YXMSOotJjw2qFDm4WXTox6m5eW/DX
vX99Xash48LKImSgjjGZWsW6FLoxPpqJtDlFaeP1uWoECSzeaBC3QUv9fPPKsrJiKIs7O5ROPKQc
SEpaOFR/YSUXRhae5zMAwaSy19mdn9Jwb9PO6ehZ7UqkXDYC4NZ65k938RyM1Rr4fYmpXCHmeZXt
U6yf/C0PWL25LlY0/4wLM16VRrpZY6bQqPDAZRFAcqrrj6ZK9bz/lhfvhGLrMb0ep5iZo88jz6IG
C7crRX/GYJioVV9Xe/9WP2f7YK9/n3WFypN4LR7/HGD7x7ruqp9fGFx4YMRoglhSurZHZdxPdXxt
tcWHX3CNCxOL+0qn4V7UEybqwbjVIvMco9UZ6pv8Xqt+AYoL3nWLtHSpfzMGmlHV6bx3oS2fRXID
UgYLOhmQ7ScFMie0b9ytquc/fLGfVhfeCDY/yWIqfHa9q07iw3TMnfDgX5Psn6r72SLs7q/v57LV
8CPkXix04ZmiPCt05vNCr6VPMqEdPfP9dNTd6Qx11TQ5CFEdisMWMfbmUhfO2U5A8lBhm5eq7BVX
Os51xNJtdtFbGR4Virr3r6905YuaCB5TOPmhmrSIXEowGqNSSqNttsFB14VjkahHxjX+eN3M2sKY
B0RRiDwLbNnc+7w86vKYM0EyN8iy66GFT1M5mu6MVkbfw+N9ACoj2ySSX7nSntlc+E00hdPA6MY4
Q5qgJK2L0CudSARsjKRtYj1MaV9au5ppDHPLf+YDt0g3mFNHJIqe7XxYFv7TDvkYSBnLbZ3GlfYA
8ErbCm0GolFJME/9fqTjctD38T656TdbLfNHe836wosmkGADoPXR7lIrSY7hlAIbLy1tlA4d3Tqg
iTozQvOMtSI4ky7F75u6b4qroTT8xpbCNNT//d1FWW5WeSKtVYCyPv/8QiiAZ/dh+pRrhpWlR+a0
HCXaymJXnJmaDMUXpNvnPvoi0nrx5Mm5x6yT0Y6mI4Bk3KljIezgwpj2rzv0mm9RaxRRaDSpTyzf
ZHx4zaCXxrkJg2SnwNP5iRmF9mAivWuHmlcfB7nTD68bXblJqAeSaxHq0W2TF+srVIicYOMcbdCW
51g3XGDfW54rr/jOpY3FVaLRLrMsMEi2IcRuJge/awzLeXX1QJZyDqP2Jiyjj11RDrZodLtYAtCm
NlW5sdLZQ5cefPkrFv4SGgMItSJlSmoYD/O4FxiZky9WtiV++oU9Rb+WSv+sULcswTPh2saJNgeJ
8feOXo7EzMOvWICKkL6ZQYFpGWKh6MiHAQsqLxyfLqtAXvS6iTXHp6IPFh12T9AnC8eIQUKao8B2
TZrPyOGDkPu2Ln7774wsPCNMkiEXJTyj9D5G+Y2BiFFTblVW51+6/PCKxKeAQkwFI7MInCIA8cwo
oOdJmO6WpNsEDGwtfDcm+KymLQXetW1TNCjWKOcy0rdMWZO2YEC45zx5GRNLpmUH1few/+P1bVs7
tJdG5gN38cgFRQmh12xk8lK3NRmVLP5trwB8PbsFgGie+JeXLsx4nAFfNBaGgHkmxLgbFekOktJf
WAiYXkqkCg+kpeZOU2iTAkpz4ILwzpLJ5LK41YxY+yDUkgzqsLKOnPTiqDSTX0ViZQ62EsR3Zjie
c3D5tq/3uvv6Wl4aoq2nQFGLuJRiUjN+/lGSJm6CTmXLmO69y8T2IUrrG5B2737BDGMPEFCD3kJY
/LkZc/K9munV0W6C5CyNw7E0ufPTZKNNvrqaCzMLFzNCXTBKCzNVWX0HSbZrzfZej4yNhvfLRw2b
RkOPqrxOb3TZY4Gst9PFOSjXTfAJVbMPuhJ899tyr8VxZiM3tWfg4d/2jjB4YXPJIjEiEzwUDR+q
KEf6zUEy2X6sbxygl7fNbES3cAWIvAkHi88UVPWIujRxALy/Y9T5eYCZp5KGt9BlbOlfrH4swwBC
wTESCdbPjWUUj7Q0IoyCzoO/QHOZ+9p57Uad6mXUYUk8QQ2N6jp2FjdCEYqx3k5U7weqcndW0aRX
09D2G9f0SqEU36Y1JeHjZITLnSObbRC/UXrylRzRoH14ZgjA0R/ba89+0q3duOiW+CWszQYJQjNM
E4oT5fnumb4P1VPBGKdCb6S5llym2cMdg8J2sxsSZCaHW7R69+Xx9YO8sp3PzM5/fhHEZX/yhdLH
rFwhOzW2+xnu8rqJFSec+106db551mv5TBCKRgG6rFJzjr9k5u9hYx4K6U4fvNPrdlaXMqvwQrAw
o3gW/tfJmebDC8isjBpcw5cBJ+SWtOLqUn6aWAJjtHZklozLwo7rwdGs2tbKd34BwWzmu68v5uVz
AXdQdbqiigbY68k/L76LOISWOGrQa8oz7nnQ3sLFtytDRF6YUjGyeP+6uZeMrLP7Xdhb+EFRjZVZ
+WRTY2llgGhbaBcUN0y6wLzRUm1MgcK37bVIt/u+660MlYNuejBbDyK16puq1x8seOQY/Q6G+GPP
WEvt5lILG0oo9eJXuFMz81c+98UvXsS2rPQznUnjwVbN3FbaBq6HDZ7vp1vs+Zvt+abM7nDxEeRY
y/JIxsTwKDwKsHAEDPPfoGjda3M9HkFyybHO0TEbdmZzlGGrLG3xqvwobNwVK0WG5z9kEfQSYzSg
2+aH1EjGiTuIG+7jwyxFCNvxlXwFScTGk2g9HEHpgng3k+SAXp4vPaQ1L0otFpXWnlGNtVM+5IPd
HTunvG6+Rsd8X90kh63W6codghv+NLtwwxJoo1eMmNU95j7K0jGqCS6jrcf4S27lJ3f/aWfhPEMh
+Ek025k3VLCLvW7ugtaepQBboMXjabgBbAcb07aa0UpXno/JFYlMpkpUXLaH65BZ1nEE0ts7dGZP
Ma1FOGacdMaW3W/p18xB74ULM48pmiLK4RTyn39HOWW4TFSsuXnVnGZho34/CxttFSjWF3VhZ/FS
yzxmSUD6/+iXSoBgm28GFyZt/b3gSp83otVqqL+wtvDOboQvoqqx1rj9zvoUfa4+h+jPtnsYgw4w
1lTbBcx5o15sJAWRWX8dauElvlhUvTw1E0wmJ20/3gTQw/X74JjdZ84WA7e0ZWuxmYPqIx6ce/Py
RKf4rqALC8r/bXXvu/8+wcYZL5a12Ml6EDRPjuadNB+16bFr4czRt1Ry1k41L0JeAZZigStanOrG
zESD4u8P59DoaP4BjUHm0p1wzTu9utec2I0eNg/5mpdcml0c8izrughiZ6ARN8l7HSArsCZEdi2n
2cVQHOxEe1tIfDVwkvlqpsGlDZJ48e38pAA/Whq84+7Mg7KnMhK5Aa+46MNU2cNOnm0esofNXsL8
7y7989Lu4kOmUCRkRYXd3kFTwAme1IShxD/AbHXUNu7ezVUuvqiaNAlk0ljzbsxDFNnBZ3mnHPOD
916/HmFpNGmKN06433LX1aMBtoYHsgmSyLQWtRptNNR+iIXebs/T3tiXB/jvbmfN0m3B0lX3uTA1
h9aL2x8qkGmKIk6hr/i7gnE5WIt3G4FsJfMEbP7XciimPrcxiCWkJP1TIHOhLvgMzuRdFO6VFES/
PUr24Aw7hREbH4VY68Pmbs5O8cJpLswvboe8kjqPSRuezCeN8jUXhOdKt2iQHbRz44hX/77hjzTQ
hb3F4VDM2BAyabYXeA5SMHYT6nbXx/br27r2eL40szgLsSoXGYwCoGmmN8LwmCBzK2bZITfPCRj2
121teCRTGc8/oZYaQup1uEnN9P4p3eUH6W3wQdw3Dtnvlr/M/vDaB1uEtEL+y1+iU3dK3qXOo0az
pXjYau2u3ueXW7h4+oZSDoX6yKpGFRndAtFHplFHZOtz2qHhPtvqXs8//LWFLV646gR1nTG/U9S0
eK8X+Ve/ne6zMtx82G4ZWgQQVRBG1fNY2NC90w8y6nfeieM2vS0f9dY2mHRBWjt0tzb09WBC/eK5
lyRyEyuhhNnCnOwORjxobV53xLXc9OKLPWlyXYSrYBDKqEywUImgC5BASKGg8MxdM2wJBK2vZdah
Mp8GMxZOiIRC3iYhuaKsfdIReM/UDTTc+lJm6RMqmNR5FueXIW4oMhCnsGeisi7P7XryIUtBx8//
pYsMMO5fphan1wpasZhkQoX5JaS/dctwsksj873lPJafxr11yN343db1ub6BP40uNlCBElZtIAyE
fNvbF3mzM9JuwxtWGv1zqP1pY3GApWqUO2n2c+aZDvFVdSdddUf/oBzEvezqV/Kx/2htVGv/IWj8
tLk4xKGgMl1isJlzViWhzqMDYjzBy7aLzuXHfCsrXg/zP80tjvIYowPbW5iT7qisw/4Q3s5Dsf4X
+FODxi4/Qb+TUVslFId/sTf/I/jlH+L+T+uLE120ht8FE9bnUJztZwn1xzmHy++2bs3119bPb6ku
XgnM7Gg5gi2k3/uJvvtJOoYP/kGI7drtdogHHvy9dhqvtmLWahH0wofUxfMg06PUC+Yi1AyCFb/m
nRvtTbcmQYYCXsz+A5H41cT80uTihQAjEQdydqFCceDPtEsn1R3hrf+7+obK8vjJs0U7OCuRC6nM
1ht69VjKlNyMeZD0xXzPTNAUI6nME7p/60ffrG6rQr5lYLE4K7egfwhISASLBg1KgjHsFq/fArPX
vbhHL9awCJ2DYApW0mECbQOec90RnpXDf5Dvr16jF3bmpV7cNnDYCQUcTT9S1Lk8FMZ2cieggGcd
IvsBosRs+1Gyei9cGF3EzaQYwGjNJEGDZVeUyINHeA33FnJYdf2kETpe1d/qY+u8vqer5TeY7v92
jEUsnTrom7MUuxXlBgPup116QPzPRcrmGJF7JM5W7roa2i4sLiJpx3SoHze4IngElMst/zFPkDST
Uv0g1N1RKzZj95ZvLoJpY+i+Ks0fVDzLju5IR4hfsn29H3Zzdh6U3MV28mljY2eHf81bFzE0g8nZ
SgWMqodBtgE502VJmfb1neHmP0geNw7H8onEVKQFkJtdxVscS7zNZBeq/2PsFDsxuvbi6+EQugki
X/0Hr7G35bhf6qJSdrxwpKc75eLU+LxjynKOMMGpo+xIYedWOVjndL81Uboeun860NNVfWGpCuVp
SCJ2VqjPs2QZYnnaW/06D+3+uvmCNsavCPguVreIPbqeIjc4uxAKSKcKjO3b2skdxibs8VF8DG5l
N96LWyOt648O2mZMSTK6Rt/yeSQCz8gcSobVbq/sobh78Hepo76T9/m+Fu3NlHn9nPxtzljcxXBF
NaLwI/D1u+yzcZU85Ub9HrUU0Y1duDC3xpKfmo0vj8lPm4t7WB6SrM9DljiDJ+v74QgL227mwTt6
T2XI5oPyx3xKZ4+VD+3RvGtP1Y3lbrW/1t88P/d6KbcbV93QQ3Uyn9fmVL1DP8UZzu0pOlunzY1e
jw0/F73wJnhM/1x078zC2rWd7NNDdTQgIIjvtq7+9evsp7HFdYaAjGIVc6nQ069Kw3TC+nMUfn89
2q3fXgyFQZQDG84sUXF5ZUpClyj5OD9XA8VtLNfqbiRjV8Bt+O/tUH2EtJyRB5QWF94ilFUtqDkE
+ZNSw+10TyNnj/yUg8DT64bWjgJsN8jRAnUHp7M4ebBJNwYEgjy9jaOSTm6lbjrc2p5dmFhOt/nR
oIbhGP/o00hu6QQmWg2wSe2TK3BzjN8QTDve3iTVWyWJjeUtJ9y8pNMavcd2VhcHwMtu0P5K8WgW
r5ZMWmwz08HC7yorrNQ+F+ckIjx273yaGPEJfYKP25X+tUCJLWIk4/iioi+hQVprKGXRTnMHIzyG
81ted8mQJIZde8HxXev96+6x1lN+ZnA+4Rd30JRFRqkY4zxR1O7mkrQanMN76BQk8rNvEhqm8tE0
bKFxY3mXbqZNK76DqA/ERTPljKYtW1+hGkGFaEist/MfNdODg/2t4TXf8y7daBSvJWiYsnSmW4E4
gJB9vtI80ou2UkBRdF3pVqLxFp7s76LYSbaoxKdMBhRuJZ8rKflshtpRj6L3SZx8qmOGCoHWtqZ6
iwbk769v/4r7MlvN7LjMBgChXDyWg9aTqrJl+QVMdX3vffGK8vF1E2uvDPAWMKc84fQA5Txf9xCU
ooD673wxjTvpWqJRZYjc9zSmd/IVaiq/MBfH+wkRIEuy+LbEuOcWJxG1hM6sf4wQT5CXO7MwlHYf
vp8+yNf5PjsMWynV2vMfm4C7jZn92FymwVHUBqEBqSJpcHaqTs2bkBdGsUtPCsvUj79ULHxmcHFw
Wi2Y0mLCoChDL98/yAxqvP7lVu47GcpQJvwNYvcLBXPJKhUkDCo+XPc17o2PVV64lTccX7ey8t6e
uXSwpMMjxH+ef6zSB5YmWTOrDxFHu2qOMTRl8tVm83l+CizeR8/sLG7WAM1iPfD1ztZvpr0McVDH
/EW1QyTY+U+wWquB5WJZi3sPiZikiHRonFsN/nIUGLosdif5U7B1wb5kCSJaX2yguXhswitnpeje
EVc+UYDZtTQUA5gL4sNMMqW/7/coh7jQXcu77S70qov8XOXyurDiWIDjEttFmd8hAVXaesEUudeh
KP66m6zeTJfLXPi7WZetXNIH41nJAiU72Jvfi93okgYyXeJamyd6w2HM+c8vbiYRcQLVL1lbvZPY
0frAXfhmZpYzyMUC1d7q6K/G4ou9XFzzkYTuSNCzwGF6Y5QyI+xbE4dbX2sRF9FtDgyjZUVRUd8l
YrKvI/l7Ysn7jU81H9lXjpo5n42LnYNVETxugx3Nd1uCPtII7nTk1eJ0fLAeFuG52rvrv20WI7f2
cBFMAgWxLIgzfjS4J1eyk3cmfXVxb+tHGMk2rvQ17Nezo7eIKUNXmBJU17O56lq4liEPmUkAjNuY
EdXGhpsPTGblMFV5zt3+KJ3KjfL2+nq54VBYZNRKXXzRQUGKrSa62PEAy5eU62/Lqnr/+ud8yfT1
FGDosjDXA27y6Ql38TmVtvTivmNTpzsip5Mii7PrjoJoS1dIcTowhVwXtuZE5/ZK+b26QfTmPykc
rDvVz1+xCKhib0ywzfMr6p13SM/+Vf+lhcj8mB46R9ynnxGx+5C743EMttx5PRD8bXlJIGD0nqhH
cyAITtNe29eH1Bk1HjDQTRzjvQev5MaOr5/TnwYXyVk7ilOtzVF1EtGgbb6bTXiAn+j1z7r+LtN/
WlkEVNXsAi+dsIIsnGy3t1TzHEjtDmBiwREHu83DOf+DL8PCT4OLgFqrYS8M+Z9fEGXjcyLBstO6
6HUejMb9hfIoOROjFAZ0qyBk57Nz4bao7EU9EsdAM3LxNimg7c/lu9bLNBeaYDRw8sPGhq566IXB
xWEU2yHMAwGDcgFoD3mrT0Vgt/egwnfAce+Vs7Rr7hWfPtPW5OxqGDDhCISaDmqsZRbTpuGUZzNA
O2N2yNclO8+25u+lVRszuyu8T7oFGcPz7SymSMghn/px/2YlAb35OH89xJ9+h2RyHs/dat6txlcY
GRicBcRvSsvUIVYiJfTQBqNsJz3CRnIlHuQzXPqApfzr6cpzx7sYsTfwfID5kGn6skl4sYKlkC9/
wSLCq4OpDZVGejoXsxCv5A5TDsExvdt8n67t76WlRXyT0lo18ugpTfrygyKURdrabe3ObDLJ71vP
jdUP+tOgvIQV6WM9jr7J0ub3TVo5GaWzOSurmb8+AXtzx4+bIWAtlNI1Y3ie2hb/s4g5kdCjF/V/
pF3ZjuPIlf0iAtyXV+7UnpJSqcwXIrcKbhHcySC/fg7LgJ2t1pRm2gba3QZcfRXBG3e/54y/ZS7N
32UfmAamC7b11RCkp0cO+m7QCGEggsWuKhzkjSUFaTh6MsLiHwu7Oi+1ofQNxIAgfgEs8VA6D0vq
yyu4tXEyxnWBU7oset8m1EBhNxayDQCv+trJfDKuwLh3Eh9Ir71dNbjdZbCWuPz1z7bnrvL8EHvz
ONVEVYe5wL3WTG6jnIL+bsBK0oMVqHvzAqjhAdgQxQLQ/NyWMLJCn62YALSkcwe3PAL2sgTtpk08
BFmI7FoJRSL3/+A57qnNT7k3r9AEr3jDOsgdZ631ZauZAEiZ6EGiisSnVkKxaEDiQ13yFtQ0ve6i
4NCBZHvs47AvG+ZYessehQX3vDT4hEwJdVqU5m4NIksSS5CSZERCWV9IOG573clOHMMoWOvXHP5t
fE8fxtefP/QjoTcBrgLy4MaaILQTT/2EMRTMqw5pZv9Zyj11+nm0m/sG7RB4f0pIUYUKRrYz2u2Q
MnL8J1JUFGiAbQvkypt4QIkHzSx7ggCEs7UpJwlwbotHR7kb5oBKAov3QETFEv7tjXViMpGWIgx4
Fz4JAeYz8cDC6oA+OWqH/wNu3z0T8FPgzeWVZier0gCBAxhzJOttaC9dkbtD9eD67qoCsOwXKBcJ
wNk311eAydOsk2y0DRIY+gw0xjPYh/+JJgC14jeMA4LFGwMqtaM00wXYPK+SYO6ETauXpz+rwf1z
/EeE/NfAotWAgaMvyiYIpiuMTSiBJM9ue0V+cJa7H+bHWW4ujI6d3sJYQBCYPeWORzUHAzJWSOL+
QVp2X+l+iFoe2I/YE1FmpegDRLUeCRla1sbRBGTL5PdRstKi5pGW3zuaqmA9GTVs/Mdc7vinvIaC
pMTgyLh7xc1V0S3SeGP0HzV8zv//a2FuHZ0I+HDs0N1Um6Z+0MB3jDBFH6ldVbpD8tKPa/2Rdb0X
TEPpEJagLg84ixvFU3VWkibXYByu9FIAJiu1W0z6PGFezB0/68ZdkGgu1gW0sf6juPNu2LAU1bDp
DfZ2YFr99Tp1XZl7iWMbkezUXwv0TYo9DqFBkrv0TzX3z1d6twfyQ9ztmu8sCe0C/w1z+wSGRumq
r9D2d2ss4uhutxKeimN+Lo6Fx4J/Uj/4Kfnmlgc1JWB0x0HVCnTJTW6X2YOY4Z4r+Snh5nWDUwgT
ojUkUJlGACre8mF6UIZ5JOLmXU8g9pVyGSIUVtv1sM6kR895uYbbqO7nIW6eMyE6hQlfJKBJNXmt
na/UwzJUDdaF4M/KcM8a/hR185LrvkurzIIukKkOdd6GKUZOBtX4b4+0WJQfFqOImz7ny5Ea7BSo
WLT5F3C/6SdPD6P+u2/5P8/p1gUz9BsrXiMxXspkkxiC77Xq0JOJXQOTPNn75GYh6Hm7Xbd9tNr2
SDdunHFh1K2V/N73Bee90l6kofwHBvHnB7uxFXWaVkynOBxW221Q+DolDvQIw/KeVmAYABstCzjI
39r1yNLYlLSw73qr2EyQHRUMwHH+CP/mrhgNw9QIK4BJe9vEMrVcaBQd6RIf6y3LapDR1teSyN6f
dfxuK3QBCQJWOfbm/4bxW+Ypb2cLbUc1aCLL18DvbZtuhWYMWJxcHkxrQCo8Hj66e7wfYm+UQecJ
tdBvxTNW6oiphqsLg0fyR6O4d8sWP493oxINeIVzUfh9PLoDnVhObQr06CE0vKXhJG7YjqAoPIa5
2x/09eMFs3taj1EBEK0CRAZeermIH487wWLUXFL8AJBoPOtKdZK16oGDvn+XlmIqC4LL33bPO4rx
2IHCTgla4Wtathu6ISKd9GhcfDHet6YXAPD/lnNjehlo5zB6j6Ms3ePxrQP9KQr6vSv75rpBsct/
VBd5dLCbuxNjjKxyjoNpCgHmOOILHVPqMFkP3sD9b/Sfg90Y4AnksApI5HGBYfyUvFZYU0vA1DS+
oiDqzC0GmOnLn0X+Rh74010udvqHWqgSrQZ1hMjBL86gXHYqFwHOCkygm6X4U3ngkdYjYEF+ti4H
RJ3hlFDVxqmAKYEvkKGBqB7//JvuRso/v+/Nmxx6Wkl0uW5UaPJ3BMu+HqVRAugOlErU9RjSR57v
kUbdvM687/IadTEYuau8WhrBzXoOgMCJnefMQ/nigUO/G0z+OOFt+0BIjVlUa8gbHe7KQDPXOltw
OjD/YA+APeQJuVvX+ynvJqaTdSBVScvL1PZolBz7IwpQUKzOo7GteAsX1yMH/+DJ/Kbq+qFXTGO5
IjJI7MjHLCOIpKAWnh82ZJdQ8Q/q+7tP9UNMbVJMRy1i2EbyJVdbJ36ONszotocueGTE78UsP2/x
xu70shUXwjKtY3V1HmgUBIxpWQAksgA//O8kS/568BQeWITb2uEUs3Zki2LKQbyNUW/uj21AkO/M
q+6dVnb+eD/lXnn75ylvjJABUvuRDhAprlqwKQHaYFNGw5PwcLXtbo7zU9KN7Rk4DHlfQZIQLk3E
fD0wm3In24P0OXZTbARoF+QgWAiG39+Cb/TPl3v3bg2gR6OBAfih20EFEyQsQpbAiBFi2SQDl9I/
wdYFBt0PGYv+/tDPPCmTzCohA4PqbrtbOsF0iwZlNEbqS/p78PbPh7pvWn5IvMl8pIJaSrlIlPbK
ZxP1QeLHPgBWADngPS7D3n3mP6TdPImBihxkw8v5sNbDxwPmqd1ZfRSDLgb/b6/8h5Rb/6ubea2B
ntlWUjGY6KGROrs0oyEjNmOtrVPrv1SNmzdQsazvGWgh7aIBbTZm+lUl/PN3Wv4NfzrSje7XhMha
RyCBywsnOLPRqnPjPAmJ+Ai795GoG3eqtii30iXym8eXHoijkvWiCYEq186fj3S3FQAWPRlALNZC
EHjjRWURBJqijI4DMEM2HRgIMXgkhRzQL+be+jXs6j1IFx+40vsK+G+Zt4O+lqZ2WaMiC2I1iNbV
kjfnKjVMm5nKo4bK//K0/iPrxouyKhN4r+B8jQ8OXz/3sGXarPtl2dMfP/7BsidmUA2AhmA/ATnR
jbQ4Yz3GMCtIw5St3ld2+Y/a/ehVYEgE+FpgIbz5YDPIgvNSa/B60V4E+MpeFGyJ2PSKEqER1P4Y
muOj4P1O3QSEMiKyyX/Rnt685X4U6Gyq6IblwAeSHclun5fhfJATPD9qgd/5YLg+DYwx4E5XZPzX
X62vkORyWzZApcIu65Phz2vQo21GjIct6xaPkoS/uxMIA5sY2hYYWrRu90kMsxlbCh54uxOyLREQ
ZxmPWLb+ruyLCDgsTBTISORuzqPLc6ZaA+YVAboSV2+sWhdq/cD03ZUB1MyFk1dfWrJ/vbOSV1rf
tMv36Yxd3NQeQHYTYBQ8Ion8u03HWX7IufEc3BqrTJ0hh82Sq44gjNZ035wBobjPpc2oRw+M0+Jp
/2pw/yrv5u7SkfcTX84FQqdV5ccRwYLxMsOeeMR9hBawPJw/CbvxH3U71iRuICyLSKiEC3oSoNkf
oifdVbkF2VmEMkh/q80MfSbkYEVDJZykl0ESv4RYev7zvd0XYWoLFRTY0G7xB5QR+bs+oSEXt1+J
WTllfv2vBNw2D4DPn+izAQG9pLs6Le2Kff5Zwl2NNgHPCjo3IFSrNx9DSOVKbGNIULvUmWO/acBG
mVXun6WAnvBvkTMAegHVC6Snf9Xkbny6MQ+cxhWz7LEvDfWqj1xkJvjXqs74YLnWSWshBnNZOHFZ
797HxGib7TwzuX8Xc5GTD0njYKWxJ7MT5kNXDQzdBdKx2E04qKGAqGHkYTzVIBWQ51qzVTkVhhCo
15puNwPYEYPe6of3phUnyR0Gk72ycew2Iu/qQ4OO3RYjg/yrTQHCZ3eV0PYO1kUVN5NzEOllQCo3
bAGYBs226VszfiNWJrlK16jHqqTQMXkc+yQECqoY6R2X+bqK87bamiotck8TRTK/iuA3POikjOlr
VYxqEkwkG8UI3fLSMaWxC6WMlE+6tHyMRlP6IcjnhKOsZ9CmS+2UqGnmWEaKfTguaaUbx9a8igXQ
mHIy1/CCNOvrEwd9lMeVtrJB8wCCZ0vun+gw9sAptYQwVxRhrbZD8kpLIwf2TqVvDa0vd/qgsTes
4wya01VaajfYgXjFJAjdzID4DkjbDa9tyYujJeiKzzEiclATA0xnXMtDlUyrxooPOZE7R5oYdtmF
QfK0UbAcTaOHmVWaMzISCVT4pD0NSUmklTQrikNqmnl1XJylJjvUSfVqdpNlzwJpdnFBd1zUdkXb
rCWqDk5aTMQGVuJTDtuuxhjf12oS8SHZiHp+rMWhXTdKlXpVBZx6S5xTr5Fbad0PuuUgJJPWemyI
G+Ap6r5GFTnUrC634bBKf6hksNMpxUc8DJXL80p2BpMgJ0eDd6vHJjkntYGGscijSUuwx6uR9zll
R3MggyuOIvxzz1pHZXPm9PmU2kVb+AOZdZeKRu/PiUhRQkWOVqhS46hDkm4AjWs5BH/NlvmmNmbl
52UVgIMYZd0ZnHEJr8BVMUn5AVjkXspyYw+E8/eUZHA6VRHbMx/3cjd9qlJinfOh51vLGNJDqaoA
9mDptySOlWMow6tcyEdmTpty1kunHiyn4OiMDR0mwrvEnSptXRc59TT0Lh1Dbb7R05axSVf46ZxF
/SQfSWm+9gxwLrWiaEDvla1tS9TMLaRKtwkHd67QyxttHL1uxlea1BORZNsAgUHb7VriJ3PyAlZH
LJgNYzgwwZmUTTLVR2UUfaFWwgTkr9lY+bwrA3HAIHCMJ2jOYQVQToyl7M12cvvpVIiYu7KqXaWk
bmWlrqygTlN/AhTTi4vaqw0/B39zogDAQaOfVsKvOUs3ZFC+BFr4RkvWdTYejJaLDvKykOGiKlED
jkYz4BgDZlSLOre7MS1tgGFd69rayDy+lCzfzUoRlnKy1oh+sHr13MbpapznvT4XX5k8+QKvzn0a
74hunHoA6CYm+qx17nBd8EZi7MVYd6Widbt62tRFuy4G+i3miCXrXd75aeXw6bu3LkMh2bJqowA+
Wzb9yM2nmTmgK24K35xsipaTciW1n6WvJgWMS+/Mh8o8yB/SgQMmPgabgK98Ssmzlriz9dZ8SDPM
okt18A4yMMpdk7N6BPoiYnT23pKLKs2w+EcFpG9i4o7TgciuRV1L8QnUi9oYz5GMbf4c72t1odx7
6ZmdItwxzVDIVxNxB+BZoR5/ki6wQvZQFGABuChJVHbnHtOiigCqAx2pNZ1tIcUEgSDY44RvZBXZ
M0Zpt0xg7+D5cGGvsVXcHWVevQDHyhGGU9tloGXwuBg/lYDYNyZmj63xJAypndTDngFWEvRGHkkk
R1QBKFm5wrvCMKimAlU6KDAx8KKgqNZaXlr545UNR6lco0eTZA5ZY9KpEFZS81SQ3ZRgYBjJ+Xa2
nDKltmV6fesUAmB4wDF0AUgZTGKbWS64d10FIvV6OxTAKohHv7eGk9Rckxit4CTZAufCZdk7M9pA
SK6qjH087UUwchtGABls+1EYW3k+J1rtiOJeTptAAIZ8ZtfUi9OQDSF6YhOQoAyvzRx1ChnscKnU
nply9CWcsZSdRoltwyhBPRgM8bNef0LDxf4rJ6+lJdhwe2mVgmjsJZktd4pPvYaxKml2wUlsAFdx
hCXC0Lt4VOrVrEf4oNJa7RyrcNs+MDSf0ZcZG656H3Sa38klRvK/6RAmWlDBfOSB0p3GIiIpfv65
nqO62iWofXM30UJmnaUB9i3fpmOovSTM14rCbdo0knKYRK9jDPTSbo7I2fxu0q3YhqR3MG2GjXpM
bQcSMF+ra5+79dQ6HDmdbHgS/7ASx6IvJdqf1q4eghnDgPEOalh8a/lm1Gxaebj8tHO67ICtFj3F
XP+6GDdMX8XMzo4ixlzBU08Dy3CRtlUsGnOvQfI9YeFMQUm5cXrLnuK3RHSTeA24DaELqbIqDXds
jnLiVKfR8LomsAZux7t2DEh/KkavKv3pIxG8xjrExK2xqJ0EsWFL42rObbZtMtBwig6t3Pw1kVbZ
sQLKDPzP1pSCrPCXuTzZJ+sEfRLQc3bbAS7PCFExzQQnGfw+D2p0fhPHzDc6UGKI053FbqPlvoVs
2toxsqtFTyltKO8g72LRk0Zn7l2175wYj1oWHLM/TS/Yu7Mp9Xi5pYChJjuabdUkEhrYITeNDadV
w15wtXHP29xth1VHEBLoHkH6RzEcjIJ0lV9qLZxw89Wu7lZNgflsmIrOabsTRrS68Wk0zpMcZV0A
wrQae2FmVJbgHkqCukrs2doLiAjEdVlsCQ0Ecx9bu5Q/W82WKkGjRRrUIimuMXnuJT9LYIZdGRzk
YmRlvYtqGQjSMl0OmGSzYWfW1CYwj9tMvw6aj8uJja828ZgGkHdXRtGZHxRoWxLOxTVtRacXvlIE
ZdkXR5FF8DCh4kjFm5xH6S9ykvkvS7HJ7IA81Cwufb0GoeikO3IWdL0PQqzqnCTe0E7QkBcgswma
g+c8n5ZrN9dtGpaYTLegXyTUk0P+3ZaeAFCt6sRSf8iC5lnH/0LmBv3M0rWSeamJacxNrL/NeSCl
K5ns8jMYGFoAOpDQHF6qHgn/6BrfSbdnpiepNhWemuZ9Sj0jcfD/ZJWrDTuUVTo4nxesrggAnojN
SNLtfEow1Rby4TwRxW1ZlGgnoz4WcwAmI3C05qkjsTc2rTNl02ifOHg3RiZqx6xwLRKHQ3+cdOqq
mifDaLZOP2SYLouUIUSD3jamoMamcb2Wweon94FQ7mS8ZBBaKxYUtMXm+J4nvzhibFDo8Jd+VP1h
Dg2sv4BZVNVlO1YSR4txBUGc7KYcjIGAklKJ2y2c2BcMqdoV3Y1t7SjGi2kcKxMWbgtCMoRlBvMI
vJICTyaYpzHdmHGE+Rg7NcKMubLEvakJKOZYtYKFCEBdg/zi6akQTo2YekqNe0E4W23FPAJkv/k+
W7+SvHUNi3l6g+Ji4cBsEvKUUwWcS0cYlRjoN0mKDb1NkwUJ8DWMHRsc/AMtVyZbp71Pus+i+6zT
YMiirFlrgieOO0UK8CFFBXnMq95vR4CgoPlqiq5WHaj1rphuyfcZRdzEuW3y/WSYCA+Dore8wmRO
mtGDpbRuilWotD0xs3bNqQjb7Jz1RWAW36PyVdb4kWJBgBT4UYvnrLxI48dcpWEyTzCx+BiWsBMl
7dCN4DQfsiNmiByN1brNFbSZlKrfxiLxalFaVzMN1ViyFf5LyeD2Zs0FiJ5XS9Jbp3A/nRRvqOEI
i8pmBbaPJeQe43TSlHM7rSQi+nX5weAV9OMIC97MbiXsZb7TND/vTwQoWjIiq2KVNV6S7ofZs/ID
lEPuPWvaJSW+4G4C9A7vVswKO+o1eqSL0WhRf+pe89kTMQyO78YyC0FkFHO/arxSy1zVSMA2qdhq
/mxha6TtVxSvSb2qmRAmsjcNOcI4P1dkzxR0L7V8SvdaHYDBN8NT1+SXTNknsAMi6V2URvF5VwIa
K0oFGgLMuRMaO0hGhNjrxycTiRp5V9U3KT6nsQZNlOyhOS3hB8a4J1D0iJjKobnk0FKwGyC0Li3Z
9tsQaxA9I65Q/Kb3y27DRZc3mIRC+pnMuGosDcDNsnnDjHU+eNW8t+pTkTUYgA0bEVgj/E1SnW4u
nSx/GRrPkjFO10W54mTsqUvPDfew9K8jG1Adk3+VPChVpy+9Mb+I3RCI0qbGTyhm4pbV3srWNSxl
t+5AzJg0WwHNMenCuFOUjVviKnssgDED3VZ5MaLmhpspdCjzG1P0884MsfCPt1tjRWZjdf5UYTZj
WvH5NVV3IhexdekogluQAl3MEKdEnOyKuUPmjZyfZ8lXRL+AN0RsmLpLxseFSCq3RF9ZtVtJ2TYr
sW2+BKPrIT4O3ZsIIULWh9b83sKL0E8+RPrMnXhu3LrCXZa2ifSHgd+jKuNzIkzgiB9doR523ChX
ll47col/F7EFgCJwWO7BFJH6nQAJYTd69TQDsMGeMYzhWuJekCzHnIyT3JV2SWALTI+m3+0cgIIH
gbaXoovSA1bsnRgvnGyG/mBMn0N70jW3Tq+5rnmDuCvLtdGuLGs/skNRvaU1d2PL0YVNbzrMDE2h
soUhgOvF82b6N53BBDsDUTj3aLWpE2Iv9DW/WuvcpN+8PE7dWpGvwrhV2TbXNjWiN/VDh7AoZXZ3
SXSXMGcET4J5Qs1Dyk5lC84ytwcKq1ELKzK1QZ/SJ6sVAhkI+kqJTuhB6d87lEO7OLWHdvSG5HMs
wC3k1fRqxaGANNl4MpHQxzqDlmiIIa6Z5tRw15YjHqX4knFPPIjAkiq96tIntsY2vYW9Rg0hh4M/
jMCi8GfuE0ebo7y3BdAWPMnDpRnWRr9Mo1avNAG88AJMcaJ6NL8ieumSUN3RXY4INEeMG8HztxRQ
YwXyKwy5lUCX3ozyapRdrvmGtraKADpPlGf8gGJyEVYl+gExVK2tKAo3rXiWc2Cx53BJzVUakWjZ
KrD9v4vcMfiHAXD/0q77JcI46kcdNYgutCSX/BIBSAmUBbppPzTdqdedAmcPjnoOfTVBnpo74jdc
fOGrrwsEk74esBY/7ufMJyspsOQVwBE1zYtzV5RXen2wXuAORSR3l+QTc3QdDGzloFT1Wl5GMTDR
QNCA5gwMMu1i4QnFsCbg27ZzzVNeejgq7mDwvoiM2Lc+59Qd4RLGqDJ9MUpf58CKbUuNBDk0RLsx
e7sBixdgsJHL2Ml0ZjyswgUGD1l6wKCB66QMGx4IXVCdZQoocsSZho3zJkgqTuPHiI0iIL3ER7k5
6dNRuWY95njb/JoBqzhxCtVpUgwP0B67ybio7nuivjru6tQXj6nhQsknZCg99YzP4gsNaxBR7jHv
TOLdjIAcUZwRYk5GIwFyQN0zEbLHm2ldYt1EWiuSncqrTPBp6QrpJZPXQ0VcI3WMg/mc7sXetmjU
iQ5XwjqzyQEMYmbv0D4Uo7jbGx9pkHHXwFO41qktb6rSGTMfJvhZ5E7zIqQhLfflq6bZ41feAW8a
f1x2YRvAoVHUNv+WnuihApF8b7d51KBwU27ULfIuNdAwcebPw8Uo15XpqGTF3LKwm/1s+vp5pi5t
n/JPig1t1AzkQOCL4LkDQTw2mGfgkG1RTzVytzIOZbfOrbMhXhPg4MaoLvpz9l0KTqY7qMtpJXKK
l4o/1VH/2e2o9dQPzvgSi8hLvTRXPQXBO/rvyXZQHGHTcazvKRgxgsd9n3InKR2G9ToAq71U8GkD
aGCUXy2aBc13vi03A/k9hr1M0mswyqYr6Z60Njfaqv9KtwnqXPO6kDxBCgw15K0jKvvmCv0cvkvJ
GUdAqImrOI9iK3PGeJckQTbvKv2YznulPk+ma2lHOc6cemUgB6YePKTJg5aHgBCRJD9NXxsLjBPn
Eb0ztT8iieliEHjO4J33iII/BK/aB0WB3RK2MrqTqJ+MjPtlC+xgdp0wbWsKx0py1MpGNwZf7bMp
gW4fdx5JD7H6mRjnPLW7976LFDGaJ4TuzxrZcsBSS4dk9mQLltetMQJaYQGKODGpsHS1nkiEqpzp
cOO1awDmBgIxJAjIkTcNTMTkFEidXBWhvd3DVB/EXypGv5hjYs7qYNa21DrDddigVCP/GmAJj1Pv
jId0fOq5g+JBxwOQZo4rC3m0j6wUc/9x4uJrmxIomEOQ4eqYZcTCK1Qgq93kpOAHTL54IRXqc3u+
Bj4gMKY2+EWI2+UenC9+iawL7cc1O7N9LEQl7I/KNvMqWVe5Ny5DUUPhtB98K6F2hg8NPvXGMYeI
XlHTkF7iM5Vt0C5WkWAEzZlO8G+2sa6FX8ml0cGVF+jw0dNOPQCXtApz2RWkJySIrT/LF5GukQkX
hxHIZM94XbNX7VOoTiytmw1TTvN12pr5p0E2Y+mVwwbFJrDxySD+SI/a5NB0B3CpOsNHqIMSoHkc
xtyrWTBJK0XfxNvkim/dSDZS+iWowl4+V6MKWaGFmALoMDBllkdzEPREbRZoYBA56G+Z6SFuZ0jl
Rw8Rc6yHySkZga2e6gF/Q+1irpxmB9axqQox5Y7qo9YFTfU09r8SzWVPsWwXJiDtZBcPPbbOKuDu
EUkglPqcEyeGR0V2DzK5Tx5/oS5TtG/YiptAywdbjHt6JSH43AshGF86fOtx12ngLApz+IFRWA+I
ueD0mnyti5+iCK+DcNnNtdluzmh61MpuQJFgOMygu5g9nrqJ4E4oTwD8WfLaLw7DUEVIFqUMgR5q
7F+GjLKdvhJXSGPZ5/jRwqOyYHhiHE0nJWycrrC77xF85ZXdN4vWznvaH9C8Np84TqmjRqOD/kVz
AK6CcmHvGvRC98IXw92/5gmCEbaurK2on40C1YZqPw5RHbDGkz6UXQfmazhHkNXIko9mWkfW1V7f
WAhckPEf8b11jEzU0ewqZsCQgu4tN28D9CRaCYHyqouKyo0vhQA0KiaFsenjh6lZKKgeciDdxBv1
NMMbXpeQ0HpWNvBu9H1GzwBQg7OrcRRr7ekoxh4VDpmwRR0AIZzS+hJbG+yQUqdYJVulvhrmu9j4
aonPRKB+LcphTp5hU/elR32/jfQ9O8VFKD8XWkAAfJufYnDtfgAMFDU4mbo6nDGhYYsooRJg1KYM
F+sgrrJQu7fgZkgqOWW8g+GrRlTgsFRouJPyOikrqr2KyCjRO58vylSsaFKH0/wmTuCZwscSBRcA
V742IxlntYdOC+qZqPKlR6H4Bg6M3YtlMBMUhtTUifUGuEHgGG17VGM9fV54Y7k/TbIXWwY+cKim
Kza8C9zcm3oWjZgDK8rsYArTSpkEVxFAXyxpdmnIG7O+pvOFo5wbo6bTSfNzTz8MFeVztQwsctTT
xLbg5bFvYMdTGQzm8CRX1y6TncmSz2hdoGJXHGfzYwLv8W+KKqwcYgbcUebG4eKbNETI6iiWw5RL
rBxK/sLSVVKf8jQorHNf4m/kVagO4rzKjQ1yL1cagI2WPRHiE2Fy2Ah/sxFYCZYr1W4QI2DnhTaH
rNpKuoBa4MmKX7XsaWpDs93LxW4kx2nyrH5ngs2oLYCFWZNtK1BPxXhzxV4VdurFD4bNdwXsC/HK
FF9iBLZNfdBa1e6o7JTjWxXXW969cESwY85cUWCOhIcz5KOnCG9Gt++KiBuhbJovg5j5NRRdqi07
l1CZO0pYHpTHtTW9MEsLjf7UWch0ErfSokyFuv7K8U2kfcGeGcCClYgMw6qEze9o4RoxAhN4U5Vj
pk+EZ8fFpq/c+Kwr8mLC0sTKq1Ug5xNZCEIep2gAEkt5SOANiApSJcq8CjnPbJiRanVhkpt2jFi5
w/22QMtkCZr48plYxrlAqFUrsa8WO6HZ9+qaN9c+PY8T95i4i2MNoPbXEpgSZds9G1PmcfSEshzJ
Ec0csd9mFiZTkeFMWKFIp+eixIQsPzbMH3XZZ30RqQMYxweURgDJVtFhn8G5gIHXJzDZqTr5afxq
acVKk5CutMBKRy4EpGE8XBQMhgwGn3SvDaa7wHG0skaGMg2SjUKhqwrl4A7I8SrcoyioDuDhbJYC
fjMtd3n+PElf2kSPoPlw83pNy81c/DKTCQ8rtytksromRJog+FJRBQ1Rt3LVQlFwmOYiZ9seVqaI
/4ezb2uOFNfW/Cs7+p19uEggIs7eDwnkPW2nb2X7hbDLLq6SQBIg+PXzZfWeOVXujqqZeemIDpdN
Qgppre+2vLWO5LoNohVp5X7xpiMLz2WIPw77kKn5hVBZh/OUBMPWn7oUVtmUhphmO7+SAK8pWK8Z
YGPcIKwM2EnjHsoB/RJ37rTzDehocymXi3lN3G8B1yvZ8HWQN9vZqw5hPe/EgE1/BuIEXEPX+DCy
2nrlkHjgeOfmjbdt0kZRYpB/McK/Z/1jO5g6CdprIDsFGsqqH19MrsGH2t1S76sOs9GBZVXDWGU0
LtaY8ZuV0ZDYBVh5iO9COugEc9hRYZbrup1ksNb3rsLJxo/iAtZKUB9OWWIJ38/jsJ0gvZsKaLj8
eGPR9Pk5Zk9C7NfF627E0SdequowNxisGBYrMmF0XX/rs0fRg/g1j7Tkm6ELt9EESit4mkJ9NTUQ
b8d+ce84MgONNctzMBw9uuXVrUSvg++/J4e4OFXz1imu61ilutVHgdbR0ybDl5cHNGkBQ4683LrN
o6mCLY/kq9TePkTDYWss3b756s7VUVmT+VH97A5DprV30w7BefL1VXixgcdRFkenqvbTqg6gbMWI
XdIAhvAXVHzca4+2CvdjLVNqzLA1g/lqSt0lnmy/4Vu4pUaiH3PJo+tNO5+DkqIFRjw6xVobB2Aw
dibt3vrcvdWxPQUd5nzIGnQHbAPzlA7RNxN192NTJjBKXBmDLaju2IpHx65c9m4FW/cQTMkw05SC
eEBpKjGtsJb+pihqlBzguoT33gl/3fZ14gBcGaF6sCD9SopQeU4PFGfA7D2NWl/1oQaq1GadMGlQ
gCHBRGE221UzoqeqwFf1YHAWHLNDmzUTduNcbVnRHmK8SqzTiYqKrBSIQws2vb2fUPZH4AYXcu2N
iNhBKdvN+EV65Ymj9DuMxpiyGrPiR9En1FlWGAG94tOz0WeghpY0SQ5gFUQCyNreXy/NF7c4l3nK
eTpirka1BXdXzoc2fukXAGuJBxASBNXYPvjBOhbpoJIImrgFdVrWApDkSUA3VX3ynV3U70p9Lwo8
xLXB0aF3tZtO3q6wpwWpOQXaDTQZ7IsOzg4/C6mTZrpGPcSQj0JBLrrbzq9XzfICEy2CT1/j8GvJ
Hsml5ybnQr1OdtOj7tc1xUGOXh5pRsFVpPZ98ByGNqmA8XbffG1SvzizeROKhxhF/NK38PumQMsC
dHrifgJSXPo42Dug8ikr9qHzMrI3AITCHv3legKKOX9xxI6BWazFqhvsiqqDQYi2OZT4LiV6VKe9
bsKXGJV7+0Lj0+Rv6JCRWCchMrPc93w+evE3DaqGQP7beC9LdF2KJwsoLkBv8rh4737/FXyg6UzG
WOI3RZYjAqcQICzR6Zf0IF28SfI1UNegQKPqZTBHHRxysUab0tXvHXiyKH8M43brASrqgMYvBL0z
kL4W2+upDLbGe5OoLKy+a+qEETQbKo0wFwbtsc/ONbgQFT0WqIwq92Sgb+/XJHh2GKg8YM2Bk1nP
P6gKxSzCrUsMiz0rtOsI9Q3Y44hVLhuAhvaeMFAmcQzRUgYPdzbLW6wQBl6PCgxwUAP4QVTYDMhd
tK4hEipUiZahSgy4unIeM3D9jwPhqY4A+dtmVUTwVaIo526QOviWrQFRgqc+47Gwvj1xqLAEalcT
0l2HXKa+cm/K8X3EsUUxDN4BDV92XeblcsVrvUIKRDDezOMB8o5V1H4b/LuFnatl0/cH5IVkLDoW
0Y7FN5yd1XwTQgi01MfGAcMIFC2+FHEP8bDn2G7zqNtKESVlSK6sLq69aSiScWLHuh2x9Ywvo9ev
i865j3rEx6FVrBr1ErrgM4F3EHbWEnH6ZN4gl+MoXLLpABfPwttHHgONLTMGdLcvMd8MklrG569t
WaYqxHky811O4yeIxDaqavJ0KW8QLpIKp1ixcQAZoXfRiFo5IGmAL/fyMWKoFmLhJgassmujLKAS
5cAAqvxtUjqtLx2Qxvfk+GsVfhCAOpWPqITqY/KDWyuwfvIBgP6l6y+2hTc89IB+BifYCa+9ai09
xWWwsQvg/X66mvgV7Z116VT70QFYq4pge/F7CgG3Ymd3LrglTb1EhRUgPrwq3MoVBS2CAc+7uccc
t6o7uub58iHLERTV8JXEz3KUJz8Hfjyjoqdi3gxzfV1ijVsXsa/ge8YB+1XYbS0T6wECi8LDkdCw
lA3YS4GG9SAVIJLfumCWxlqtRzdcuWP7oXK98SQCT1j1xZnaxPIQxHS5acMBkiaok+JoE0t1o503
OX24GtKGEqyYU56itkz4aK68CrTI9KWU7bZQBVLl5ItZqi+X9dbxSqXeJDcKCgcfgoYW01Nr8PFh
tyowVHaOTzNUDKPHd9rBHJBh2LdEniLUHyPEFmQK9vmI9GAxpLllD4uu7k0t9hV4obopM+ONWSOd
Sw9yX7Avs36ZZwY0VLsblHgpnZtsXpwdqXW19idAr0sPSsVRWMh1OR7IiBK2I3IHf/seIzW+OMOz
X4GINfwcVvWXELhFOaAjqPwJIhOC8C9gO1ZBeNSED+5CjrQuT3IOADdirS/ssVL2KvIu6hDQm67G
ptyvc2UPo8cuBddzFURnaAqPlHVAD7uNV6iUuP6L6aovLvR7Os6TdsYXSUXajxy8Qg/UXu7qAJSl
XMwV89V16+dpPiwPjQN5iRnzfdsHSYMzIPUc9z7vTGpddsRwkEOpxM1SNutSyOOMe+UDmpWBAA/v
d2x6KSvAIBT9lGyrRAMPDgb1NebV3mLbcEBetZbt4um9dfqdoWiqWRd+dEJHWeHKZWVUAf5GPNum
WesJXLly28cZLQZuYsQVO0s3su8SigMQU51uG70ks93RuUzH5a4br4j81uXDqozHDN+IHK/UeG8R
7AHRp0Tt5QRXFKAl0BdMhNf9o4exdQFLclsnHgg6BHutoq6DGGFv7F1TNBl2kqUadxLt0chiGK0L
oFibpgGuc4cw/2TytshRTqTFyTdiJqvHkjIYrjSFQI2YY9PfOvHz4Kttnm8kP/XqUPkE2h8DqZyb
dvVzD5A8n85FeCdQyFb8jSxQcxxksSZga9C1jVBKOjOSWiG6bHAYj+cRYLsjBygkT375FBdYA2EH
jiwZnbWvvkryLOi2UdjzXD+hFxO1erDe1biQLLeQkaEwQgNK62hdmnEdqx1d0sbIJJY65d1bBRBC
oHnfgN4xwGQthglOWO1ht2P+qz8nJs4UcPygei/yQzs8Wdh8ATFofeCFSeo8XMXAC+2JAuPgyLhD
+tww4Pxht5GLb3VBX3GPw3wZiwOZ7v0iRD+HOcxFkKA0ZvWNcm3aC5m4qIFioARh6Nx47NyBePTQ
1pmLhKGhm3HE3PsAysSsDhBWSKA0BGlr4KWE1rHqU+M8TPLUVtjf+02MlmOczh5kNQ0gqajN4IpI
R4gEZ3075wEQ7n69uCDY5yPSmzZ421YesOeW73hc70sKVQv0lnODZuwmt5hRiaXSiCM3ZebMQZpP
1w4WkVvVaWzv7bBDH7SaLQo8yE0W2lzXqtqJBlm7dXtlZYu4qhPg9s4gsW42+7ZodhJCUiw5UJQA
UeW5ZhX6GsAmA/baExphiCUR/1Bv0ARmbo+vIdg0wesYY9QjIGQM2+uRJew2TSIKNxkHyI2ESLsK
is3xG13wbrV8C3X4ySf67IMLCDwYSkIc0BjbPtsZdQDUcJ04I2r+ILV+WRaWzXG8gthmZQDCOzSr
669ev4ugOcPolaQDjzwG5soaTPBEaBLVy1rFmKvb+IdOBlDFwj+rZxB/Zo3b3vU+RIETZpbECFvW
0ELFmPG1QB59Ob1nFzGF0MjXzhdamhSCi8Rt0ZDhobIGTAAAzK6xjxTTtEs8+bHaDqB3TRFA3ApK
MHyNXbsxLUBrqGcGn6Tsog4bIHEC6GJC6Ph6IPMFuO0ozaEViGdQrDiSMfHo6BZqI8o3G0yHZgIA
nLtInXabbQ8BYg7hnQqDRHOK2VHIaDNj4k8RAFyAau05hzvMGZfk0jQOU4m+4GwXqEY4tMjimPM2
iaLmGOgorSN4+t03RgGFZEGcLhbCH4MKWWOmk7PuijmVDrlenP5Us3Bd22AV4sFStPTj7H8pxzlh
+MsgHx1RQ3YYZRJYrGueVNCmwYKcThBq8wJ2+aoMlqSH/KkALOyhJ2rbfBtJCh1e6WWD9VZG0gPC
RCH1nLYzlHpIJsJ0QXugOC4CEC4KOFUjM5yf4Lwj8AoM14Z6FjMBL5tpQD8UpocVZxjkbq2BjNNE
JwVxYFT2GcHXoXuzBdBqgzX2ENV2SRf5H7zl/bZoxW28NO46DouNx4Ezw9r6WsTOrZnG15FgWXBM
2M4koouuWu6IrbP4JgsB+mmOcmysO1RL/k57OKhiNq4hem/TGW104znQsEcz6ntMIF+VFU4PrXAn
A6dxGipfQug5tImAvChXzm0uB1QBvf/OjYuueFDfyEDe5gE8w+yoF+Z26OqW4ui3Ho5/FboQV0CE
FhfLjS29axaVV410n4yKt73WdxMBZDsCrLOtBKcIsp527CLDizeR38EupsW7JwEKIUAAXXY++BmC
q6+lHv2kwPeQjJXcI30CXdqknJWJoAqcw+qA1IFj7ds97SNo4DE3I5lHeoJZ4yKcQ/foF6bY4PWs
UuNFeeJTPq8iC7o9lOK655O/KthyZerwDfTUjGbfP/YG3GdpxC2dOpW6AS7SexDi8+W1i/0ntpRb
yct8pZ3uVoz8AUgZCNwuXjEhtyKf3tw4/xr1MhOxD7ob0qC4ggVzEnc0FKewnwCGVtdTru/6yrz2
aEG7gj6piVxXI70SGspDj9/nVN6bku7rMCeZgei8rqH6gt7sVJgeGtjLGa2KOSlJjfcpUJtgBlAG
w2TmUZDKbd2eyxFCqb6KkkLUUIqYV1ICIPNYs3Hm7jBh4inEz9BcRz6575m+SCuieEWj8kw0zxob
bn2lrxqHbGfebs3k4FydJPAph4YgMrzHpiy2kfU+xkbPOz5MHHxfcYkzLHGO1s1dOPBrEkZoQnNU
4j1tALsX1atwOsxmInUIAoIICPW6WyT4tGCfFwWlj73pphGYGQZs5vpKadQUTI3XsyB1UvP2wQ4D
RKuQELNefWVhe0Xg0YCb6FYKcQMHBvp+qIUEMgW9Ccu976OUhO7DBCgqXRT2uLZa8K5b75o0ldk3
dZuvreP0aEamY2cI/nDXbXqxNHkCmA6El67QTQ762CoPaC9v9y4tzoMb3wwDdgd/7L+5fCApRmsG
mSLh1wkjZKC+s8VjXQFxT/qFhbeiAKDDSPegtC3uajR6N4XrijAzclw2rsjRMM5ALL+QOKLAE3qQ
E37gmtMyhbXcIaoWAzaIDc9IpLD31YgSqKtr+Co7d0lniQoZbRPCSyiIAM7mZzes/J1XcHYzVLF/
dKYA+uyYNWXqRCJ+7FSs7JeoQdbPpTl3uh4UTO1Cfr2qxr4lW2wOUfXmh8WAuWFC0TgryxozEjG9
FGsDe7nwZjfftrlwQcB1aIIgqAnqt55XHOTAUnUH3bZ2h2CXeE067Ig2B4Y6BSK8nuIckic+DV/m
EhyBKmsQFh4r1w6arlSX2BByJ3DvXWds7qdCdjsshSUZfK/dj/NMs6628aZE8M6WUbXAUzKX2FHl
nNQ9Q7EEAct86BQd027QCC+KMPN9C3Ffs40B0WWdapHXHF5AN8bdbRz3DCeb32/mgHRrd3HtLdYC
kP8oHrddvgDLqm2Z0aBk5xHkAd4hoNtx3ZLMn8MccljzSIYWMOFclSnsJ2gOMF8ALhpn14cyT9vw
Ky3KNeUg3eHwaKGzHmoCdI2Qj2jiz4FEyqKFUrhogIvoY5+jTlv67hSC1x9a5Ju1wfS1yMmN8eoz
4e4dyxdEQglMO+SicaFxH/YOoh5QMjchgjsBCvMBNbDpBYpIQqHTxMfrQ/E2esVHXITPQttvXhMP
SU1HxAnBrOKtwiaAIhBZoFH9ZOFRBdutJ9qdy6oiiPGNzCB2uYJaG3CN23zAc+6GO+KSEjYPpeYi
zqiSE1Ib9aXAtG5j1B7QNUraYYLYy295U145C83lTV2EOdrlXOeRvA+6EC22HJyJ7EXDItS1EJJj
8rgpuc5YPxG2UW60+OtSI33/quciHqB3IDFOHUYBW7KpcPgAqKns4k2DWdQz/rQHn0Lud+Dt43KE
gsWPZPixTCiSN63uWbil3XA5sozvaPAoYmwhP5HtmE5zBUE2/jW4p7zQEke75Hbc8LKY8l1TNlOf
SEeGxcFfBn6qQibKU8zmxbsLChL5MNTkqJskMgdB2FSkETuXynyC7qeDSqryxmXKqnFu82PgkxGT
GUZnmW5ZQ4AG1lRhn+xbE8h1oJuO7CbcBIq3oKjobRkZD0xMPXvzphrUFH2TZQ/ssoYnC04LYbxh
JwPEhiZ1EGssIgrEda2LLuTHueYKIdv1HLQZpveM8XrUwkOZHE5hlxUGiBeqaydQTxWdhDr4Qd7C
SdM4RZlD2q0hC8jdobVr4QZ5nyDtdAB9BEQJm0WgYp0R0jfRPrBC8YPkAZxnAsftYF0t8X7F43Qk
fYg9RGOuiQeNCgMguOSaIKWIj6KDeKWBBGChnHR7xHPPeVqjHwIfy9ymjrddOKnlBm+srdADXmI7
oz4E8r4EPPSyPArgMZgbTdH7BI7HNh7KKjcpZBO/D4DUAROWYKhWBpuR3TZo+BWU2GVBwe3ouEln
XVudlo24oHadNz0yVOarwu0UyRo1TG95RDrfRc2umbxzC1jkboc6ds19rhH0ffZUAJwJg5n6/p2N
xqKrwrnVbUsNv9Fu5APUCM2MViaN2k5wvL3SmrScSojYx1kukCcIFTkeOop5DndTpMwE0WXZXWTF
At5DhAroIJPIWHHPvhUWonPpa9yn76HlXXi/tGBziYzWhgP6Oijaki4l/ojHj49Gm4deMH6vtSzF
LrKz328l7Wq9M2NXs2O1ONgbQ9Cc4k6MvgMOiZMZ8FVc+s62EADKNkwQXWcNiyXo8skjw00uWRcd
ZEcAOxQNx39lp4R7K2ulMLs0R/xpovNWx/sGa4dmJipAQYBcGeCfj1rCnZWro8J7caIB1Ohl3Iba
0Ib0r5RAk2nCRpq0t90C8Q4wP/qcG+Zbtcp7ugz3ZHEQEeYTMJyLCSjCmJh0+8O0XFjDvPKlfqrb
gUzXnmT51eQF9lpMsTtDzMRMsZ50YYIHh4L4yQrhcnXkPOfAzCY5PeuJTxR68zaMQFU24NopHHMF
5jTYELOYxt4voPbOjQo3US1LqEo8gtmw8QLCkPm1D56in5YKusoieNRuMV/bgeaPzYJ6deNPSrKt
uzTVneZ1NV558wXPnmFydFayz2skFDvYFpPh8oIhjT8M3Yz6M20f4M1coAhs2wEeC8xPZbscMx7W
tB4ocgIrV97BBksByUcUt+KjBgrSirbFWy618hJPuS5NAefM7ITYevlYwb1Hj91QecUTcbgN1yi/
JwA18KeOiZRV1++wHWFasO0IlG5xLLzmgUwKKpxe1rAvulwqSDew/pvM8jHOM6vzzj8UdUX7DZWm
J9k4OvI5HgXORrv0UX2Kxy5AIlkHJ0AyVWBW7UjRPAnd4DRhcdeAFC2IyPdSeATKCy9YXDTZtuqz
3I0bKCOCfGm3VqIfg6y6DsHid6RkydQTYFRcWw+t6WDbad0yL+9TUsnGPinbBvEqyBlsDA38m0Au
colwqZzWRb0dPNXCj16jgdiaXBx67UybrhbTtoBQ3myKptbO2iFK0jXPvbAAolQAmQVcpJtqD+Na
XW6prWUHdl+AJtOWaI16B8UXJKLatVvuafSunggqdUsqXARbgKqBGXnNVD6grqPwl3kjKp9M5EuO
XL8oALY5aFTMh6i0cAPjhHTarVoa6NHKkTvD2uazcvZCBAWDhoETjGqobFU95LXCsHoKrkXDHASC
ExoREfnXQel1L7PE2Xbi8VS861Hj9IaPsz8tppRPunQhDagLw+6tZEWUzbVuY1gkGfyzEGBM6BRr
BNjxPfQnEOa5SDiuTkB/uTSJG1+cHaYHHPuwxA2QZL/itAG/SJXCC4Wlj7gYhtPZHTtIOsLFD6DW
nrrZeyjqeVY7VJ1+lDLFZLCLWd7WWdmUg5VXIFlLrlZe4y3Tzui+nDfg6iOzMzPyddOa2ikE8sVG
so/xPMF1oNcs903bFf02xuaA4CQlRf8AXJGFRyvI4KazzeFLLqIcfaR2KsjeeTlO3yIsSjRZvg/H
WSEXDpVr60Md0/rIwJ8td9cu2K910FQAcWBUhsiO2GDsz4DqwLIFSMLqE+M0bgPKbKaAUK1r6jWy
8op3N5qJf5B+ZR0wVhGcNVNu4+FOC95SvHNBFa3nicoJaqFBlzedxZrOChLYOxAgQab54h4QPSvS
oERviJxo8LS96aCRCt3CeyRRvwQwfMSsgsXBQAs43pK6bWEts/GsLtcc4lsn9Il5kqYtSTr3RiJu
yUaYAO03eF822InIU4znetHoF2D1BKUOtGFj5ME72TTeq3bmIt8MWCWvwWJNfptTAwieB1LAi1A1
oKWIkwt5E7QV+AWsTgGeb+Bl2RpUyOHyu5S6v2QxhMQNvBgRAxRl51+Gr9nciSVhFfIFME8OyLFO
6rSDe2IlHskaNQXqpJPz50X/66d59frf/43//yo7sHxFaT79779PFTSnWn4z/335tf/zz37+pX9f
dx/izqiPD3N67T7/y59+EX//P9dPX83rT/+TCVOZ+Tx8qPn2Qw+t+X6R4kNe/uX/7Q//8fH9r9zP
3ce//nh95xVsw9qo6qv54z8/2r3/6w8fkToICfmvH6/wnx9fvXL85t2rMK//SHBhVYnXv/nVj1dt
/vWHQ9g/A4R8IQEbudBIB/rjH9PH9x/Q4J8siAK0jEEUA8e8JIwJqUyJX/LpP5HLjTAXBHP7LiI8
kI+i5fDnz+J/BtRjmLlJIsx8DYPgj//9IW/+TBn58xvCY/nP//9DDPxGVsLof/3hXWInfggjIaEX
MURmB8RFoIvvh5dl9UMG2eJhUlFt0HlepqTNH/DlIdr3Ml8Z3pAzNKFJh8RiF2Bk9sPT+psLf1qu
n697ufsfr8t1ifAKmFnSZobWKFCIPPWj4DdBz97vrnLJffnh7rylYDlyRmVa7yCjMdcy4QmcC6v6
it8rBP20v01d+ZRc85f7+pSQE5cDmnkXV1z4vRhPRb3XNUs1XBUI/wCS95uEK/9TrMhfrvfp+6sr
U8xVNWCQ1R5DYIByrEEEb7GDnSASytMxic/8HoA7Jv0dMHmKRKvw6v/jmwQuA7FB4IY0/BRsAh7Z
RmgjBYSgss5ahDvBrRD8Zrl8H47xl3X6P1dhn2LkCxu2nRG4T501GMG4jteX7BzorFmq7jG+cO9k
l2RHZyPv4eLfQCi1B1N1ktdO2v9mq/0UGfPnI//ho3xaulFXtRHGFENsUunyzOVUZ25kwq0qifPl
18/W+xTPFjGCNxzzU1wsGjfCTIqfF3A1xlAdoBpPxXHE/Jthw6DisIl+qDY6BWabRGEyfrQbyBZ+
c+VPKUXfr0wwvInFFHFcAN5+vrIHWyVt+QhTLDYGkTYvDrJeowwO6Ycom9bfZ3DdQL+S2nqDVP/f
7Q+fHvJfLn95z354c9FWigE5ezwtKu4moafye0jB/B2qxuX917f660tR99OlIh97sFf4SG2Bw4RP
5y6HTBUWgP/3qwB7CDE31w8D73M8FyXcIzz3Vcq6R4+gb7mHL+bXl/Avq+GHl+T7Q8P8Acw/DXCq
YEv/+aExxZlSRSTSC/TwrX3HJIIjZHYZLIqnAe9GtaGbfGU3Y2ITeY8WAQOam7dff4i/Wzc/fIbv
OUg/fHGkdXMVkwE+k4zt9YbtKEYyq9/GrX7a2b/fKmA4ZAn6oR/7n+MEgxlNrYzDLpVVlVbh+wJW
8Nc38jmV+/slWISRwJdXD9vWp6dpAACggCWYHDEncoswjvQSeCrqxN9LhHVe8o8vRyR4bSiqkktS
mFr/+iP83cr84RN83/x/eJYuKzoVEAV1RtOe5pw+WA33lba/WZp/t8kgRzCg3zO8fHZ51j9cpiwZ
W9RiwZTPVyLA0ClloeIGEgkh2q9vyPv7O/qfS11+/sOlDOu8vuM1T2EPcZMlRQcISdoaSeeYDGdf
88NlSZa/KQP+7v4uxRdmBRNkm8efNlFZiLw2IdbKCL6RQRY3qrcBnqsReNyv7+/vbi8mxEVdh/It
/JyHX7ci7mcFOadHQoB/9zp6a4qXX1/jb97y0EU96bpI3WKoET8VNSPgu7xSOBP8s7eGPuMcpMEa
qSFf8h1P3J08PvtgRlbwwGCSdLP2nNVsVnDv/PpjfA7oxevx88f49FQZ40te8Y6nl9le+uIhQ77D
qgYCnsSvfAfhaJci2yaB82SFFhxzu3/9Af76rH+6/udIxRbRcK7vQBDgeDeNcxsH+zi4+/UlPDzP
v2ypP10l+vSwVTFCMDm7YOC1nEGPCQe5RoD9lofJmvaGGgo2FkDMu9NfHNlkvsh3F9iQ2EzyrORB
+M2nAOfiAcoXf2T1mzNVAASDCnJ2BOiglS88FIee0yZuPwVZ3DIouoay3iK0EiYvMSiQv1V5Wnr8
VWCb0zOEUtMNlVLA+aWX7SQmZ02BssNdV1RPBWSB8zsS+GUHFy8pHHjpB2jPMCLmgk6C5kbtgrAx
hyIIxsAjk9KygQW0LYtvGt3CjrdLf2KASO/8xphtG3bxMXLGOS1hD4EoqGiOA/ift8at4RSFeaZM
q6Au4WbpZySU1/n4pYWiHtIki47X7QeotIFmuat58LyPpg+HLWuHJWG8jq47McN77bbxk4ZbFhbm
XlZJI2dsDKSwmYPhJohAUdFhAMoFW1Lo1BCrs2BfV00IKWcRw8PWUrxsFb+dxThCKYWUMcibhwWK
2KpzbxHMBE+R6isMdofSrZ2m+EqpGKIeAYy882ZIGHoB7SdS5RDx0ge3bHLBeFbDkGG6ndgU+BBJ
Dbf9rh9djHIOkacCeAoaytZXewDj89byyNnpOIqyKlfi6JjCrsFWqJVfx/TALINMPaoL9oHer1nL
vFmuqe9hKu0QIGWKcImqdvSedeACHUQx+Gzt1JyWyNo1ZhU6D0uEjN5EoiaaUmDG3a0zOtW97SPv
pRYG2PGwIIveQl1OpB7A8yqAOwtzpxMvIsicEQl2N41h9Qa9fIcxMZW9LxXE3aCDnWSKoMSsKXxN
1WjcBwDXUFZhQS5wx9aCJxOX8jUK+gKhV1NS6QN44xk6l2k0ZjXPzfgaTK2Bj8rLYc4WEA2rqUM0
T79X87Bq5MBegnmQ8QrJEEXauhR5cQoBWUvA1KnQsbsbPdJcc971j9QyUC2dqo4I3YKtpjLmanC9
Fto/4/FvTufWjyAuIIZSkzaHGn6AOQ2d4qJcZLC6O6FZYUYXlNJNy49tG8mE1j3NkG7ovwTaBa+Y
D2odN3l0N7cqgr7U8zaFJV+4RTYA6rZyHzdKjDD8lS3cyQ5FushCnhevGKBYxuRblkNT4vdI4his
5SdHQWDfRKA+/xd7Z7IcOZJk219p6T1KABjGrQM+knQ6h2AMGwjJiMA8z/j6dxDV9YoEvemSWdvO
TaZIRIo5ABvUVO896oiqo8t4AL2mTwrIOVZVB1d4aRpqqnocgS/Kxv5oD0Am0cnHCsC0wgrJ5k51
ANDLwsjVqbX6Wk+j/UNGkeZKnTFtQmgJ63TS8CULUXagnfRomxZUJMOpmDAA5QY+ldELr6YWpLgT
BXJ3iBTVvA8Uc7oxpDR8qs0mP9myVJ9yKmKPAqTbS5a2c1m8JJmdYSRDVTKw5ESF2dJrOt0VQ0N5
XQ1UsC9B8yBRE9lQLCUXjYrUEi49jjCmkjUGrdDFV16Zid8UwPnGptDNYpUKj2ZBnalxa5sUCrcx
Lh+Kkl9IZ7NnWC1AiqAQYAPy/lHIg9asMm1KXF94Aqe6TE5va8ZRh8bdsNZJGtTbocAwOkm99GKG
hol+0TaaDdtK6xiBVb6Melj9UClYbfWZrhIayOQjA7Dv2GTOVDfqVZjabKNRb0oz7ueh86r6pvAU
AAWJKB9sugJvc3Zacs6S6ZJf7E+TUQXXtlTWrhp4mWP6kjhYutfcR3IwfE+yqDrFnorKtqSqkYVW
sq2lKNq29IB0mIm0wEgK/AJjIQ4CIx4WBCEdKP1hHtHzBOzMUFlQYETkTpQMocWl4ljZYcIMyXXS
ukm9NSIEn6VvWFujaMGm5b7YgncDWmD6VH8SycpXil6obhBKI5ZlydqwFeR4EfDwSaU9kMpF35tZ
Ku0qDCQiE26mjS7Z+KALWNyBiEqaLKmJy31T7LySkgbUQX9T9iZbqy3lO0MPotsyq21q2wMMFHLF
xZfOjvJrKRX1TehhOBddWuPi6r3vGdumExtMy6krOicpwgrSWd3fN5U57DqBc8JCYr0bqAPiE/fG
U5ZU47ZISY9XiTbgWlV9hKpmedNImX2shyA+qbIpXTNz/DVVhODG6hTpdrATUhwDTo48L5PtYHX1
Y68N9qGRRvzMfmkWTpB11a+W/OZtJVXx18kytZdGaAhG8hhBhtRwqpV9Yq0R0YlT5ZUkbQdVuy+l
FiWdAeW4K6vua5eE2hezaLpfFBamB0Mdx20XwGjxIugwSix/b7QJ9kPiQ2sh0uhns1yNMisp8h8t
CqJdHGNW9ZomuVEHTfvq1bg1MpXWSY6kBcZu0KWYgrQOGmYiiWxFfA/b6GEUUIrBFwk6U09VlHza
ONA/eTLNVWmb3nWD+etWS2vkR1kAI6iiAHsUvPzvhJBInMJs2kK5tWDwQT/IeupHcVfIuLYnZAM+
v1PS/emKu0a5NpI4AwemFGAoyT4mCBkzvomaJdFOId7adAL4nQnMdJupeajC7kj0lzBH6OIURp28
+JZaIJNTdGBWSqRO36uK6EeLJRPNnK5U9zVc0NtQQcVN6bL5nUdlSEko7vKvRUZMCfpRG9EBU3w6
Bl5orPNQFl+F0rY/pFLGvCU3VrBSpEi/Q6Zb7RMb2ail26itoqF8ldrURjXXJ5izo9EfTbThVfS1
8jgWKubttaXodNyidg5spNN+oL8WVza1ixRbVWJt074oxaog/XpVFW3wu6hl1r2B1yU3YGbocRNs
RMDBiT+DxnGan95zucAVPkbebSSscj1/AqfWbfnKDqDzpvbY77JkgDSqqN4XiZ70Ty1G56uS1qOb
Lqu9QxXk4YYmtMk+CaA15Jz869Yv89kkiU4m1cPdkMjZgchT7KldImrzsdLnRgtPIYHUP4xDdRdP
0DdauWYFmnGDwb1Km6tqAgqrWiV4yEgRv2wJElMHVGHyzOiqD4WEWonOWge1DgAkVVn5gAuyOeoG
AEOKWCXShQwDukFRhnN8FMR8Ru85ZTx6z4pciAisTDDSnyAt2YK0eFQKd4qRi4Z1iAJeUIYbUrtt
VkaW+NdRG5T3VTpGd0GtRz9Cpvo2FTMzM++hwRl9/BDZPSGZbh9L21G+6n7Zg3jJII0hzB0PGhXu
VddjfVMzuSP1ZhBWSblOKTQzTXLVZVTfD0USf6MSjUue1TLdBJ3KZPCj2rrxclCNWpYHmzqjq6Ac
Ff3GpybMzaXS0ZurrE3EM0Pz3NhlvUfDhZNcU4jsvKH8mXrZdJ8rVn2FfKE+RvGUs+GWNrgSvyf8
aaq2BoOTytHXeMibZ19Df7HBXwNmV44tTLgUDasvaInKGpyGTYfhCku2t+qDCiesrQI6kUTcAsyU
MutWKhmk8u3gNrKq6FdYI6PBmgyMrLIacSvlMuRwxeZmonTZq5nWArSJWtnf+2pEPTyo6rBJ47p5
KSTRbcuWvzTopv3S6JjPxRRi58+zQdrRCnb63sa4ggM6uD0R/cuvHjI+/LHIxWERN9FuMGl9iu4C
R18QQwTUoBDlnUCiGZgJhiecqNWASXkaUV2Yg0rViao5rJkp2mET/t2DenbppGJtIl0VT1LQIsjt
BhgCij5sTRIQTikl9arPs3rd5412VdNFzpHspnswuNVw76myG7sA/9kXBmntjl9BxiK+psiYHrNe
7q+sEfRrE/KSpLIxN/y84q7iIoEUDaUT6cxkraCl2dKIgiUdE2wMSMfWejwjeLUoWGt1ZZ+iofdx
UqLm1zx6yimhT8fxuilW6GrAjsWDvQ9Uw95Kk0WkrgzZgxx02b7U5AhTGCo0P+D/zTxWUTEbswTQ
XSTrGDArCGzPVjQU96PRDsjF5OLK7mz0SAgmVlbUEDXWpXZfmNZwAxiFmV62sOhL3JEjsoGKfkJK
v9Zp2bHLTbv+Xlo4yVI9SH6EgcFuaajBl7qNgifuIekGxVnP3UGov4exG38GkjDnFSqUO9wn2k5G
1bgPJk+66bXUfqiHDP2L4tH+ugIhHY/w25QeNXkagWS1By9aR4of/BJ9jS9CEuGaZ+9Rp7Zl2Tjc
zHRKvPncQjtkttPyG2OE6vPhAp2UZ4Oz+F6RqvaqqDNe/JhA49TLRr5vPZ2iBDfVb0HEaGyKmFV7
FMnTYLi6XYp9l1nGqu4mnAkwAHaiMcN1GSjqMZOMDgLeABwSgA5ZB59yNCYtw4ffiH7/oRkL41kG
EbL1JrO9jrAaryVyFt9ib/IPfVtVd72s9b/aUrS9ozZ1+qOV2/w2FZr5ZDZwjMdOlcGhJsiwIjzJ
txhupK++HMQtn1Rg32sbrcL8XYUPog3zF+6JndvByWtcKk8phIZYhkWbW9qm8X2yy5hm1BvEMtaP
LDBaV45sgGA2fOgGZvXOM4nfXVZdva6kkWSKoSO4cyZTyY9TDs5nLCdMYrhJ0nsxYXJW+ljCb9LW
6knSM4EMUrFfxtGH3JXV0z5n7hCVFyNrPA8rZ0Jg5EiSbUGKA5I3BV7yoCSUlVdpHvlPWZwL0MFq
uqlUAnuQiQY42okwTyZUd9oom9ZKjghTUrXp2iIIxSUTj7d0rx82EfwGKKNTH28rcravFtvoPvcb
cM2FrM1uH2/v+daw91pbxlkf9f6t7Mv2rkPs9rsOU4SaREUEwazZk23loMRjCOVr9IsY7PMBJUKj
Gly1grzoATgM6WNC9mXrFTGw2AAlNXSqgKyZY0YQsml6TvLLY/k6LMESuZ8y/Z7kcroK80pzRlkg
tWlySb0rbK/97am698uXcYpPo0wMNcS+f6/ovb8by9j+5VsKOQTUTPZaHgLpoRSagXjbSri2ePl3
sIbqdTyg7bTB2zsNMcCjghBzM+mj/WDUpf3dG7L+QQmLwE1TG7jZ6BfizpRHnEayT+PAWGEarVQY
9k6qa95EuD+p4MDHhHBEj8UBJ0Dzo/bz5EkufDrPFUPxPTez/FiihrsPigBegR9CslFoz/tbK4I6
x14T6RtkgtJPbdSVtWUnZbnC0oLNIPRUOlmrJvaMRpenHcICa5ejcP1mNIA+QjuaQUtlvdFaq7hO
OgQhKyHH6c5oyVMYUqBsm0zRkZeGMEZTX5lgqyKVR+UnfS2x+M1EyFG+G7qyfyLqh3tRx+q4sSMs
kqNFykurlHzfCuTksRyap8RL4xs10aRTpWTDJrZV4y5Ky+CJiywin6pT9mECvCZrJ8QrTWu9DoOu
HLlwhdzNve4qz7XwVJZ9t8ttWawz3yOrJdSme1EFWp40aoI7EqfFnT0azXWCavtJ6vwCvmKrZfju
ouQpsXp9F9V0gF9hNcXNQlv7dSJ4/3NaBb5T1kc3UEYMt+KkwuSQWb+Mwuiec06gL2Fati+51siv
CZbW687utA049sLhfjqsa4RePzqMdNvexmNWjFGxTxDnHAvOhTX8gWGvTPl0YuUORyY1Aapnj1cl
rUk2DdlmHSeA1I6u7cXqDrQBQKiqTFHIRqTsHVkbMDVTCT4Yio9NNQ7bY+4jg1opmpxyR9PTX5IZ
ELrhgD1YaQkOAdIY1y6Ow1Uo8bkRd6rDSySy6dSyI39HH8nDI+zdDSjG7mwsnhhBQ50WXuTkhByM
Tj1W2mNiWNPBVrvk6Acpvks1E9tWyMqXrvfA6Na+12ybsVGfzXbSv9uW33/XoKBtRYJbT0FFiidE
4BQKBqyoRl6TQmwNsP8tiMhAqlD9cCB+Uzu2z8popG0pq8p+Ki3rNI011LQwVR9RsYu9mLz+XjM0
/Vsa5aZDvwyIwLI0XFfIC/aWJBAaGMIfb6zJm670NPK4DEnKb/a9YKsMUoRK2DIxEBbNJpGUfpMz
8A7DRoDTVoU9lSv2ye7V4FSXWJ5r2iF8wZmR7OnlEe9bjmM4uwMpsUBmFXsSCiU8btIeHZFxbIi7
f5JKydjE/eJWzcpmPfZxcSK3a9IKRilx8rVB8WyXaLGnIW3vgLJUr5Uy0uehQ6BfJTkbihxBa+JM
TLcoX9Vnmc304IcgDLtmxOFilVhR9ckA74ZFaBMrKbugMFFYsAGvdUovM/Iiv7aqSdw1re+flBqS
n63neKYC4N397K5ppp5LQGt7e1lukqdSRQxWTOPgiGYUG2H32pfcsLrXuhfjKW2K+KHACrXxtSB9
MswxuCGzFG7z1o7xzTbyGhVd8qLo0J8n3KFjV5Qgwhvv0EZR+OB7RGFlEQEL9jkPj8InKzv6XEZr
4nNXbUdxS98hxNFaEhwIsRBppaF+aCUt23IvIgiXq+lmJD95G6RS7EZlLK/bqbJ24UCy3jfl4EYO
8p6/59GYQRhhdSyHJttOEwCRXomoqgfNoOGMTOExKqKzrkKtAEoTJCCPuGu5pWTXe10BUxZHhbQL
C7azSHT+gQMwvec9wvGUEsm1YyLFcKLvo52Mv3MZt7NmSfFjqOq/s17HkajBHiOMI97FLrad1Ei6
CawG5qJJ2w2QAmW7J0ld4k7CGqRKAyTMVCHdXKW9O1Zox0jgpiAH5OKuq6Li2q4jcxsR80Bkwl8d
eKTgu1HIVA86gOxxql03fc5/aQEWXsG6MDskb0Zp+g4zFq1GaBZbQ8l+RZBY7zvJqL43zeSvh9bW
nFDXoUZWyKozz6y5F/Y/1T6Pd+TCBRLSyj4qaF22cz+UQyiH3dXEPN6agsQ3MHDAPTEK4cGwAY37
gkvPIEcVDBbabKy0yTPWQgEKFgZ5dtXGeo+9FycpKADFLU0g66FKZr1Kqp6siJpfB6mCyTKxy10r
AR72NK85iSbAfDYQesQ9DSHyUIQnLBz9rhgm+8rQSE0FhTrthTDiC1XFWQDxrtiuWypaEMRTGoyN
D82PipDZa+VUFa3qXk5OnfGSo65tqp9Nd2GkD7Xu9yMtS+pdgkojoQzDBPiZ44CXv10qc33+KMpC
0VJMFPTNyGQAOL1TcNTib5pQ3cx8GUi2eOjUzehBhxYjmd1DX+z+zvC2LgxF0a1ZEcfPe1MULpo0
bgEjla4uazf56N3IHBFkSksM6tOEabFMjiHMy8wfdzJHFB1PPv8FZ16wkHWdVoezGk8z5yLgmx9A
oQ3bJ1UeF44DjH21x74eXihXnpkuQuY1UjYVKg+6KJcidK1bOrIXbhPq7Qqv1rOqeJtsyHdpl+MV
zbMLVf1zD6UKyvoKAkJ0xwvFlBmN4eQVSu7mKp1JgG3sRDXcff7ilk30TBSK2HTQDtIYXLaper9/
c/KQS1gRGQSCIuV8ZVU66VZfyxtB2+DywkT5UPH9MxjldcbR5vZw7wcrbJk6VjDkroiv8/4uEYdJ
P33+QLPWZ7GoBQJaEwWNaago2t4Pgeq/lD1Ezu5k/CyifsWW6GcHTpmNBcKwgUT/+XjqmWmhc9mi
Mdj8Bi3UnO+mXu5PFP+KJHe7V/9ZvNJMxKFnwl5zkg0tK+nmsDHX0xXp+Fv/BM+VhnTekWYVD+pX
280vLIM/fZcXT//ux8xT6s068LDXd33Hj4GM/tTsQVVu+0OxLzZEDbdwpVBOhlQLjqMLPfTOuvrL
fRLn+aSTk5A1S0fYoyzn0xSXkSxrFIxsP39EmPMtCP+yRoMhLNS1GjUohBr2YspmaVD4lI0zN5uZ
i91Rjx/88VJb1TOL790gi6naTLVWEjZTbUYV0FiyE9iXBBhnpio3DV6SjhxYo7Xk+4/lN5ERNz0e
ClWf8I9DtfaK0fEs86teQ2uTC/W1qeQLu9i5QVnmJhvKLPLS5+n8Zob0vV9brWCG9GUtnBBRxMpv
kivQCL/8vL0KFfWpy9UL599H1RDv0jZUFdUL/7bkxaNKSSth3C9m8WcjoVC2N8rOOBm31gokB80S
3HTjb/QL++fFUZdLc5LgEzSM2ju09qIKibhFP86yS6KXXb0vb0liXni/f87yxRI02d/YenhS0/ij
unnzgtuiUtoEwI8Lhc8FgHww9mIb7Kpte2EzXWqj56XG/EfeKas6UiV58SlFk0rjJOsY59HvAJL6
Erjw6R7AUzvpJr31nEsv9IMycB6Qa7utYXG0LXPxPutsiI1gfjRt6+/q7dz3clYG/sWmv3+ei0st
4nj+0+Th3k/RMba440p16dYFcOoujyiV9NaNGlXVhY91ZjHAB0PXP0eAmmIu3mBpSnKozQjrXLb3
aiC+hElPy77oUddpBEhtHlJaZV04cs/sLGgSVYEqmKa8yNneP14kY3/BU0IHI2WECJnSmOBS++lz
Q1AKFJat0h5X+SOMfDMHI72OE8vMSxcXXroyVPuJSv6F6Tf/zOU8fzvGYkl3RpBD8spKV1VRwQC4
CKpr0pqfn65/vsDHUWwWk0J/T81ejCLZFB/xSJeuKFv5VAH3+aGVWfEcdT7qq7RO3bYdeqfEyLWx
QDquyUDSij3HrlogtzpYGAExgqMvIt8/bJTGMuFz+RkU4iQy8VVDr5whTWO5MyQaMeLM1K/1ZGgf
JQTkFkagSn5J+0w/srl191lFZ5+GhnvraRjUm7jJALGNSgW/rVVjR7exjaZxyvHqx+jWFcNb1x6d
b2Hw+b+tRC6vRR42v+QmkHe+rXs/uiYITg2JgXXrwbZqB8lb5Xqc3fgBULumwcKqKV4E/7ZIfTi5
mvygZL1ywntO6V8ypkMZ+hW3I8A+ao7aw7a09GFSe4BLdWc5Y1XqL0o0Fl+UUaPEBY4guBVJb+zM
Iezu9cpQnsnfRo/BTBGeRss+gDITCEl9VPgKpRR2g+6bgQpg/fmnPTtHySLx0+Qzmk61TTPDzviy
KtXFvCFSUy+oqZfWmD8bCetMh3pt2hiCFvuVlIVJCISgdLtNfGyuhdtvI9f4HjvGCoTYb98xdqEL
SWj715/MEhZ1dEJCgqHFZcyTVEkpoC9C75R+QIA99Pnw8/Mhzi2+t0MslkWh98iKG4aQxJM15Gj4
Xifl298Yg01RGJpGo7Wlf4B809DhZwV8ngIwTl8rSA4mnTr+xig6YkYk9cQG2uKSk1j4IySK6m5C
VbGpV+B3/OjCjnv2bZkqLmNVUefD6/2Oa8RKVwZWX7gqyrZROwSw6Xzjy+cPcu5w5PKpmshNOfnF
YpAiCgjyxIhnncNR+dMUGqzHxcPxo6idQ/jtOIvANC4KqddKXhgyuwRiveHkN9Me6Ngp3aILcMwD
5g5YbPt0039F8OB+/pjn3qU9p0zQ1M/OlsXMo8anJrB3mXnKddfcVShIxvjx8zH+nPDLXR9PNLOC
ENVmJb3/YLAZ0iiy6Rdar/37AQdEfkf/K9f8mm79LUzFngCuWxPmuLJbbgpH2ic3IP7d/NIOMr/M
z37IYilLntYqYFZwqt6mT50L4nrl/zDXw6F3oThukEFuAateiErOfmKiZOvPnVyYymLfgpsDmMAC
hendWA5Q1yPAjStlY8wXS3fYge5bK47vWLfxqT6hPLk0/rmt+e3485+/CR/CBm+vObFvej+UfBXu
6LJDq7BD8Njs6Qzq0FbDXau3KZ9iD1hz5YRud+Rau/58FpwL32nVa9jc5QkHraU+vJWChIle/XNF
ecMecOPO23QHVPHIy3A20o4EBY15YYafeXqLAJ6kCzNPNZc+H7X3Gk0rGTZDXBPpMHvSSy94XiSL
aWVxCdbY9zgjPmQex54m1yh72JC2weM8vxM+a7Fvj+Ha2jcr6WYWca6mNXqg28JJtvnukjvrzG7F
sDppT67pQqiLjF0GGEjOZRoy2jNsDIlaRm9lAegvrek7ETy3tX+jGtnm8096ZvNgVFsTnCjG/GXf
TywaKfbC8+kqqpf0Ua+sajuZkIXVSrpw4Tz3DckAIXYX6MEUc7mB9OhxB3rFYi6q6BRTXA+Fv//8
Wc5OT4XG84KjXqVMsxhDsnsllgWrRF9x/XpScNh1u2aFmAijllgn63CTf/18zI/vj/nCrYHCPTEN
Gc/3789CrulVvoQbtrVXkbS1NLzi0+FvDEIGn91dVucA5v0gZm1Q4G7ICMrFqwwed4DfX/rX/9kg
883szRYjB0aD7phBIu/GBLucQ8nQY/MvBxe8L5KKpsqxTA5+MQrBOaGnQOVla9Z15oePUy2B1rqU
U/ljJHu/nudxMCdpqqpxGV8cE5XSIMSZM7WNGz1q2EmgbLn21/iQO7ETOslz6aKeogXimkY3X8xL
M3H+Ip8NvziToUrQAbBjeG2bUYmE6TW4WLKuDDe/Tu7LTb7vnI7GRk56eykJ8fGAJLZWNK6ZFLC5
ES2eXE0nE5QBvc/SgrJelaevSgTGrwIUGGv9he3jzGAK0x8zJyEWXrfFzNQnPZo8S9BXNH/CPQP1
9LGC1jdeuqGfWdo4Zt8MtJg3WhPrqlbiiB429iulM5c2gVfVrt6ke2lLx4l18cX++fmCOPMNiakE
djDYT5oqz8/+ZkEgM/CMWGNIPwE5bb+Y8peMrVGzYYRcimrm+GExXxSTaFsBLkgtY5mN60MpMX2U
kW6zmfCfpWu6oGzkk7aiObNb/KovjHfm0UxVoBmiOAMMYVnH8JRAyfWRoricvwqkQw3CDNqGuG13
5Jp54Ww9k3+zYT6yCIkYOF+XZZpS9ANn65C49L9xNUfZaXsYo5vocClN9ScMW7xG858fzISZ9CH/
hjq00nzK60SpALDVNRqctbIdHFC+jkFq/ZJf7uKAi2lZVlMhypgBO6lZT+DvDFFsUGK49Xhn2hh7
6O9X01o0htdjep2j1fpWadH6fz5VzyzDd8+9iB18+KYeGpvEzWYML96EpPXXfUwTYtoBfT7UR48i
m4qYjzo2V/bxZcoxiDSYtmGV/DlkJ5eGWERI0QNdysKt9tCthSOv5BeF9mzrSz7oi2PPQcabJSlP
KbIAn7GzawII/IMrcxNjIC7W4pDcN9vgOEfhs9/1Ugh69g2/eerFOQ+HX+/KgZEj/bWbVKhvyBDi
59b+/vnrPRNPvHu7i00H4F0vaRrjjIRJJinqQnItML2fjzLPh3frxCAHKShy2Kqqcp9bvEewnw2Z
1DhlRc5p42bHrFxfTht/vDUyjiooNHDPJsxcxrSxUYaRbGGrBWG2NaR1/bs9WFvtuaebsVs6/o7m
0d9tJ9ybh2ELS49m4RM9M1fcH932wsT9sOfNvwUltEZwTbQrL545prlGlsz0g9AEumcHtJ3AGGPA
Awt2Eo7Ez9/wh++4GG0xX8bBNuNqIhlay4SelXeXiuo+bOqH/2yY5XTBFhVUaoPvqqM/GAI2VPFS
SE/n8NffGUgn/8/CJ3Rb7DAwKoehKofULdXbJntq1H0RvH4+xMczfn5ngHtIQaoU35ZhbqdgC+4m
n8Y9G9XRHPMW3elm2lFB2Ul3xT2tdDaXLl3zR18uhLdDLvbvWFYTZUzpxIaj88kcR1LAl25YH3aO
xVMt3lwk+xkyvDCFg44jtDH4OL9UJE0N1OjPX+CFkYzF9aegbmN3Ou+vzX5lzALPeooqDKe0HPx8
oD/r9pPXtoyue3MafavgtdXr+Ru1kNxoFrypn6d9uA5c9SS28Slbz7VsXJm3tHl24w0r/NStqfQ5
4cZ8/PwXndvQ3nxHQ31/MLDaDMQNPLq2reaMyLrd0Kl6dynAuDBdlunrLrKGMoXM5kaNclOMYO6r
cfP5k5zbOKhSynNoRjS4rEVldCCMbOQl9L2cYJmXLny/32mHC+bzceaZvfyEHOSYOaniKMYSFgXq
2RrrEph9RkvUksZ7BR2a9a/C+xrUv339AmDh3NrmkkCCAWc+OpDlSQD7pYwz6jAuzjdaYQpSZ7Xz
Bx3l5PuE9cepHd5eOrXP7PmMSj4FogPEmeX1xGiyXiuQE7pZSoI5rq1bIMIHSbcCF9z6Hlzt/vO3
eubrEU/bJqgzC+rN8q2GtSqVgwnsJoZNb+nHCg1o21zY9D+WmUmbvx1lMdsDMLAJGYGE2d5da9Cc
N7QTWQ87zW0Iv1D5IVU8ff5gZ/aWd0OK9wssEG1tGN1YufSEcZOARg89Hc0ljKzZhYn5MaZePN3i
oMa1i0LQ7Gnu1a6mTbOPDxT4VuM3KnXzJLkY2p1ZCe8ebXFUm4VBhyADJo0ZBy86/a2ygmZhvfcM
HBoD5pXvXdisLr3L+c/fRLG9hbGlapmVzRDdeMpt2QZuSX+Ytr2AETs7Gw3+sZCyIHyYl8ebgXw9
UX1fgQxTFI+Tnqys4D4xv34+Mc5/rjeDLI5Qf9ChU1D9cs2H8Khvyq3n0sXmIA60SyMQv3TluvRM
i+M0RaBLy0NeniIf1e77RLMau7owBT+KtuYp+O9nWkKCYtTPiIAZRL2Tq1V+rDbqQWy0dbHHwrVS
vlY76SajF9L1zICCFf0SrC9tXed3TGRswK1AwJEVXnw8YxB6n8yzxO3XVoxijAX+SI8FDLt4jNc0
0XIRdSFd//yDnt0z34y7mJ2ZNUy45Jk0bXHMqpjOWPlGsk5pWdFpUb8w2Nmv+WawxQyNJpVWNDUP
OdcCk+R7RF/TOJAujHJ+jr4ZZjFHcbyKOBMM809JZeCUW6x57Cr2ttuOu0vplbML/M1wizkqqy1+
tanM+D6vOkatikSAQd+x/NKd5kzYg0MfgIIsU70ANvV+jgi9GjM8MBUsxlla2OxmiNzfCnsYhuIA
hVRNJXX7fhgjMBL0sDnDVDL2DxzTiv5XywNzJZgCJjIepOvsVe+HkHMdBc6cwcCV4JT0hi9p8PjX
JzaXF8Uii47GYSktourjpxVtzFycU2tZ2dGxAdM7JIXheYTh+PlgZyJF0I3/Hmwx44phgPNQM5gU
pDtTL78N+iXFwUeQIe/s7RiLaRaNSm+0GnfM7Jt60Bxqsr80WhhzajrTOlunD/5mwozuOX5z4enO
Lds3Iy/zh6LF99kGWepOMImSpndq6XYS/YVRzr5DNj9yFGRGqXu8nxPGiDpnoJcwqO2buEtpmTW6
n3+lcwsVscv/H2Gx1wE0t+NQgS2GQpf+TxkWR5BpEXVMust9PtT5h9FItgLWIxKe//zNWYw5HkSN
Bfuxpmms790qyYUI7ew3oSr7rwEWb0sfxYgIgNOhAj8kUsWtmhfLa3b/2WMs3hi9erLcnBGWVfZo
FhCEEu3Cizr/HCZXH767pS1D6FrSUt038nRG4dyzVMfZUr+T2ubSEv2Yl57XD/PqXyOp7z8JejHT
GOw/OE7joO/mUiFNYVBpXCrJXHqkxTbdj8Eg+WlPus0HSNFnB5pp7EPPvjADzp3cb59nMcXoz9XR
rYoMlzmqz43V74QvDY48idvQy/aGVl8Ut5+d1CrlchWcqUBR/P4NqrTI4bLHG+w23OjAlUSb/Ev8
Y+ZkS462Sm9MR0aSoX6r0AbQXLf7Mt/zgh9/XZgwf0oD8SPaUQ4oY/FDes9WsDexISXXNCClbxt1
hnpb3xgnavejE5/GfXCwLoTXZ5/+zaCLtZD5A3CHhuRbAkhiT5+A9EjfpeFSNHppmEWMpMfA16qW
o0S3bwpEt0AmPl/TZ3fBN8+xOKv6uvNq4fEcQdoeaJjgiLw8NHnsiqJdfz7Uxwz+nw+FHAspICyS
pSYLgo8opYmHmaNaDS52sVeumS+33Y5eC4ojUAAGa+mndLoUUJ9/jf8eefG1crpJSE3D6ijpo+ZP
XbOKkmr/+eOdH4Mywaw1JChbRDFBZiRjmxW1i9f74KfTfiiNCxvwRwnl/AZtfE+6Qe8fMrLv15w2
GbSR1FhzI3eRDba+H3OKlHbhJ4z229a1oKdWW9+VNn+e7f/A9P9NuDmrmP93MP0NOPr6v7a/quew
foul/5//8X+w9ML+B98EICp4W4XlNKOC/wWmV/6BNE+m1KLwN8Qf2cO/wPSK9g9OIWsuoRu6bODV
ewOmV/9BhYawG6oUcomZdf8XwPREAsyNN0k/rJVsxzYSI36iOSPy38+djpZu3Bg01VHNoI3caKSh
Kr7s0bTuLAkL+tpqdJofF2gIYkx1kqWtcYqjaqklNVmFtSWdpsnvJ1fYNGzfVKAh9eues9kC5pG1
0ppWu4W/NrOM7r+1ImoN6XRXDyBlZlpjZedlgzM+7PqdarY+vbBNDwutr6XNTRtMUvsUFa0IfhuF
P8R3+iC1v+lc1xT0lsQ6P+whinn1OqTZ4njVDd0gO2XRlOWRw8mn+XiexfEtOrHitoOBeUzoHtE/
iIFWHvQmptPVVh8D34T2QV+bYSYMCbH3jEGH9Ab5RHbsNPZyhzbTqDUQElUBWphaJHcYs2sA4Wmh
Q1AqFRzIUiPTmj6VpVn5U0TyCEUo6GV4G/TMquUdlG+/oR+rrdbFhu6rEwixNFbozirZoXhVCgBO
jilNjb8mLVqgGCZLuRZjNnk7I4UEuqJnSf897c3/x96ZJOdt/An2Kh21hwPz0BG9Ab6Z/DhTpLRB
kKKFGYnElABu03foG9TF+oF2VUm0/1K41rVxhC3RIKZE/qb3GIieOr3KrmJNq7WNbjMvGlJ0S+Su
D8rKYInByfKII8VGSZbHS4C3pmq1Q6117riRum88mFU84ZBum9LdMOZtPC3A3orQZTScvxFXnbuJ
Z2WOBzohyEPNOftxyKdwNJtzU2ZBd2MzkkyTI9qTmLl6Fbh73xyC/pDjZXQ285x2PRBuJjRvDWA0
zJ47RZDvNM+DLJc7yvOhPjZOvHEhhEE+RdihIoy3E/qsrHOnsKn5xtEkw+TCQfNHNd+XHh1jbF5G
YA8ORcwxxGWirNfcWCDUD62f3npVyQcqje3gRbSlWe5LWFNgZHKaNi4r6IzNtu26sbnQJmnp58lH
rBfq2pDMN40nsR7OdC3QK1AiSbfNDAW7MJ2R+qPXQnYt4lwFezeOY3S/JfNg7VC5bz2+mHu65mJn
IxeAP1tMNP68mdQkjTDoW8v5yqo9PU22Nr+4ElLidgbM6WyKcrH7nc1QLPy0IdHs/eLAU7ootUVI
cA0M7J6yyk3qh3Re4nibGMGQ3TlpUrnboC2E2GgOz3Nkv5tRqjb2XhpoXwwy1YH+yoAhFhUMcRhV
WEcqAYARAwyeZqQrFbRBuU8nDxdLMyvCA7ZzvQ2DbbGMCG1P75CT10bFnD1T+e7WNpNKA/Yw3ql3
5Ysda+hfMrc3PmV6jBSGl7mGwcH7srXHgdvqBdZFruZ6zw8sT4HhyAaK5SzSGzbYvdrV7wqa/l1H
w75fG+7Bn1QicrvB9HfSgq93Sb9W8kaXz5DvQP5CfHNiNSZbfTA0EHZqslEuvAtxaryVOdO3Fkj2
bJa04ALq3begiSK9hW6L7V428SZpFJrmupUm56XhlgmBsNaYzLvemE7V7CjrUPva4G46PGP1RTWr
+YByyRFoQ7G7gjCt/WI5tbmIvb0afSxAtVaP7h6Zd0Cb92g6/XF4twY1Az99RG656oSyP+RCjYqL
fDsjtHx/haW9wbw5tUf1biZyZW6KC+PdWGTLDjxKEqwmI+3dagTwA0BKkvoQu2YNx9MTBYX16Q2E
hmPaa71yOifz6krCzYU3aeDpKqNRc2LrJhlz0dICSbdoujPaRD4ArG1YijWpXQWAHZatA10Yda+v
VfmlnSJvqt49Tvq700l3gElFdd2LZeObdeLdT8Az8z3MHRhlQDid6iJ790TVVidwRoEJFUxCEwiE
47tXKnMwaETi3Tc1evoCSLeHdBZvl2UxzQcDOl+wdfmVNaSMTq3dmbOlrBA88TIdpmC1W5mNvTTX
aYKuNfaR2Lsz0aZW+Okn3MgeXBAEqAXd33wfqtNEk8HyNvdJSVtRU9bODkwPZq3MQFe2pytV3MJu
bMfjGNPcvZ+lyppDYc9JnoS91qPdTqYpsS5H9KHDiV/OHnedZcdBCORTdhddgy03KuKJf3ZFF7PG
ju5USniqXiWv6zyfBPy7JXB3Y7/a34CjjqggAaykN0kjUYKFwqQUfITHOLrbRMmSfDJg82qbdK3r
hQtEEyz1hcN/9/0Bt4kGAOIBXHU2Rlk7a/HGrEx4KpP0R3qRrYoREBCmZfZVMyVHrxZDc3FL2/Hq
QgWAmp3BfwzWqcmWPI1YcisIHqz4EkOlXOZTVQRquYVauQB+zntPC92B5RIoNHarMPVAWl+z5LXa
LQizIdhi9W7exKTpInQ1N6HCHLcCbKEF3GQIvM/5MJ/LPod9prpm33opvOdinmr+dMSGtmviwHnC
/FQNAF9K1+STo5sMY1mDsewsK9aayNIK9eAn5QSOtPEAolRxwYQoeJB6a8SlnDc+m9/+Uvm5A+nL
Yd4mgl/D2sHptciec5GNvwexf+iA1upbK+sK0vRWBtI8BIGUPo0Y6rasQjm2LL/gY5E4YnoFbmrG
O53ZLoYJqiRmFjXIIGYWbWM6oS7W1CcoxfxFNL56SAZC6tBmORSbRLe4hXprUsyHoNqSqdcXHhtR
4Usl/RsbY6hEPCdngeRw2Ofwqmv614th3qELnh7aBfhQ2FCnYeYWDRm/jCl5+gpkgX2oXMcZTmhg
E+ubKYO43QnHpMULcpRyQ2zRJt2lKGJcfef3qgg2ymKWfwemEMlsxyPNUi1NsCR9VTkgWQwwxoBH
c8FQnkZ1Kwco4kX+UAHjJuBI1QkvtpdHgL0LFNUtNnO9sALtoh+8gd57Vo0xuRNNwcpg5gKWqz70
qHNnr+maTWNgV7yQs10Yu97yUWnKys8U9Bevf6knvgm7edawoYe2NJSGf1A1TKyOA4vfAoaL27Ze
k82iLyBcGi9t4S+pAed9A++13ALr5E0pIHyBb4Jz3d3HSeB1MSh8reh2SvmNuBkXx52BJXsKzEut
Wvu6ZTMGxBu/X0JComgm475j3QIqVkN0Ew92VeXB88h8BVgw3E3sBkt4dPCoJBxiiTI+vs19uxh2
ltbNKHdH3Sm3bQsfnLfdllUKTjPNy2OR88yqVq/rO58yfn1r+XRxPeYzQC6Mw6RrZejVWSv3oKWS
t156DBTi0Ay8qOfbCWxtbnWYbtB7mv6o6qGZmCos6U+qhehR87ZakT/k1NKXkF3+QPS3iky3UGWS
9LbsVggbG28wV/XSskyEks2SBuJQF99avZiL56puZi3sUrEZoCNN4ey2Tf3CRlzK/WgPTsVoYzG9
KjNwvFDnf6EuIV7ht8w9LRf39KY1d3YndQ2Nqyu0iS/UrOF8Z+5UPlWO1RhwCwMJEU+M/XKOk9nw
oyaDs7apXPoyd57N++hJwyHlqiq2ZkqmsPKW1uC+e4muL6cutniBYElbwckeOOVoyaql2zFu2nVR
6lXISbS8zPptkkFh2lDYTPA293K85t6X3mbm4ouoRPqZbPwZcMgFWELKeHoNxXVvMaHaPCBv7BX4
/4k3fqnYHh3y2kFFmg9GJ27K2QIa64/WURYDAFyiepruZ5GPkJ998yJvPdP/XJD2MSMkcTr9LIrJ
5VBJrbAPqdP3MsTz9w4PH1S6+Z9AvJ9XQ9w6RkHH+s9C8TtRv/37/6uzl+/j8P/8uT8jcSf4jb5U
QvF14h9FiUWe5s9I3HV/8/8wfTATsHYD8kf/EYl7vwUkAnjdaN+gRkTb4n9F4ob1G3+2Bs/0aINq
oK3+H0TijEutofZ3oTit8gT0zD4S2WNRIW//Yyju92NbL5ZZsAuHdmvDayO8UgvvTzMcwQjnbaiy
bP7MGDYUuCK4sEvT2laj4YOwbJenebTUefSz8sKx8v6rUbTzg5e407ZtBF0gdVtezj4xSb5iL0OG
5+OoswI3TF3g4YjExwSiucMfAsXOXb7XY3c3VF5Ly7mb2QMOB5dZwkrox17TvBdPJWgizQyUqF7R
LcoEJwNKdbnreP3QW7BtgUqfbJgh8aKM2YxLcxCOjQfVnM+2X/RY6x0mjCqSZmfM4l5klKNz32nJ
mhYYnINlgYrWKlqOIzd26ockVd4L+PuOKDpR+Re/x7yqBUX3lAiXkKxpaJ8KC7bAr20GmjiaymXd
ZMQxZep+0CLQbY0IK8OYD2nlZhi5k+R1MXV6hafe/VpZuFXD3tFQq4i4vPI6f7zKLWd+bIgr5kiy
7ZipbbXdq8i7Ck+Bqr3nPNY9fqpp5f1IdBBBPG3gNQ8D2UQPjYCJM9V5LRyf5YzT98/4k1nfauG4
XWS5fV6Eg0KyyzdRjjsvaZdPMpnlrbSYWnfZWOxVPFRRC7rpCsCqIKQw2nOXWfWxqZVLsc21JdaP
0qdZKqtnSFx0eVvSoJkqyYbQstl3u1CBrzLTbqKAbdSek/c2FMB1aHRef4ah0IL36ry9AY780DH3
FVWLJqN67vvjVNhiH/fgR8MAPTABmpbcuRz7eZB6EyJMtQ/gmORpyQ32q9NMAOI2w2PfNYhGIQXu
W6NMd3NXwTnXG2Oru0havbQAMwaUjQ9dq0WJ3kLqb5sUtVzZpfw6Je5jr1rkDrkEnwOCrwFIQi+/
1agwsjClRTPKCBEuUMVWR9wV82WtNc6hzbP8CSNxti9mk3+YQXWrOdClU31aMZPjyEwKs31tKPVg
OIOW8M9Q3OjKGoPFfkLundGXmXbA4Pws6spkumaGIDkVs2M/JJXJ5ojCXWRksYLHPw6bvinl0Wzt
921tICDBL0tE9iOBFGoEOLpLP72GSWX7IRj28gXciXvQCXC/YdOST5ZfxOdMa7sSlTokWVszCY3E
qB4mxDAi9AEpb322dQ/sK4OtN9vWBRswyHyDEZxk73ePnsW23ZjGLGJspbhoodANctdOeU206zs1
EB6yGnvd57vL3rWs16F3dlg0HQKqi3kyw85SkBiJJLa6Q3DeJWl+YZt9fVKq9fmsxujee/6A5mIi
oGL9e6L1913a8b9M2KhtcW/kL3ocs+1FnSTv9XZUu8Kc0ttOkuBhLK59hpvMXy/U+nv4uHouC+ax
qEfnjfW58GEbdCUZGoRj6RNbF7VTPZ6HpLX43e2Jv+jHBj+T8xeRf5d3XZkyilPI8k4p3frjh905
z+gULyFfAGZtxQWF6a/UWfWdELECpx+wjMoWR7rqtQa/oQUwMcN7DlS5sR32I/MwHQC1Nw+VsqaD
AkX+JASpoZ4GVwjFhqsunEFD0VPnwUVKX2PkOtnCwoudOpIqEETRVqvtHW2i3t5U6XWW1tkSwkW0
7vVZAVbW4wCaa7foj1TnnGMmXfOEoCB5YpuZfzWsic2HprlfCFKcLwgRWmcT95C1wddinbMtrdxw
hz1wxMI5geccnqeiLK9pyAhufV+L91k65zdqcriOppG/FFXl77Ecs4V8v6IIee+KyuGK5km9xjMt
l53HeHpq/dy+xVVfM54ufCGvi6BzEaP7OInDjp6kq4R0TADucY6vY7dRt24t02OxKP5n7/fDblX6
JGzozREh0/Rgx6VRRNy+9EkZU3ytlGV+9jXVPr+r1TWfB6oYrAwI/mw/FjJYqrAA13nhTTYmiNxs
TpiFZjeynGqtQaXpnWI3tvGXRt7TMcu2tEgdSEztbLaRrcb42h5hPdudCsiXSJk+6cHSPiu9Gqr9
+4OdQDGE0t3N9SkpLM5GX3hHLCvTD3oeY5n3BkK991+vY+vQbDsxtM9oVfpjjpjpDXsEhrOZ8JJo
NrO2oIW5iJ1pdSwYQrcffZKR+7lhTxFW2eC/CFLhpy417EedwJ2IsjCzBeFPxTeyaPsJ3HrHHlt6
Fh5ldw0fdZbqJEmmB7yX/lYUC//RhmvCP9LpwS9H/i9/vEeFma5vtQy4BHw37vUxjd1dgo6niYQ3
ahcJAJSVazw9qC72w46p4oqWsS7lnMGStjhbyHFWKM4QBPiboC7yS9nPuRYZ2GK6g1/xN5SsLDNq
dYuk/1hXLHMtHNiNKSpX7Hrq5l9JRdBZbg+WeWkEwt4DTQ7Y/wo+N5M2Wk++HFZ9DPuide2mnbKd
iApwlMdhNlp6EIEBXshRLsu9k/VZw+pkDVekM9OoTy2mT0dSxOQ0Cv3LIpPh5OpLYxLCrSmmBkP3
LQYTfjmg5Zye0yxOQiuPv0RaLb1HRxfq2dWV9ilL+mKHCwy2TCaUJo8lho9ja2nZ9ZDrwt020uo/
d7VLdowiqHPPRSV20AEAH9TIB/guy7xp3pL2G24piphHqQtI95Pq7moZVHcafMrfPWtWrzVn8Dal
7XJjIST+3Lezfp+MPJQlN+Mpm9oe59GUH1Rq6nkk3Tx+jXm7nDDIdOsCio73yGqbwItU6CnYA1nm
kWb+/KopzJ71BP3Ho6qW5J7Kan5ZxX1wZbO0flHS1I5J7+f0BKajsa+GofzEwPBYh3FR8u6mOLUr
TcdCTpSPRr6B3QOqulJnYTUeuatkejTyJnhduLpeKJj7ujQ1iEhRXyBTo3IiU3O103cn4Lnqep4c
/VjF/FWmzppPI3h3XALmBJR3yhE3klODn4aVOxJB7TwMXUvA7+jYKBZnWU5isZdTOlrdrugamwIL
m5hqapsdM849j9AQU75fU4xjlHe6gGOU6Z8GIR0VcmrqxG5jMTdeL7NozJmrsYfFOyb4DPYkMwDy
dJY1M4Y6md/sOZBvrj01Z28s/J03WEjNpymLn3tXmxAWt1VdbgbyqTzaiQO7nH9PvgZ+aT27mLu7
DV9a7813O5v6U2+ueZpCFygTcvfsVk18XWplc8MuxrutilyelG7M94MfzGY4oKI/Wiptnsx8KS4d
ryT2N33d9Xl8XV/bFcIfPuP5KPEz5a1L3teoyRAz+YXEVLj+XcpsitxZjtTOkPcrKIFG172CPC8u
59KghiA1sdWGTryuhTP8dY4ikZ4s0nqdpd+eTCvj5jcea4BPAKCXoqBUpLEoLvp0ObZF8aqBhmUt
IV8Q0HBz17A5eqNJcozkCHY9BhF0YPcTXMVoGpgiAfgsJSuVaIQBf094+85uqyuzqch5K+XpN9Kl
yyWUsmn348A+zlYuG+tao5hV0f6x2Aiqmvw+xzxx0cwmsIWsD/YWtTsd89lcHqRZgLx04PLmY94f
ZEHEb/hGdkGuAVOPbmg3nVPRH5A6Dsq60ooYY7Ouq5LvMktvtpt15R/NpAOajt5t2/nC2sRTZVws
VaN/5kUy9/hO+pNK0u6QQVs/+KJ85XFPbpteoK8wxuqoKj5/aprru5H9lAhLq+v2KWjcuzwdtVuF
W+wTnw651We2hcJr0oeOgeyN2ybtTeuk5gpPWu7i2EWqkk1mBHlf7KG06RtRzfFt3PvjpWmWc1Qj
QocDaxVXViPMvbnYyUO6pPrWIzI78/wkVti5nnoj3VcvYZlZ/TGOy+Q6D9BOOYXSDuVCcnSkteEA
7R3CtGI6ZfHq5U22rcnZae6uVfPTSmrdxe1EHJaM3jnrjO6bXpvL71o+01us1d6TVEsbuW53dFkn
Qgn9nEdn7L421py8+HZS8p7m3t0yqeXgkOTyWWCq9jjH4MAbLZVHd/HbMhx4r2/HJaAOk5jUcg0W
APR8kMS+lJ1XVhHjZdlNoXc8fPmMFy7sOy19zQs/YxOak5Ot05EvskX95NrWHFI8WVmOvy/9kl4X
9pLf93Pl3lGeK1BzLrY9neZasw7TNNl3AVnJL3HsTDK0W7c5YI4KHrSxVl810UviqklcQqocsUOO
mbwpqHeUYW9KKsyx1dsPebaU1zWlOmtbjBMZUyqlW10L4kNpdsKKgny0p13rGyY2YMEyG1Y28pSw
aKoRnVogDUbuYXTf8E3qO1yVJbohI5sLdhitbB4MIabzKB3z1OWmTELw2/WrYam63VBmItIgVzhf
504T3xIA52e+fZ64kzP9Y3stSZrLWZXkNcVc3fcoEWQ4V3q25zMoH4es9vYrCO3ZN6kghsacWVeU
YGr05IhwDDCjg70dXFKrUzpgeBt9kBWZrZHXRWTX7CpNlEcFJeuQs5hQ1Q2sLt8lDBQela9TlHdn
xJt4ImkQsoL45MWBecNmSD85Tt0dRCmdY8Uu4otniuRqzJvs0A91tzPKMp6RYgUp7oB+sL8MpFdO
bSPJjKG5CS5jNgQ1mBMD73ipkxAg8dxcT4yN3+Ya9WvSq0v8YvqsYDF1lbcJQm8VUt/MWTbmgNDL
EJololyLh69s95DmDAHCuzDpgKNvtWbxPyNTJLG7uAWSM4U4LyIGVPuyNc210IN0gdYJD+J1l/Tp
RpRj/3vvDt4FFzkY9sC/RzbEydTfIrMiNIbOxUfWa9Mzs95MpHiZcWEEjX7QglUhV/VtdZmYjfiM
fiP5ppe9f1X7AzOTbZ/cyJ4Vd6wNMURmV/c+hOTEPMlGJ5cv45E2KJuc/Z3tiWkHyE58rrWle2zK
pRLo97ohI72rumdPLz1sdW1mXGX50PElG+HS7VuREufVfeUeDa3TjuA/E0xFNiefBc1DwgcXFAZe
+avR7us7VE2Shg/bAdI8DTMj3EMtnmhSSfbzkGYHsjZ00CVGhVtCLzBacldzKlnnwhxzZr9zLQXx
T0kiGBr8ipObXiujU4eKOP1BmcJ5CPg6aGZ6u+iYKrRxeNTwqBEtC738mnSOebTY671lqqYlIGi1
4RpHZbs6xbLrXpnW3rWyYu9g0Lk38sx9jDGUXbUoXA82So/NUJWJjxQpt/ezSZwSFqUYO77kQXmZ
63a/BU2NHSy159uR/eu5Z44bunmXabgU7cq7JKbTUXvO3WWWGslBL838ysmqciOBpu+LafASYNlq
3OZSw0RHbuls91nGsG02b+a8RNMy2NTVVTueeuUEW3Q++SfQ0fJE+wqWTL8w3XsQvPULm7zlwi6q
4sIYVLIXEEt3xTybUBN966JypLx2tFzt6MKYplBLs+rRisfy0p7qdptjmtsKo0O+Fav+CHJG4uwh
Y48yKzuC2ffooHG7J5pH3EMj7PhWp2hD2UpK8iXzGzum9Ij+Kr+rF5OCW5p3Z2UO5cEwMv9ZayY3
mqAZnJ0Rc6A0yuZIUUs/zrPbP/LdVNt0QCXaIt7a52WJpqhuE9wGJOTmb0zfBUk4uX12WfGm7IZ+
Li9hIvpnpUT3Nhj1cohd075vDT89UEWlAhRYgpb1XFDL1LtuNxM+3rid4eybbgCO6QlwsLmp7ZfZ
0D3af/r6XtCMsxUUJ27nxU9uSFH0Oz+r0W0Z+rDLM0wj9Aob+b6miL6tJoVbyUHB7SIm2GXW7N/N
NgkLQ+o2MgCytdEyzM6XVi4B3/gAJvU8moeY5NINkQvE5jUhNXadt3UGVlndQLbkznNM9qIrvrID
x5OLHf4aVGl7XZoaWAerQVa/GVJcnEhsxK4s55i5ZY77qaG2fMfERvCYZYiY1BjYnyqTkgRvo+m+
wu2U134Te1dGEWt7W8zFrjYCarmUp7aU8tkUuIO6mOm/Og5NzTuuWxCBJru/YBxXvyV2qOc1zp2+
WqJoj73VlZ8cqsgHh3LSlnai/FnrGustlRlRdRYbd1WdoG1F03IrO9M/I7nRQ6q0ww6vkvVk9kH/
JlAl7GI0VWebj3JMlVDX7rSapocwwOLDHtcoHv1CT/euGDIJhL1Kz/FcBPdDbGZ3/1P5+KPyQRY/
oALwr1sQb17af/+/39c8/vyJPysetvub7iIPDxxas1YaIZ2n/9F76P9GXoQmbXpGVybxOhv9Z8XD
/A1nIlQGhst0EPrQ7f6r4EEzI5QPgzIFWB9+6J91Hv5Q7KDSEnhMsTHfw3iCi8V97Zv9bvjBKBcm
lSijh60ePHjaWJKtZxgqTrzn7y7KzR/1k/9VD9WNyOij+z//9mML/PuBXJNnENbMCgL7ODJi8uAF
saAk2fi+isqqvi3Fch1QTdl1fXHR8J3++QF/LOO8H9CjJ4mOX66iTl30xzOrasluUmHdXQg+N3Ry
vJXDdOnryX3SNTjD6HQ20uSPCuDX6X8nv4u/Ocu/Oahvw08FGo4uA7Tljwdtg3FomIcQofA7OyHg
suPNTDU1RB1YHcVaH0ddKGjfWH41Ab+ez/dlK9+nrra2qcJicukk+3AnBZ1wAypFrOmLeNa7LPSW
z52nf/75Vf2bo6wMbaY/qMhB8KQQ9/3zQkZNLl0ci1Bv3tSUREX5xdLc8J8exIY1AdMS4BJIWmu9
yt89lMGc0UAyknQfe+/o5ecmmUMQgH+0Tf/Le/XXU1mPYvsmPYprZ/DakvvdUfK+7MZE9wU6TLWb
A9KBNvUU7xdHWe/4j7dlPQrlTqYfDBhxH87FaDpyZ4o0Ai16aGuvBhI1nrqu5q8/v2br7f3LcRwf
Ft0KgLT9D83neZxOJD5Sbr8VXDizd8jpZPrFffk4rWn5PifDXaeLnlfLWFel7y8ZA8X0RLXcfWNy
6E7DGE7rn213Z2FbSCO9vti6sV28+bGTXKZ8n0MVpw9LQkw2FnKMfn7Kf72BDgnYVfZBYMpb/qGn
HzlV5srCFIiAMx6QemWfu/Z2Spg2+fmR/npxORI94CuCfMVlfbiJWhsT/sJipFUsmy8TjX4ekcr8
FyvW3x3FMOkoJ0jl/XU+LB5ZSm4sTvMGDYxFztBJn9Op/vTPz4R+d2Y5gfuajOX8eAe1wkmC2aev
2lQ1fcH6qba7u58f4sc1kI8V3yyaTy2TU3G5Wh8eEimKRFUGK71FWHwksM8PXj8ZG7r/2peZsbSo
aPORMJiG7P/GfaIOzbnRXACv7cN9Coo0noyJokKFOHg7Btp0KLtOf/j5CX5EGK5niAkJpKRl6/Ay
P0KrCa+SzFnftZVmCfIVC1d9ntUZrdw6XMVg1SWlU7eIjGHTFts526nXXw3N/HVd4XcAR0djhgfO
4uOpLr0q8VsFrF7FogcbaqiLQTjUppjPAeYrCpbO4v/i+v7NrQUnyNf0HTRMGf/Hpwc/R08ljYU5
1Yyvfep/4QJ9ovV8Q2T4FLD+hBMw+Z9fbevjXM16uemmM6GFQP0z/rJ1UFPuxjRLCApfF9m0jQko
6Q1A6zgOIf/ue5GonurmubLkVvVvccNA95huNIZrpbexA9qhA5D2c1QW1+UIMbBdA7vN6FPRUmHH
p9LSHlpKHcvSb7KKPNwXgm8ktXqEmXpXlHfDckNyklLuuNHrYhtTCvK2pb11SCUvJOKpzJTjqrkj
12nQxowH+YAhM6rcKzqad3GVRW3nXBLcbpPgUkMYFLyQwSSf1kaKJvsEfNOcpFsGh2hr9rMV7R2H
bSW3jduH+LR7Wm3LSzWQy67S6bPmMamqffGDY4npFOb9dvC/UP0N23g6YGQ7JIPz5IhH1e+89CDo
zrQiw0gYkbgs+uNsXPuDHWIk3CzmTFe+iUqMloHy1p4fYv+s548plEMc6rPziYB4m1SP9ugyhnvo
qls1PTBgkadJ1Jh3w0BvqHdSBSRXaYVyuXb163ggdWpcFeKbTTVymB5bjeWyPfVasqUCTs9BvKGg
svPjr0uXo6j7Rplusa4K/bC0JnYAOhdUFvXOfmm+OhMdbf1LMdy5/jZQcVgVMhwdqlG6jET9hLv6
ZOO3WdYBk9UACYJhKc5jQz9Htav9rTlEo81iMC0sqacCsH3wuXP8kFt7nMiA06IYaQMoUPNgWlj6
iPDKXQErmWKO9CK4vmmMnL27msq9UikpsLOSyGwL2juLjUgeHW4+U8PLtdLvlbyw60gPXoU4Y6w2
sahn43BKCxH144XZ3Cb9YRixq4g7GhEid7yJx32C+JX+9E2v3diDuRPpENraZ1IBS/DJpGlHL+4z
9TK5Wy3+rJMWoHFE/Z4sj6K/NAMGvcN52qv+5BZ3Sb51yluzQLXuhc3aTwAiopNfplREbf7atnUo
4VwtWbZ1aDQiF1t7x6o9LOi6veCCpss1oxvhCWrso1cWER1zdNvxhS2hY7Vz2PRfnOGqoOJD72MW
mPTefV6C38V4j9uwBDRdFPVxyukJvvbLL07pbJs6O/kukyKO9oiDaKsBrm0dtI3F6tguDw30X+Zx
YlSJPN67xj2NwW0quQRjvNMw7rizHS3pEuLFOdDhtEUPum0HfVPKcdO7pKvBCFf+eWJGipbPKK3R
xaITbRnOiK9NhGBaqJNGMLVXM55u5DBujfZAeaGYUuZs/pzF+5ebyh/DnPePH+h8a7UoOOwTPiLf
qRr7y5iUbPgprOWbzIwZW0/H9BgzR2ZdxaDnjE90JziPP18l/2YvxHE9NFJ0Oqxhz48rc9PTWzm7
3Ckxq/hIhxZvb+rnVAHfTer/jYPRvbd+3N93RB8OZrddmzZsIgbP7Qfe/DQB2EBbGkVMx3X/2TDv
+/JPZEPvEuQX2gbXU/9un85kwWiNZQIpNDsb/ucZnuXPT+ev94wU8ormXffoPk2EPx6AqmBb2YhQ
w6aD+7tkvR8yS7iTntw0ZrbL9L77xTftPbb4cbfu8iGD0ckZ2fAaPpyTQ4lJF2sYZU/xW51PX2N+
xS3GtLtA0+6daaFFsDpbgGbCMjUeF1Ff2W77z7jSXFj8DoQmuK3sVexj/Xjeets1RUVQjmsXE+6r
gTLIaX+BF/vrc8kxEGOAfGZckq3Kj8eYhlLR/26J0CvXXg21Y9t2nPTxF7fwXdr44wVlO8vZsEFw
CQXW5tHvHxLS1bbbE1lTlGOtG036N0NmOwO6FynX93QyHFTHUBtT8f2+qNKMxnbTTNNoGPJf7UL/
ujXj+ERi6zQptLiPk9SClve+aNhPjF7BWMnwyLDQEjLidzT75u3nz+7fXF+HooppAO+FneJ/uIdM
bLbM+LA3miWPall2NOmnMwIIT/uVuXK9hB8uMTgbGnnIL7DF/4jYS7LCg4zIjtNIB/fIqGcXKp1P
+c9P6G+PQi3q/1N2HktyI8kW/SKYQYstVMrK0oobWClCaxEBfP072atpzrNp601vyGYmEkCEx/V7
j2MBhgdq/llba0z2LTvCnj5aO76SWTSYiaZ/h22/Pvm8wQbiN5cChvyPN97YPEGPkiUFVD2hMD1U
SJFW1ee/vhSMzpxQGSplXSvmvz+TJi2D3rl+CnNbo8py2EH/aen6f34tLoGfy/LwGvKfv38EMSlz
0juWfea4M7a7dG9s9PB/eRkeDzG/Fus94DyOdn//DFHoNB0ljxibwb5L3cm3mln+wwv8XxfCh1ia
pTEBCIM39OK/fwiElFpTc45U9SIY8tDkIkRi/5dcCJiKKDBMm1MNnuTrPIm/f0ru5CNxLs4v2/ad
GffDv17t+PchaXPqBV3ChNc/rmLUcMC0DvLf0lfluXenwhcM/sJQ0xvx/74r//Xi8+2Zh8Fn/EVJ
+Quh8h+7oldWtdQmdKXNYjWd8Lzgq6MhqYT//nOuxEQuik9Dqf77T0YLdlnUtiWomQiqYytR9l3d
5GFN/uUfPur/eQYYLcdkXH464Od/PmiYKCfdquiHTukFVxlR4jL49xcDUZAaCXs/1v4/7v8wFyvu
YpYw7ADhUrwa6wdiwj98yPUm/22d9CDkXjGTqP0A/v6M8g/ZOEuHVDYrGEfKWY8yUj06MxuEeFNw
c//bS9LAqzD25YrvvG4Df78/gymY3otLgE/Lb+GJ7ge7OGZgNP/3x/x3xcJpn32Vl/OvkuFPebkf
8n5UKn462S8r5J9x/jStzAjVgeNajUCLqb7Bz6BRVSerJAw1WMG8EBZOAa49/e9v8187LDlllQ3f
ARbGA2Nc//w/Hn55TYIUJVW2lWqv64DNo0sXvGy18UTs6h8u/U/RgzlbaOsoGQgf3FXjj5daEale
8CNTwgzoLCvGO9dYL4ttH2Q9MteJeKDT/UPNy53769/9j+eIVQqAnEcPlT+irv9zk9IWzRtHA0mg
XVzOnaTxjCYkI6IoUZdVnbLDyedgsiQNP4035nV0+4tZrRbZ6z4pAbr5ohkxBViNZq7B1I/zqHM0
ZsBAmGfqUr/MdiLJXOBy06/WV8sdCsKTIORTjJskJ9h+6UBpe9olSnXIFRI9D9rap+MTM7TH5qQ2
9rJ9FtlMM79zV2RFzBO2uzl+bdlp8ZINiiT9sHbJvDcQh9O3aiTEtts8kqk3lN3dNSldeNNOA+xJ
4LdYUzs/W2XqLHdmN3TlS12QQd61+ZgMx7ksr2f9RVUu2Dfz9Dg70sGlaQtjDjy3LwzfEDjRCC6r
WgEOu5B3XqKs8dra4z4j6VocdURe4taQFhj1WPUTaHzboGeiz07VRqQIt5uF5OIDptjZrHabiU0A
n7dHPHkdDuWEI0Eb8a6/4o92ZpexR55kq8pdHfPHRlCw8DNsiuGQVHlgjXyHsLTWccEVQO0WEAJP
x4BAbO4Qe3DXOcRWl2FYWjXtWJtVEUFQYqZF1YzkEEwGv4eZLXvAF2kS5oxwTugCD/JA2nt4BJpw
48ykRsuL7Otu103CDNuBmAlfPY/TNWvilLBdmHULXJDcUi9gQhhhMfG53MDsMPdpv1e01CJXYpjn
HhNZZCoqw3VdzaXtkukixjWZhS7Mh6DnYk89frdQ5fxKcGmpb6yyBd/QY9lgmDgMDMvJIj0llN82
xHknIyEOAJDDLxXiS7XNgi7pVEQmevptO2TGYZ4bRv8k7naYq6l5WT1n3WmWzGNoAVWAaXI84FIa
b20H5+RKuzxcx7a+67RFueFwbaNwWFpU4JmIeytZwqsAfJJqKYO6RUtyhLfuqnKbbzoja/CuQ8+0
Zy2NgAnov8fV1B/zJvMeS6tAURgq7AaFp+IezyzCt5LaMzWUmNMjqApPYnReZ+9z9PrpOC7QFsuJ
3OKgmviulkkLLGNWT7WGO0hrVYlTemkPc2kZoVfM223HyxHKJgN61efbs6f31tGaNu1RrsV0Hgwm
C9dOp/l6TrQaO2nCL+kVQdZ3zgVYBEqVsilHUU/qTQrKOLRqxaRwbcZTo6KJONlU4XvdiDJv9bKv
vUK9S9PKOxedOR2rYsaM0xPItlJzC4asITGZeWq0ico7jK4l9jxUqj9Q4e/KzfNOs+plZycZPk3m
UO0WV9YXVkl+uWHMSJkselAgy9yU/Yj2XZj2A//GlZ+mLJxhTfVhq81x7y21iHVWhk+9NpwDIkUR
56UgLM8MnN0y8WKmfaFclrr3jrim2DDtYby4btZ/1N2mnCx9Wh/WRhsvm5w3mI2uvgetT1SeaS03
ytqMQQ7B86iXso6wq42HrSNxPHar6yu9pr2v+G+iRRjObiMShe7kjYbvERfnNVy23VqW67syI9C2
6cAgknomwyoZ2SdUS8RZ21gvnTS1exhn1k/irOlO29rlWHUCc1m1lBFB2jSgTQ981unHc8Fg1N3C
mnSoRgyv2pQqrHR2hvBYGLtW07rTUsH8sNLS4YxviqBYhdjnabE8jINJIo7xBP4wFE10zRUQ0dXq
k8Wh9myR943yfu6+PYsFxFfBnRcxkSnvTqvL6sPL7Czz+YG147L1w8lMJY322SndjwrSz2XoUu2O
WzSc8PVfYbWu8jnqjXUoCDfmAegOJnPh4d63yTS8O1YBUdoc3FNuZnYacgCovhgMlv22tkXV2P8N
79KOTkGYrqhftevucXV4I98yTuy1tVy6ZbLrDM1fMyN9VVhrVYaeLOUWAEhIT4oz4B4y+n5w9sgk
zlNuZBbc79ZuIvZxFhgtdYenRubFZSO3AL5ijoWiEUXUdURnrTfJE+WENngwnDMyS/MmkyV91hxv
fBnwZd9vknDyigrzoqxz+Z61uAn9htlBuDsxEsZu79a+mVrziygmmLBs8xvWchM+RWD0rvlCGyV/
Bo3yTrRjfcyyRD0xEnbXzdlpa/WRnrTh+qY6MNTEkTcU7GcXLd1hy+xb+9EsVMFTVcYUiYdStB+l
CQzAU9JwTeybujFDY27OVeVetgqgjt2Ve1cZd1at7x26rIHp1i5DeIenJRnOeEGOTDtn/JCR96e5
rF5z3YhTx70lAk0MqXeJk3cy2vA3GelmR2KomkPWN6cFiyDqtHQJf7on+xo4o9ntRphY77WifVis
nkQCrmE17IbxY5aHhtELITCfmkSZhIhxltZysK32tVqz103ZzOuebgRlk59Nd16CmV4F5V7c9+5e
7WIz1U+L/qUlzURhmGNVN/lwZbBOiGGlvwoFz3EWDLP5KMUaqlN9SROxF8XwRJUAaomAe5MewUrc
L3K93wzrUVaYbBFTHHQUJe/j2WB+EElDEhmODzHlB9rVhUm9t3NCdFTqWP/sL0MdnHCEAkAZQ7hI
X72Kb5FSlVoY9Ft2KrXZIp7WqwC2sHkVBV+oIC8qdSAfiutipeg/MA7UgZI1boh/Gipex5ThXkad
rvxIg9CLJwlQ4kilXQMRJW/GHysj9OI1+ruuzb+XMXnwphTtGwrwZt1uGcsWlZdfVQpwVhsLZg7v
QWuWtwHiqa9ayqvdTLw2Xf2eL4j7WvVIhImymrRGB2JKBZnQ1T+8IvFYsHfnqXkspRIkNYuQoTiv
WEHYwcv+E29eJChPqiRhVMeS15FQ2rOVuAUNfDcS0os6qEoyu2KOss9aN8OmuIbli96f1pEVTSWE
RVvR6CLHoLeQ0ydZt6kkvUTfY/LSfTLogCiwuqhdcRYpbu2uWM88ktFmJn4zjyAYSm6y0G8wGB/I
G9/rGY2FvMSZk/TlaVJwva4mzVKjN1cfL+BH70JOMJdT6Tld0Pcz3ZYMBhPhsNnP8i7GTfhYL96D
1vULnAMrOXhDq9x5XuH5iTOc14GLZBBlKygaDd1P1B7L9DcJygAiQKCV2i/Fya8kAwK9mdc9SH36
aoaWTloqnMBKlTdX2o91h+kuG62IcVxxZoprHk7cekSyvdkYkRC4W2Jxvs1+eW635AUW0NdKBMDv
3fGoz1+DseD6K7Pdlp6hSxm+vtDZYbdKg0QXv5vmXQG6w4r92KzuTeOVu3qzToZ4rB1VhlqbBiA/
lutycuYvPLAq52hV3R35qV9z5b5sHQN02b+MnZVLnsNcfStK7XaRzo07Lr8zUaNDFG57tBLrqXO7
L6m2V6AJ09o51APPd4M6y061uPoXPfJlHYQZuDGDwAI8GXHW6C+V2v0U/crudbHgCTWE3bfprbGF
r0/Od5IrF0Aex0HKI2yvV9mBgyKMkujcAKgL3ZbfjKl656TCn5X6BitxYIjK31yW2XThAayAmA+h
uj3bGkkYzdiZk+MrymnNbnuuTuPEVVA00vcLuoReUeZbJoOkSP+S/IgLnLaOfanS5nYlW9Qud33d
BO1GxuSKruiZe0IWTmQL5nklTEcFSRhVVmPJArajq9WTN1YkTmSkNU2wVQpiuxo0Y4spfuKBHCYa
wOa9quCpvdbm451IPxaAFUX7rFONDHXFe2499Et5nHTd54F5UWVx3HQvBku0K22miBsyPc/5h1U8
pAmvVb/Fsy5PTI/aO7ImGuLuWqu5MTfzxjW/JzIi1yhu5a0+qAvfo9E7OC8Feyfp1scm/XY3LyBe
8rRW9kc/fMHkqXyinwXzzu39MjrxNHBUcCfodfpnZ6lhIRG8BxaW9LPhxDJ7Aproc11MTwuZkDWt
oE85+zK3gqJk2reX7EqD5x0aSK7qH0gp/lyd+GoZ9BkSn0fVeaHQvmkamDHZB9V4DAkzlgajnNsl
3MaOFiP5nibDxd1HieMdZDL6siRqTM2oz2nYwYVSKDmqYTj0xM1bWrOsy88URocFYWYQSTS752Kt
Yq20g4lBFoJkHu1BX6xjsDJBUZVZ0DWfDfWGlf7O9YVufxJrQoQu/ni86kddfSdxHa2gY1pzwGRM
xGF8V4wzihq3n4lWyxPmX39hMSQVpXvboeVcVAOhgqMVloThRzpNozbuesIkg7de5valxngA6bAL
s+xMuTZDbvjuV7Y9tpWu7vkpF5piu3F91OdzJR4bsVfrxvfEfpsPhWT+qSIC0SQ+J/prT2RXUEK2
6RedBLB2SWBtDwoPNhiXYNCSqLRJ87cX12xiG/CXl6W/MDCe18b4bdKR5TwE0EVrglmHlzSn+6nS
nqy6LWJ14NQGjwYHyvJtsm6mVRGqS0X5gBClTWtc93Swpb6R9h8Lav+Efr7ojkvqnJHP71ARUkJ1
Q6C338Ow3o7yRgEagQf9pDMuTOag6rqU5D9ei3XYjey9pnh0khONJJfOqtD38ioXCzMqTS26AhIs
YwpIP4ZC9LuVwzBrOoAHe7clHNZGK0jAa1SdFack3TXawfrWnVXtYzKFXzLEaFC00KXR3yJ5QE3b
b9PH5I30lT24bff59GIxRyMvb7OS+cteSA0ca7xF7lifR0awmJcUTw4Z+IzLd6Br2UB0b6f+uKhP
+tWozswGTnqDF5CpKuDWKNrr0B4UtLtc3AvKi/ROjs9NeZlMPTIJeFjKl4li0lFQuVqUIvYtUDm1
SRAsfcF959dwr+hw62Lk2fB8lSNmju9COo6vm/UuaycC/iZz1bhWuwvrlfF89QSCPA91g5kgy5e5
4PAoFX+oeEOydcf58sFsKF+ds+rENHxKhudo2ec2vHY2N3nTwoTQjcz4dYs1IKDqK8Zu6w+c3nyD
XJgwYmiSgVb/UqtT1Z+79aMRatCh2Wzpb/dXQkzYyi9NfgV4MDPa8DU2wW27aFkZkLbO7ciRv3L1
NCe3colsGec2SmobOGInhp2ZcJy7cVClsZ1wgogLHAdgQvlf49p9GqsnewgX9AAbBFwJgAoSmZX+
mAhTxqYF2A8WhZiWd3F1Bjqn8ogK6CsmXIeyAf42ADFhiuLIPLwrTsWrT4PB+XZdjoWuB6lhfw+i
xOmTkr9gr6f+7OjvNLzZOmaAbxvXyFZedM/YSVcJ0M9JkVF8WPgkuoXdqj6b3oF3TjJ46WovmUw7
QJl7JR91UvVyn/TjccxzPAnlT0swe2qHn1mxblId9Fom++luGTfyyp3xYHtb0BpFFi5LlkG+28Qn
Ob1y324uk+A2Gc9kp7eqQAYAoGE5xV3DxLsaip9XpDe5galIOvuEyZ81sQnKPgScGJ9pXHn7bL2f
EnFojSeze3Z5HDQK+E1/rJrkNKhFRIQ5hilBBtU+ZiNTH4fpzqGSzDKbgxlFAWkMLJOHWr11OZNp
T5N1ly43Nletj+5e2XTWoV8SHtVsKjdl+75oxN2gUzllXFv567iytl9RJXZ3spZHpVAiHI0h3R3I
tM7R9uLMkeEId0xYb6qzhuBgoHf5tSPCIY/Mdl/bb4zgZBoTDee/Roc37fukvAIZI5I3RuBXg7SH
TOp0Ydrft+r1LWO/SB+77MVS31T7NCSXhaiL5VxWDQ4bY8W6e10PobgR2jhSr9oOJJplp5lfZbUe
SPAELZrfKJ/qbg1MozyMixfrJe8uQNyaCYcW3M3KfJq3nek9tKMXGknB8a0ltDqfFvMLKtc+by8m
yVFnt1bpjbe9i67ZGSW7XCuR5/i9mOyOutJYl7XZN/mz4x4q7dFt35jDizEiEqQnbRc26yNJ48Aq
DpsWW82nae5MSAraGwfGZNwRwPG34shpw7dBEYh0vwA/mfaOeM69Czmu1ZxIdTEHfY6vxEhUAKiL
RpZFeRFt00OC/8WyCp+gVdYjDEcjQxR5QoWhRolwEMV48dlQCV9f92rURlJSFawL3Yq1Yn0Ah6cE
Xpl4oW2webmp+5ZPiwiNkvdHEi7N0UO2pImAFj9vxnKvtpxL0d8TZTrStDn2ot5N3W1bt5FeP656
dqzs7a5W7TBr1UDCXDArNFLZMaQAQbX0ftWi+HSogJXUCSsF0956s6lvs3HQxAnzXzAOxKyH2GI6
XwtwbHjpnV06HsaRglO5E+Y57cEq3Mr6Tal2TdXErl59Qd/IfKh2J4kPVNOFL0bqRrUJk8rYoZD/
WoUdEU624xKvFhOEn5yVgm4x9uDZzmBff7saRx1L3FPYHRU1DQcMnWzzQcVhrqkBpes9O+t56MDz
jUsTknWMdBdRYZ2AaeBT6yWAv/Iwqd+mq4Zqbh/UjiKoW783Q31YmuVlc3G1jBszOMeB6Dirbmt8
pk4WpIKhBzV5LEVjvH1R4D6cgzlhfXHG7SggJ+fggP1p+EmV7m5eI63j93mXo78wPiXXMa1MNGPM
dD1U/ZORPycd9dIaTmt/a0gZNPn99bDctss+WYuoVdYQ4spWi49CofjHoJuODAp0lmOJyAYF99VV
10BosVfui3FheRV4rue7saipyHtsg14OlKJWL0RDwzFpOHwsbzW8XsWwdrM6hJn5s3SnjSrbqW/A
je7s2vDd9axoXbT0t/jx0AbCckv91eYqClrz6nip5PVFjhL96OVHJYlJdQflapzHytyLDvlDZUVh
5t/UlP425UFuicdlYyfJtqifZtRf9Q5YDGJj/6xoztkaL5Y2RpNwnvv0uSqqQHDE1RnjZxkMs/SU
F3NWdwUFWaJn+3KKrEbceUb2bSreXdtJSkQi80B+WuIPhjMH/crDqvdnKqYdZSlAjpDi+EFjK9cV
nKZWtjPyDoCAeVBEFY3UMm35e57tOBvfVCoIScPYmh687Ggqb40KJF75ErI56Oo3XpegEkWgoEgM
Ha7Gl9bJebkp883kKHL7rF+9pa62W8VwkNMSLS5rpnilgR4w+zlu1CoEBgZZMw+yDX5ktsY9qUgo
13tyeEE9ZAcofU+FmTAE9WbutlhPv1mBYBg9cRyOgJRyqrKpvCv2GeWMQf5QVwMh5fuJTUJ9bAYH
HIavul8qxWA9vY3DCzOD/Bzs4vCclURRqT/Bc53rPn1KypHF4AoBROAkEu8jkTTU/6XIKKH6U0t1
q25BtVLwMcBkxsXHudzuEBPBJoJsCnvDDCbxro+XTD8OqcZWpBzaCQNgGhJPAKPxumYvW2pT0XAW
obty7RdcuYjCiHpuswaPcJ5uLQNWo3SPIycYcIVhbhicph9AzHB7qiixeB0XfikBLMdQ2ifNe2DA
3lo8T+A/oJwb4l5pOZ5qyi5dBuBuvxxluqkzzbdrju6W8ZrwUzfgcJtP17lntBxH6zJq2lsJ/cwj
pdy/j/oWjkCHPPkmiuM4aPtOuqE99Hyb9WfFAlo2FisIMDCWMrcYEGeX65mLqoVMF9vZAJXECiwB
SG5IYbiZmE8R0RGw83WMO1T+aW1OUjPBymRhVm4XNdf3hN9ZrNu4cKaIoz5HqZp1qz2VLm2kwd4l
M6UZYO5ls5/YJYIqU0IM1Gd05wPYz6gsk2DuUVvwL8PNxTTd+oXbhJxDo66gK2Xd58y70fqJUYty
X/OCg5l+3rDBbooeldI8EpSiO5CeBzc5wGE6YPp5acv6Ma/BvtlaIK8A9BVbIcJJ6QETr6soG/B6
em6UV0sEInjX6WPU2GWEu4sm6bdKucvmUkdyTA56DvJu9N6LbaSE1vZeCWO49u5V75dV5LfZltym
QBo6yz5czd4bofTrDr+aNWdPNQKvF9bCDIwiP5RqEs/JGvap+1g4rI25EgE52F1xL5XuHmyiyYGT
runtltg7U2ueEDgYl5EXb4vtIHE4nBb61eCt8zSwxm5l83CXP30r/GYWYbswRUmXz9syBqXTBErZ
Y1z1oKpUO3M2PpTiG6Dfy2BtT1X1MzRpvDriVQqd/ci4pDYjuYzipGYpUKfxMFne71R6rxl8jKFT
uSfX7eNuIbCalg8jrGFsPt/Cnn8mDZSmrUXzCpBr7Y5XqlXf9QEVDdCjl6bVdpV3VUddijbgJCgR
224oZzzG8DvN+sSQgUs7kT1eB2Snc2lOgNqArTdtYNkx+RhFWfZb2hxddKWsRUJHSSPTv0Pwv4d4
HG0UrqO6oPsaD+aoEOru4Um/dYyjtX9BAzuyYBe+tWrAutPYFgwmkcuR9eSzzPmOLLxq1/4w6eW2
zEyUyYpmLU862kPB93ApUaql2c+ueVNqdljKG02AdCxTnRpZ/m6Vz2xDwXUL531ry/Okf1ABVTYN
ifp7FQ69QCXMZPU8sZhkWvFeJSgmmqxjNQVb5BWcA+RNob8OvHKy/JmscuJMz0ES3l9q2aC/X3IM
edcDzyqZxKuVGMmjRm1/Un56MasBdpd9lY6jj7od03PZDfW0b20rJC0dFPXXUj1Jhsgtdh/rNLhE
Yh/GjsEsph0Tg7mBfHo7tIw+7+07AyyO0g7HbRxDmF07Q6RRJaeXBXxzoyYXsXWRhpbKnnTutD50
BvS1LrvTkTTcWvlBynyxyufC+87750IBD5NYtPOu9DxBrTuG5na7dhbIxKm9vsGhqX50BvtZCcHC
0gbQxBQslX6ykA+aMYXgNoSt0+CjLfaTB1+JPoXYRLyUyznP9WMJx64W93IuDmb2THsLzmHPTwv3
ryJHlua3eZWftrm51Ye3XO2hIMiXNpviJb+KP+lZyRlnQJ55WPR78HN7HWlecOhOFk5GK4wU5WvR
6Zi6VA/gtq2ciHmVTUd6MP5AhWbm44NhUApw6B/QXjTKpsaNmW7GZCK5M8byd0WRN7B6VRVgBMSS
uJfHkvA+ZJGwhyZupQnrhjRv5so6qloZeZ1BsITxbhyTZsuHXejnlhXI+h7lCzTKdMpm58nGG1/w
D5JLyXusCiOdYHQ9nekN2qa+q/DBehs3hewjsMyc8gE6zCVfYWIEPeuCdq9a1VGd559yGz/nYvks
vRVKe1U7TBMAmSVrOlOlUdr+Mq9fJELuPTlfBN8SoiTzPhqXk4heIh/Rz5Fog0lGW86KBweTf96U
1ZOo1/G2IVN/m/Xts2v2ca2RrXMatvq6f4R8xmw5ffo1k0Ji3yTZYjbJGsnSeGKUxzfYghclK3/s
tntBhviRW0btjf0v7gWTKmjZIt0C2veLTvsUM/NC5NWyi3t9jgygDrFCL27fTKW1E7Tb1it6j1vd
DTMEeZgTnNzbaoc36Azc7tam/x/2pvJtGOWdDcJytxEMarrkoeb0EuLYsANhYmJzvVTumtJ81gWL
7woDgce613be6iCrzoiSRsOM4I1rfoCrivwBHvGvBaIf9d9dOUNZrAw6+IuASyp1dEuHRr9qK2BL
NC8QQ/eoolhfVaE7TCUsiJbBo2JZ72m+7mBM3s2gWdOtPU5MbMwgR8yN/kRjjw6QsdOlc4HV4ISa
Ju9SuwyTxXwYDOT7hq3QFP1vIGCPaaq/pG7+1qlJ5o9ex2qrKsdsaJ5Gil6/NqrfTFV4BiX5SkwF
p0m5Phtq/lwPph02TFVgsMW7kxc0NLT5BBzgGQcPHnMHPAOcrtJJby0XPwuBheOcyBgvw6HBbYAo
7jzYc3lelPEuX8XZhqxBw2aPl7bdFfX2mrcVgveUPenMIYZjG3iLAsZAggpEeky6mNTAhyv6O0WD
hFt4d6pENJIN1UF/TEr5Dv7k3LUjCgwsZyRJI3OYfz28uE4Gwn64tzQOpJ2m495WgaHJjaajHksC
NIMQASzCCD3kmWDyOTerh9YkWTIzULIf7L0w6TagUbCf4agItbl+dNP0fsklPAndPbVj9ZkxYwDy
S4DL46HNtt/0Qn6Z/bpvBXxRo3tdiMOkmYGWVlqPzK16XCWtMnurEl+xy7OSsOIYWDtsQ6P+Sl49
od0bGvErt7yFovayVNmNmNKPWgx4leR5QP4EunFI262LjXmOEx0poAczDFRi3Ga4fNoFBP1vdNdw
mOQB99JhdFZOwRucbknodpwoKWoKnWxWkALVS0lv1+ugZaTdfen2vtaxv2r5bhjcQ0GntlbkUSn1
PT7FkLyp4acTNSpdBEV3z4oyv+eV/dy7NB90wjxIhahoHOIIVN6uesnRK9+NkESytYX9ZdOmbWD/
aMcM2cftqr2EI+V6EoPBhr43q+XDBsG/oW2eLl99bryUYj8xPEQS0GJ8Got25lduFTT2zTJQ+24M
Ji6WG8YV7eqayLyr39rW9NRk7UEu9X1RoqRQZaaEuxg/clf1Pzmxo8VKWGjdcidbi7kzzb27Vres
THs9n7EDGW8D7RildV7mUtkP8NK3N6t98dT5SVWVuOuSX66Sxq3lPAj9DnPqJTVWgCvFSdDpEwVE
f44E+OyCbXXue6OMMrs+wLk9tgxEwoFA09jtjs667quJid/euYF9oxlbuK1jODFkJ6EObLx8pzNk
xs6Z69DP7O+MBS/tc5p/6leZTumPhk2DW3savc9mrXb6hDOE5kOWGQBnKbB4GZsEH7lHz8zj+yCW
mA9byjmJzl7rvaq0hwc0A0RonueV6Ip5hIN007gg3xo9HNlFZ7vbqZgX1OSH8TOxrMy4N5RdPVOJ
9A1TpewAZz6i0YJ9Bx28RLm7no1adknqfW7ab5BoH5WC6Wte3ePg3KjOB53EwGNoSLKVe/xfKGsr
L3b3m9rxMGjPet2AkBtJZzyURRZd3dFDPZNs+yibl27Es7ea74Y8rzO3tqfPgIuzBE6WFTQdBSU0
sL0S5xRbS7wS4RTVU860G6ZooBE4DOCgswaRDo+NnwCWK8gj0WHadwCFQQjNDzqDdGDUHWQlj96a
XRFigabUnNoGjARTCKcycI2zW7+7KOpjSxd4w4eindPqXtvg3nKsM9rFTwbk9Uqgk7TUaCAC25bN
nSq3GfWYx9ofBAs48bO18dvpy16ecV7Es/14lZpmdwC3CMPF8s5ezSR4VQk2LzsN1P2tW8dpw4I/
f/UaDFYLjC5/e/ty6POkqvatz0Qliw3JkO5aD7bLnPCp2eRGtfRTK7MHzRJRkxfnfOtv6i2LLMle
PySHxqsjNx1otP5O6QmJ7t5ehi8lHf1WXPnSBa1cQEpIU3hKT0w44c2FfQ5Bxu2MHbb8UDqP5sB9
YN92cydWRxKti/A9rT6YBR473mKnrDikf8zZa+3KA0BEVvst0jvMh9eqZWWPHJHBF0pUpgfX2CJx
AZyxiR3TTA+3hWV1XX+xhIF/xTg/pmeVFjWmudR4w6SmiNfFKWj1FeH/cXQeu41jWxT9IgLMYSoG
UTlZsq0JYZdt5pz59b3UgwYe+lV1uSTy3nN21MTQm1rjUSfTV6EbETNst52Vh0QEGqfjVoRhaBPx
MOaJ18FYyflFGv909Cohq8yU7OrCfmkbrPZgpTDf801k0iKie5WVpV/MgUuQgptpbwFk9XithdCe
ikMOGK7zcnUVAeSxQD4c3vr7JBSPoBG/pa724lIn/btESTv0NeCl9F4sL0ujdZcNPqxeGP1Jbv5G
Qf6Xdbs5maCmIsDUaAw4LEDVktQmHHDbZtoKPCYTTga514ju9wSk2WSZOMivUXIoLPntdSFHcVle
jM+0Kyq+XOqiMphxgoFWiZJj4X3dhj2wWrMy8ldHCuNXKw33vkjsyRj/EtVyc73emnAhPOkdj2Be
WsR5or6vP3nUHylivIqvNobkHuv4prfKI5hmXkvQbS3COhqsQ+6XLM7Ww9CsLPXeZtdCtccRLzx/
OgjDrgrJctwneK8x1S2Wn7LlJGwJ6DpmYj32EY7VTvSBLtuOMCxinm3xpJO2Zn3I9V1fPvKBcHQJ
doqyLOVXgxoxt7p2NkrJBS3h/IozuwML7UTg7XM3/VsEt7bcSf6S5kNE6Q+ECpQt5O98lrjZjZzc
V14/JAAoahjn2pFsCoIDORWVYrC173z+yEBP2l/R3BPSAg4gkUa4V4Y13V+8S1m2Sdp/VLqhbESD
TjMIdNZ8l2uIbP22aDeBhHQp2wXqs82ZNdc5bF2sR+sxfEzk60iodks71NxevJnK90TZX4PX5SiM
g98aT5QO4uDIGUlpVr8J5QVlZ/ZhFveOC5OOKzc2TxoLpVb68rQOw52Sr3thC3hOAr1bJhXL4Fod
iNEz51OXvjF52Wq0ODzAgQHF/RSaix7/ldOl1tZ1uSa4TUuPL79tvqoz28Dj2/4ICuVr73q+NkRS
NNGl/DOJpp0we5vTqhvWmbIfC4DL6k1D+pVfUAgkQm9L42OsbEa7QvuJY3aivVazTgjFKm3Tdfxe
Byg7SQB6yYXqnRbcG21DNWFmOvTqyPUn26tIhkJQE7raela8uE35yMo1QYu0nLgIwwpzg6W3hQk2
VzkqNUGA4WzcIrgv058hudO5Yqcy6mOmObTJFGgfUVgZxmFu4H8/Mq22xdGVS2TN5II9umktNPc+
JQAO+MA8LOOhkHZV/iW2qlPP7qtuQY7etYFwGJaEglvzfYrXWWwe8iHc6MJ5yL2SJiE0WGdgVO4a
O3gLse4rTmad+ykBsfe5PKHZlZjJal3oz0kd18gCV125jUApMn5RBzYkQOgk1CZZSmiPKLLTizR9
IA7q2k0f3axlxasVzofmuxixrtB1s+4JeAkkT8nQdp308t7Ia67LciS2PuWXenm0IWMs4e3pgOw/
qvcivQUaJ+s/lpyNDnWGuiRAfaf4gUAsJ6jLW5ueeVIM/AaWcgJ0TiqPn0tLAvL/obOZ20YvJNkg
KQ9GA4CO3LvZifm7zE+XRpe0/O1TgHRYi7NWHSm1Qf6Ze5G8ScZN1xIecJaCeDvPbq2uIVIGLvFo
cALjB6lmbPgKDn7k9WDQe3K+35bBljMUftO4U/jSLYb/tJ1XkOvQocQ8IKWi6I7c2ZXIZ5XsJO6P
fz2XTLhVCq7e42TeXz3yBK/e4c0EFGBZSqbwtK6IqE5dpSf/2h8FDL/FoZ0vCugXpioka8tjEtzg
dayNgA35YYCiFru1Nu7pV3eGr3D5IZcxjv6gThBDu2KMsgb0kSyHj3E5z62fg/JOKvnRKnT94oyv
c68iftDi4GIuRH0uh040I25DMxIy64sTrMOb1uyG+akI7yNKmlL9VZYNUo4m9grDLfBaz6ZjMoW1
4UHqNwrqCtSAER8HD0hqnqVwJ5W3vCceQT/G87+k2DfyPp8CloWDSGmT8W8GbTd4oaMbtR0y7MxA
88jJtB5h5gkR3XmbYfxLef+VbdHfrH4tiL4uXbV+nyOHYtCysLFHREuN2y5tnRmRW8qo1K2s+TAb
j3j0mZVK3SuGW9zvR5r5tK+s/TQqbwhPafKpKV4csHC7mnGbUcvIbpN/zTyZ6pr/i/oqPSWIN91Y
5gbFfkadbqpuk2g/DLzqqj8hV1ikj7E8dBZEbmAj1pnNTYkcGy8E/9iiPHsCesl6aF2ZIlP0Ucuj
MCkHEf+J86fR7mbtQBxkq5/m+WeMvjuRDE3JJiukpDCLWj/kPeiy6TkX94NInor4BA/XM1sxSZxY
vRAQzj/tZCa1g3+Hpf82xLu69wlOUxO2ImAM0KqhoU+J+tHsDKQ1LPtexZ0ApfyPeESgVHv5xNnx
Eu0wMQ92rrhAVobolvo/EgGdBmlgL5zy8JFXH1UErgxbM+TLMSm9uu1WPZghB7QVPiP5m+y2Ijtq
/99GuxSe1LpbytuiIhB2weVJrNwsEfbg/NosHyGkFElvezmOnDC5BKz8MV7efPgmHbQL6cPczMlB
D31KHygf9Ib+Y+a5noLPzPwdxZ9Y+aKV0SPx3GnD9676NCBkrMv0sq2A7KL7IYJpI7frKSSH7F2Q
CYCQRVvQfR47tOvOpNxTZJyNyt9i4AMp36IfCPL2mkzj1hwKjyu5HfZ5+c0I5Gja15J+qBCriIvy
fwmOY6CSFZhvE3I6l/5S5zidLCfQTpMuezCJqO+5g6PuLUoNT5qQac6f4fCpDYM7LZPTZYGToJVv
Fays5P8uwr5b3goOrhmkjwEwk7zEqlFfwQ2ODys0GCBkNzTJuETLabBENQX6RM1Nq2OFFhzdSlb6
45XuvBO0RSmc6DkUqFuQlLtONJWhHmAsFIJh/yU8h5kOiKo8TbiSwZ077OFuB02FHt9AAkRYnJy8
6bnfpnhizlZyV4OT3t1QZmTJVpHueuuY3a5G0gIlNHBccijC74sIl1xSqdU43SeN5hUW6SwYo5Q/
ia8GQMcOs53c3lB6I1C40UmJ3na90Dxaj5O66rQ/PrwoOalI9lXdJcKTieqTPzfek8S+QvxjBccg
vwTWXVQunbaRpOOon5vqnVDw0PTCnCaJQ0Pys+zGizOJ5I7GKzJQ8Zyh3yj3QghTqdhyCN3O5ewT
PVMZ96L6JHqZik3RMQt9JYA3wh6TQN4jQ+m4gyWEaJGxHbqjWTWbpPsThq8pvFSA5xMDMe6LNqbj
QnUHzUXtk44mX+oqTWCJRWcm0yZ2RWsfa+9qL63qPvJiRqWlldCl/bWQwYN54XFCf1XzLTYbgUka
X8ORUjaXfBOoSlyPq2K4i8IF/scqTi+RawCs/SIcLgUGhFjUDoqp+nm3FnHfSIxgvyLivezZG5SH
wsst39L4ZcF8Rxqxud3OrN51IBTRLUKHDheBBYyBEFctEIyaIVif6EUR1oX0NpefFgB93CC8Tk5B
ojg9FLQU8Bs4ziNuDWJi4lsXfcjvWeupVF1EKTewTHufk6RvVQsn3/0u+W2Yv7ps2yCNA++JVFJe
LLLNz4v2MyfExxxM/ftliWrP4/wNoW5H84c6b8yA7GzGUO4JKFRhfsTEK0QsnPaIlVUFVjLtlwgC
BZ286aediEI/UXaoEKzpr+ggQgU22dqFRqOO7RDHiQ1SjYjMYdchNWimt1n1a3B/gpcyCd09esyw
OQoImmfRkZvZ7pUHarI48gUkdhP4NBmqpMnC8TS0U0iRzbE1E4Wq30PpM2d/RUPRo78Z07+8+V5a
wZGM74QzSobkBUfuBbKOBpCmg1qdJRKgIp1pgcdiATdxOvlnIkBMy2UvSZ4juEotr2tOJxFXo+KO
iZ/Ub2bf8cTspIpbc2SCISyH82l8x0Ewq6640FSjrUHoefagPAvlEoHW1b5eP/XlKFjgvKtC+CTx
QyZOuGD2SlK/S7axyItBd1VAS2f9lSYnKT5SHbSM5MoOn/gTECrhM0roCQUTYKHDNhZVINuTXWuv
ublfdcVBlH9KdPp9su9BPxsPkcZq5jFodaivlODxv4S5T0pfnX+eUZ0VdFHN9MWxofObNXcMOdvJ
5qE/Gw79vUv8vrzHoTv3yGmVh1l8yiy1yPWi+s2Q/uTq3FpHEqxXHSWrZW2/6pqQkcvvAXgHNgQY
vozh8kLmfmbxvyB0C/4z1XFMf/FQOyn65OVYSpyhn6qwpwDQgbqMxR7DoLSqOCzpnbEzsrM1sCTD
L8yH3KzAC3U+elocFUpPoqthUO4FKBFc6P+jrC306uzYLL8hebgswR32l+KZIWitukcYcX3zU7D0
W+Qna+SDClzh5IHe2gF8A8OLN1wrnoDGqRGA9Jpd03ehIWN4tRo6evuntl7WbyT5o124RCwUhO2x
MJyJmP/Wfqk3JXK3FkcLuepbvgxtN3E0BqwIQBYhLb0z5yLtAcuGzgxh3ifpsWHDyVZRSHdZ/JuQ
u6/+lcW/CgmLsUibVP01l2f0T0MdQa9IpjwjK/e0V0twt8as5javx/oduadJDHDlyGxLJmLKvLsl
w3NATKRaqLvWRD/P84kSNF33tJmUUFqKUk9E6hyPa44VSfyDOsmEQyBsa8GehhtryABL3SzHPqGz
KSMVq8VSE/l9TaFzErtJMNs6vg62A0n61cODwa/poEF7BdXuiR5g6kZ9c17r4XsfPBRA6MJQXZ3j
nj+Kc1RNPWt5ZlUCYf2jRrtBIuoscCh0AW104gHKKxooVPNF/kJpuksN11oOiv5G6rJVncVwF0Bm
BA/tinKuo2FGAG+7Z20NdewVEUsXLO2XiiLKRBqnTwqw663+6Xqe8Gc0/JSKTfAZUXDBIUTgKqGn
frCP9K9wNt+kYaCmI48BCVwPhYH4lPTfpGIRhqKxteFhVD+N9qYkm74Jbb3fVryW8roIbtpyjDrf
SkB4DxKUQKAyhry+YoW792YMX0n8VSKKGwhBGzyNquD0Tw5sXnlIZGN6jNlGazZixLHuvuo6DW/E
cjvZcMktQJ+24RJfdPwmMXDL4qYcpjwdc7lhX83oELWcvr1qJn7w6blwP/HpiRzU6YHgshZ1bAoZ
q99Y8YbgLwVYlwdgtW0Q0IaOiZznyYq8tLogTAXR1fPd8uq6f4/KT2HwQNLU9BblmKSK55BBP9xE
EZ3jmpDqceJcoTdB9QL1bKrHQXKJAo2zSztfocSGuOe1+k0R1w0lAMrL18QBmQyxF7T0nNqafEzb
/dz9SnjiGm53OoudpQeW+nodgMT3OGUMoFc/ypL/FBCmUr9ATxbb/GlE35WUbvXq2wRiVV62AygI
uzTOBcsLJrBVVcOoc0EhxWg8wdzXPXgfufiHpPcqZLs8SrC+qNqT/ksIUNPQN5X//j+03SXzLaJJ
QwW+dnJS01rOXLJmOG/+zPkVdpeihmZXTx6qgpHp2IMKkmVnRtGRvTqCLJb+EX6MquiA8VnJfas8
t8Jp4JimImrgoJn3cstMgdpX47jHsb6bgm2sbc3RGX9kY9VXv4tc0H+YOiaK9xHwnNVSRwGcPmZY
iehnIVMeUUDPMJnXe5k6tGLyEXlgXoZI5ZXlqVxTpmqwYSbaTwhWLSaSLT7m9Jy2t7HwWwk5pB8o
l8JCBWFdwlJZCYnGNcKAhc516FkF69IZJpSmr/gRhA1YzZo/Rf/tww9tuWnhwE9PAONrxQPVECKi
IlrRDqTwENIYCPyOC8xahoP0gF1Kefn6bci3hYKFzWfAKoBiF1KhyD3198VXKJTIRCWGjQUt0CrO
31Ldlcl5T3cQCaMGxU9a0IfWHhbjEi2bNDxU5iOjM5zxUXAofqrZlPOJQFJlJZ5xfvFcmGd4yp4Y
vWw9B9OKoqtB+DOUY/wQCIcPsDk1yGKgQhMV8RmUedVy1xwTZMPT6OI+Y7EyW667VZE3EAg+XFz5
1gKWd0lsY+MWOEtC37pA7mMmEgX6j7Zm40Ok2ghysfPzC1r5UeW3Uny5+nA3uJ3wSSRkMqwj8hwL
OyhnHpqFPINLgbiAe1KPDkKIcPuXcIJw2oX4sadi4p5xJd2dYRSrW0CtUiJgz/9SlVs1rWd4AkyB
KsA1diWUU6gExXEXlrwXqJJW8yEx33rIkgCrHHNdfUe9o+iMbs8SS1Q1I+j8E1NvydhA/DZbKxaq
boUN4dizslKD6nXDhc5lpplDn3IEOk1xhacTJo3qDdYQOGnJi6MN0RVUZu0j45koX5H63i7/JuFq
jd9y5YPjEgdAVD/yRGJUVfzBzLJD85TkW0RNKvpjaAAAP4S3XlvvSA3FhWFbNFPAkmnxtqgpi4E9
osbD7Ljb5JsF/x1XGwCMoZ9sQ+Nf/GO8Ihwj69AsrynpS+OtuCg3ErnJyGRM7JoVBpuVLO3yyAuy
n1L2MO4yaktox7fGzUD4M76c2v/E4VB3xxIGMKh/FRmjIAApS7gIe6wgEl6H6oPESsbWXP3h41rT
xo7++18luMky2eZYoRy/cIkQV7BIu7G/J8RAooKx0fXVIISf7VfanOP8OKWnYvlWETcoMF0VdpVt
BLhi7LT68oqunrmNEzghlC7DrkWjAvShYDE8V+rVNBnNGl/WtlXrBjMxnrC5gx9W5yH6HtKQu43W
E3IRE2TIZohEYPzRUh/XxmDuTXSbCXosCqNXI0RjZI5eEb91CtN6/qdOu1rcRxmflvVZz+Ssmejp
KbA/idVHW1ZuPh5R0IsmN8Ym5p0rR7815b0xntNkPSEayWjNFYJHwY9gZUchPrw2H3VjDhswsyy7
zhLmGe2k/iQSjdztRRxwt4t4h3Y01a4CeoRACmEoKD5bagYrE0/TZZTO7HNVeo5xcQGj2zoblHxU
As9MXYMIUItGE8F6kycfm1ah/yuZwrmTF5caBthuu+vhBTpwNYW0jEfJKYMsM6//5NFFmCazgc8c
8n3bUr8J94D7J8ntSiVNbvKJLW1y/m5sCKETV2iC03eGJhHeNvj/lnd5/3rKr1hH+4lbrH2h/xU0
Watdcs3pRHMXTV85LvWh6lGDc92g8mtRdt+H6W1WqLzMZNRXdqq5iYpGIvgRh29Ne8uNi45qFdkb
8xLYWPNOv7xSn6FIBuQU0KO0sjQcXXTE6rGTVdU6TwEq0Fq0QelUNEk0iZ9G9T89zr+CZq9lt2w6
6MDMDecf0+In2hVN/Y2pPMdCZqq7jHmo9UG7B9ElUKsI/wjHfLXZIowBPjsEy3mR+SrJzAD3CHbS
8Kf+GPNJ0j1ddtsc/wKfyq/1q82JrWc0mKA4ni8Mfwpgi/pG5mGb8rSv9QEa/6Q3vqSMOKbdrpA3
Mv/0kxcmGPqQcJdN6ltViouoeUOTlMYOPUsON+JU0WfVcv01NLNanOWznRRfXbJ7DSJRzrw+SqtC
3tJlnBSkZ6BJ5hxTt7P6kMC8X0q3LT9ey9imqRsRFdymQL5rlgCC++mDbl6N/iltDz8UDN9mdi6I
VyXFIU9uqXmSqgfkHUJZVX8lxHJ4kAgstnwFOys/N8NVLjfS4EEfVZnimsMZgFsxd3zEQUymxrVB
9BphfF26rSGeBfE4cOsj/IG7MUHr5PTfKGGmQCmGcjysDmNYu3oy2FF/0ttjCsgutae4P8z0XQ0A
DXnyT3ydSVTBAqK97thVFxNjvKEBj8phdEhYpJd7oVFwXQG60SQD79Gk71KSwiP+g6hEL/YZLhsT
PRx2CohDyi23HeEIpieOj64/4LdftQUkzEdVIiDk1FM1vtqLoJwJeEG8B02hnvXhQlptyJQgyzf1
o9buy/glByu5dgd2mPIaZW8vYpYIVc5PNSSlxo3K71gK/EITYZff6+kRFdcxuOoycwkL5KarbzMp
1AQnWz2FztiRV0uEsWG1DCzDkNQC6mEUUOM5ANAu3KWHyERbkG0C0Ffzkko7YT6M5MVa91ZVvao/
dU0L+MvQ/5OYwC6SlxW/magcOg3cC/gfNfw+USbHMkdXWio7wWEZqKzOJiXEM/m7jIe1atj0HgKr
yLMPL0yzFyVzFWdHdjbGayI5s3iO1VMl7XtigYtVUjRY291cQc6Y2NQzJ8onqmjydOqhdoZfoiFy
QF9Gmh5lOH1R1OaAN1bvMsbDOti00b5gto6ILWjaeKUGbzqFR4vdooFs4w+LU2eeL1rxgz+doJMF
qRvsKIp6uTpB+9dlhLD8kZeebK4DZiTO55Zr4+XcORbSN/kM+C7Dft/Uh+FnkWZimJatWhF28fL9
Pvg3fksKQkvyg45uokAtgd8b/7sJkh1/ok/h+de4b4J7ZO1EviBui0hfdclf9TqieMub5Dcvn3yo
8MJF+OyA4VJ6315aAoLGy3wv/84ljCw3EdpRBV2nCNl8J30Mfz1sFxQDriWQh63BG6aCpl1Ki8OH
4wovlPDFk0kYlTHDr3pS7Vv6VQCwbORdXa9FXroWz2op+3j4UsyPCcVm6QsK3S/BL4NIAOCh5bZS
0oWIptFBiT0L3H4AzyEBCf1Q+7QEeundqP4pre7EnNLgGxNQxPjF20aihaL+wTnU+c4skDog0uBN
3QFcWck66z7RjbCvTYlXgPuV29nYUsWW4UtLZZTagKvZvVQ8Q7wa/EUSA6Xiqe8Bp8lAyrgJBxfu
QX5EbbezrKeU3RsKHDMp8VozsedjFJ0q9m0hJx2deSMye7cRT3FDWnH12yMYkBzF2CQlyniUDKgK
s4Erc3kk+iOZzkvwYTVekW/D9tEljI/lhWZ3ZvHtK0MoqZ4i9ERRAwt03b7Dbpho+8bYVlUMrXRr
0gpzOwuLeDPgjpOHEr3hozZFSPZjK6SOIZ5ohltJV6QBVoPjlcpLr3/tGfJZ+X/i3Yvx28TRZOrs
H5OrVvMaTtAksLpkK0J2y8r7HhsPGTRupmCv4e88ukbyLoZHC8tNXf82yy7gEwAnCHZkC/C7dJOD
RyM+i/kTEK605yDw4+Qa4ZHLhw8qv7EEeYb+MNEpIiHGSskFS+64mD6F8CLXR7V+mNMlnb3K3IzH
JD+wwBAPMsbewv1U/hVoqejKw8sIyjnmjrxccjIi1d4Vce/IUJJUlfIl+/Id3Zmi+4u+7sqrOrm5
xLLvTgpUQQvwjMyyHL5yFClhcRNqaGagaP0ETQVUOUBxbIvpd0ZVM11IU5Cnjdq/jf1TLlDBfBEY
FmS+AnId1vdRIxNJXmwuCldTqZhUz5P+JhICIVpfZYopgYpqhonJ1Wbga/wutvphsdVZzR9R06vK
vGfVMVWRzWyU6ScP/JcxRZt1R4r9efq18N3liEH5E/DaaMdiClg4EBmlWxmfdBp+o7zIGSN0BEZr
xl/BQvQ9XpUMuXvhJzh/lHZTRN+oYGPjmr7WmzVhBYF6nBis+YCT5K8ZvtFXET3+wjnD/DARLgJq
FBleNbF/J6sCr+hAf6T5Jo6XgM82R8SvIsV30bHC7sDwkNFGwVu1DmLX0g5UUpJGHuiNjQbOlp8d
q2mE7WEoOlsgCiTKzjEqf6klSujDFG05d2dy0sY1avs+uRrhDttfXH0Lxj8NEhvBIFS/ynHdxuso
tunIVRNfVm/zwuDYoR94U2Psvl7/WSUg6ucJDXGHskR83Wy9i/thDC91yNazmRW6YPFXoWQFAEc/
woLYZ7c2Ogw9RwgZhcENDEM16pVZXnPUORXWLy+PfZyOU3seuoB26eOsK9j2/9BCrduxQsXVkhtn
+Q3X5QDUv6RX8yVRb5/qyyv1VOoXbEtrQAp8Hajc4T9N/6iIHVJJhI1ZZSFrKL00+bpm6BfwMn6a
ThRv3W887YvGo75WGz7D9HNk5Kjjs2DAok7k3c8yfz8MFgQOSJ/NVQ4hhR/tLXvVxe0NnZeUnZPL
T+09Qdz301MQSp8rgGFe5FDp1izNJIw0wa8MimTYnXLUF55vv9HJo/Dm73jx5YgRf3mSpyLA24/T
t6rfI3Is5+ApJFhFjJMg7M3p0TDHzut4cAXNI606ximi3pZyB0Y603vHX0T5F4//BuJKZGbXbNyN
6meebKT5IyB7pFUPoeQkyKNfa43dj1iCUI6ZjxIhZX16mbDzv/azLia7QQEGgSX3NwV1SMUjyNKV
xe6iH1T9OCvb1PjIM4gFHz03cgXlDkYbFKeucHBuMMQ6AmAymvKF99LELC08ClhSg9t+Md2F51Wn
tlKBsyL/RDAwFoAKvKfNm2oAwn0tGfEPwZ+S70VtpyJMwA49oCKM7njClOkhK7siYxblEYjd1zLd
NL4aHTRejFT3zNfX+aOU+/aFx7U7XJRZdFWwgckMLhMTTgqxOIfXqb5VqcYA+2WSQlWuX7L7lp27
3yIxwfybh8WqD7eT8pRGA7Gxo3+LiJrJWOloW8W8WGYfUfGdWBet3KofYUcT5furHINkSRUnLXCA
lCMlR2Qo83kyWDYTHQ3CKtSvYkcXZI1OK+OCZjMO5N04RNthAC7mrO1LW0KQ+FLWv/yKXdg7vejP
iiek56B8UMhILtFFwxOQoPiXCzcvdgLuLFIbVFv+lmVfYo2j+iFF/lsIJ/bGHJW2gF+t/VcT7Qgj
S7W7gogPquFk9dd23DXtsdN3ifVB/pLx7KJLtojrxqAtBh0XEUtj5/Rj7pnzQPjhbhH30vBTC9cy
cWN5z8eKAruf1zg+Vs2X8OI/BrSzAH9Amz0PgollTYsds/6XB64+MuGEv8LkjuoP4HEWeBoBDorE
zsWGE0n/qtpa6UhuegAI9SOV7ToCV7hnXBFIzz0MBNJBLQgEu88KGprqYQjvAxELWXg12zM2MYBI
bXhrJmJ+HqlhAHCyQPT+hLJBGklpwAUXWk7IfxmZ4OsMJD4QT4ryZbS3go4NITsM6YFosBHneBZs
lfoPR6cufpuzQzS+h8NL7j1JsBwMe3yTP1N/isksGx5DhTDVepsYywT5GcvVWs8uM0a7DlVuxI+i
yKVN5xx02WhXL7kiPKaV4OZxRBo+ydcT5XsX+K9sKFIvl48ZLLNFt9gzvZb7YvKoWUBMfZLJlDF8
tdmS188JvjPSXaQe4Y3w8H3XacWrBk2smc4indkAdfVQ9ocxcqZ8m1aOoLs0x6viDq+hWj5bgMzU
vEfazez/CHWojPNU3pAnchjU+Z4ruUl4jd25YXw+9zW/B6aVdJ+BnhYJUXDtF9G+5j1v89yJ5KuK
tnxJxtdFVEX+3N2K7oZe3ZGLPfWiHa0hNudQpT7N7B5GbDWrTPJxMaANyY3rMF0A8c3FSY1rLh+4
osZPXUa1904ElV3foJihNKAwY+6w0sZVZi61/bKbdz6iJ1UClbwO5U165um16we7e6d7axT5VHdL
/SmZ3K39tMZe70oWUnZnQWUfxzcURCV/X6Ac+HH0veZNYzeLeNVahNopblY6O1cZqUeFpeyw3vFg
f+p70VoX9alHNh+Ht6DfBJJTGLus685EljkxiFEcGmfadrZzh69m1coQw2us2rUKILV4L13+/GiM
EKn1FS+zmDH2eGlDQvOq6t34PpjDbSh5BcEDFti15CgnG3LnguGX3Ie2GZw+RjcYwvAdhOWi9YSL
5Vexv0wT9OtOy74pSIZ6+S21c1pxRwMlNZ6JgKYjdszNGwjR4ZxGn8H80SFh50D6iKPfRkVkStJi
7VWts1iTU1fWWmD0owVGvZmvqxKLb+oOOYOLCLHDKIifvkRigxkWxjsf3ugezR5RjCZWVQkou6A+
YjkWkMyiD5sqW0dt02jvM7kdA8pey/qdiu0Ci2EGP6P4IcuzG6qJo/efLMpzpeIvRF5COlSEFkMF
hMpiztVkK2jucKc0fsbHHW1xCAHaVpnD5V6RYIfiVwLNN7+b0h2Xb+B6bfiRUFRMLoAf+1MqbQt9
XzMeTtp9THez4E98QfJMMpgEA1JqBHg+Fi29pAUwOC08Bk81q9QG5977KAI8dQy0BilQN1U5VNBV
zUVYDsQZ2SzVGEs4BYvI04luIU9JqClecQc+g5dYWnUT8ZVdR1Qj5rCzCOxTGr85YxYoAslGrc4V
Mn63xmnKjqrWcM7Spxf6OcOYLn/NBhkowO8dirn8IFcrg8lrRg2LNKFe84CrFBSLm5DdX0t1lnLS
E+oVmE+rP6V7nPxD1y2IbqLZYvihNJ918qvGZIceWxgPoEG5e1T11mroCXqTuZEx93c7dTrzJZOo
oFrHV9LJCF9v2TROEd2BxBN0uPmpFF/hQ0Ewonmy5ROqGgiIBf2BKCwyD8VdoB1QPJNP6nSooTjt
wRdekgt0/5wvFe9BNiE9GB5YVGgsu6X64umD5TRTd6cBFyObt2i4kczjHNqCelXRQatlt5qF3pkn
pGz82kJWYf/548DL4zxAVF1+GIgZqPw912ZllyK0TkC01QQbLq5V+ZY3H4nQbLTugTe7iT+DQuPO
Qm1qXAbjs49xcIJJKcNtBo8lwxQtrbRekAtIybFv/8JkcVtEdTKDASrBKZx9JVHRYkfnWtwCm7mC
BXAYsa23tkBIRYUwUWU8S7Vnmm/68tw0hxDrQRxz2yXFPcP6b2G+qyVPCM4Z+kcld0ldBgAjkuKV
GPsfR+e12ziyRdEvIsBc5KsVqGBJluT8Qjh1Mcdi/PpZHOA+DHBn3G6JrDph77VNl7nSIm9m1GK/
jma0yhaNGEC5KGTGp8wHG65K1+/raFuzd9PTa4GOtIeEhCVsO4f/phFY8ZcPDY5VIRvb9lH16Tpr
73lNO8ap6DnbURKZzI+Nq4eBdSOOB3hJ6ZokWS525GqJyx6LxRDGvyGsUMxggpE7wYHYz6d5DDee
i2qFCUaiOMPocfA2raD4PnAWg6Nzv/w6DSb7N3bJ9OLyikBH2dO2mViVuDPOFyYua5yVBVs+e4pR
LeLwxzrFCHWEoeDigSXsZWcmLUMzpLPlCRsZMdhAZMe3srB3c3IbY/aqXBwp+h8MBoirsY6Zzso0
sOWniyS2e4YNekFmdrAtHwFmhr61/TZCeAdNmz6wrkiSfR4N+8nftosp/0VOf513xWCFu/IaNpyD
bG5hk9nF1dc+tPAr9x7hLK7G6aUPr5nxYdcfDdA8uoP5XBTnKPk0zWsFNl7ywjXcetPICpLlCuUI
hAKQwQMM2pmZYW3mXLlveKZXifGsZ3dbfc7Ju+GfWtZok/eqo9Zh5Zmw6nbqcEWEF5YQ5tQm52PE
vSVDzEIuI5d59s75WAcRU6+4PS3++0pHxdX8pYl3nxaVbJQcARD/+BU1I3zCgq4aWsJDY1wIVB+9
65B1D8Ow3GBgPcBzpuoSedUxbFAAvieI5Um7ucxatIoifgK1QZ8nu4yZYY9PTGFYgaQMYczcutgv
KscCLLJ8ocOrjqff77lnzHIzgpVnr7AKYXs0LnlzNn1Lbe9CBLA9+hNX/PQNK7JWSU5s67Ecaha3
9T8FZE7wVIAp46K22QjG4KtIQO+anW5yqSJUHHuKmjhEmrlzmtOQ2DUqjrvR/CQQjrO2XDfNW61k
EFc3Tzs4ajeMh7CoLjFgbcW3orOcqi2a137ahHCF4+azXH715cNou83ku9wFBbtw10exurRVQFsg
JPvmoTIdvggFEFb1/3IrObeO8aehZooAOCNQWXXMLjXv2XIvdSZA0XDBwAtxLIXwdMRH3a0z1AhM
TV0fG92Way9SuO9YfCRAo8z4F2fEQ7XUTBH69L3tHE02B0hSQ/sainevf7QTjtshsNvsWL+b1DYz
i+QS06sSzkqmn6L/36y1S7k5Y4owTnYkhH1rrSsQOyKFmE3lNmgRUPB2NQMGIBeAB+Kep1wQu5xp
muuxL5xnJooUf6w1H1tj6Q2vtvsUD2SVMgFjw54OgY+Gps9Xuf1Tlr+znuL8n+EPbhs2y231jZrx
rCXvEepz7cOjpKM+a7xth8YX/WcsERaxFN0bDY/ZsVLggKyDrtaaY550+aWzr65QqegrhnRPleVc
CCN4LVjV0YjYxaGTnJfI8WYD1nL66ETg6hl66mgCPWw7ovwR1bTtxn8gZlLMEQ0CNcYx7PXFnxtZ
Z80Oev1AaPAxLQSGq4HK3eLLXshgQAOoybwGWuV4M9wfq4QcwLAq3uN/adU3CWJQO0dW9QegLRaj
w3G4J+aCYH1QFsM3Z53JnWRxF+H9WfMSqOsc/YjpiQLZ1N4SDyMRIxAPVUzWv1Q1pAf9pUwTQGPU
WnByyZmUTADC/DEfnn0zxZhHaY4QxVyXPE0tX4IRv9ce18m0CJYRynqQQrdJ9o34WXa3vrraNeA+
/s7ZykMOgEXuQQms8Gi1bTbmzCPXlrEhbnTw35ETJIW1ttiIBjJ88TSAgeZa5/zWvB7u//CQMNyC
oRKxrODISgkrgEIV7VNjHzkuyOPXMUR8BqGTrRXrmF+bZ73Gj1CKdutgkfz0BH/SlKxzJn9jevdd
us+BT+uO+rXhn+pwZ+tP+nTMm8P4LwfX503aqkYusvSybNmM9qn6KlB/OLb/WBZo0J/mGUkHe7UQ
Sc2ZpinpdwaGoZ7B3xgzNVCEC/7aTg2IGOPAUZg2bwO/7U9ZsZdemGUZFeuwbRhq2fkIIm4NPhIz
lHDEg8Q8lenzRnh9kBrUU0E05zAGUVO2m6lifYI9YKGI9M4O+VuONFDq5V6YLzHSfYLP18tPyRmm
lAofU3JXEAJlUKvT1B00j3nSPn8ptLdOfi8eA/5XI+iyNk14yOFltWBh5mct3iLllOx+LB6BKz4d
r7qJGO3kmAP1jBnUM7MAqWUBuTKxckzIkUpNv2LuPIWoVchF4IahDaLjLWR9ntNloQvLtJ30LWqo
bYTlPsN7MPne10QToPpur/wMlzqzJoNhbJTteae0CTEipq4nWXYBosuMR0Pe5/rIFHeyg9QD4I9L
dBmMx+qCaSmytoW5IdyzxuSR7rNx42ZPWfYo5CMNhARvxhodo7j0dign2DMN3YfMPDSZzDDHNUkT
QgHVfO6qAN6LkwbQmrCNTCxgqt1kbk2yN81XDZf73awvpbmq8PYUJFWGSQqz584V2s2oIr75c/o2
+dDZvkp9O7JoYQeM7wVlhl9Rg1vfJS7SSl3cbt8Ud4UmYPxrqbWbmsuofZsIUKVbrJJ15jCHq356
JuxjM3NbqFWkylPGIr/lwNbF/2jRyfqY9UvbsqcwA5OEVrppJnQ2Z8UcBbYdr+tmDtCr426wRg2F
zKtJC5Qmb1PSb8vmKjO2SHJf1TrFJd68+J7rYTA6VA4XaWLZH7hKRqY6eF3VTWftbFcfGh+gyQdG
DmjLZjxnXPxS9f9m8LYtfHAc72sHyuG4Uc69RuSvvFdPbyi/n1L5qOKToA40NZ8C+zGyLr56cgTr
Ff3oF6+jyNYTnbRbfZC3Fcz6vgsxt+KErEvQipncLtCVMTvl1rWx/kWsJTTjtYoQZw8HH8ujk3/Z
Xc4MrkDAfTKiIEQeYtGJ8W+05oOsSGe44QHLFOXS2dOvWbotsW/Hb2W661iwqAwh725KqgNTOiN8
KtFDZNipNPHrc0hMNJNNe2+6rQVWGAcIIHMUN1DFwDeSHbTtWkk6bnovCcU1nsb4FM0fiAZif5mo
K6d5sIGVS7Elp/69m67SOddU4TDkt3Oxg8WCmclycOghVV0UeiG+9fw5dN5mZhwdLx4zdbzU0gTJ
sdFctUW92UMiiJmChwXFMd4tVGaGieQDjrX5j9ybbTJ4uDcDo9rHEdt5KQ96/BQNPymqf7Mi52lI
As9hg6C9KQ5yA0urKxcvJ1KAhT/N5qNLLnpG4bvFabbv4/Mc3rzmLlIkKoQH84gY5YWBGdRkFJ60
s4oV97e0lzkSzHQkHn+xuc7mfRi+ucOpL5AOIQhylkQrlOqJfdPefd9d+/IjcRl78K7YJFIzuffp
iLFtrmoWfgVbimiXi4OAulsa5lFqLLAdGgve7eTqGc8pyAYoOlulzdsJOWjWAu1qDGbIACYR4AkG
s4bVBHXSsGL79WiEcOk/CEQLfNepwoPKB07ki8LMwJ2E5nYDaMdFo+p+2OB74nEfuoc6fBvHo11r
f+zP70VbsIp28dlziZTeStfLteQoaL1053oh5wv0rxIZvMZf2sSvre+j9NeIPzpWaKOY9t1wKJqB
JrTfilwPepO9BLV8jO9iYDBYVeW2zCFyd3n7mWgx5id/ncVPle9BG3QE0nQmVIbb7zzT3y9Pb/XZ
MhsYjQKtcsV0bH7RPRpvnXBpcIgzu2Ez/eoQ1lRYeHJUMHZBvYEUIwtRvFX+n9efkrFjS4iJzYhY
4fgbxJ1fMWO40IgelYWuTDLgCyH/Nv1pVhPKEoD8TMQ7jBXScVc2YJrQ56ayxvY4uP93q/uuoheT
obsW9INdp7Za0SCux0fTjm1Qoz9xTXzq3Lw9e17KrtRu3wuYSfgDxr3XgXgwbLAEODpGfo3Zfcjs
JqjmV5c5L+WyfJ6RxfjWAP4WzjUlIvLGhDm+ZeKC40nLrPaAAGYtWpe8aXhIkO1qJdBLL7ORl3gG
0x2JjXTClYn/2+zXjX53xmjjJx6t/OvI428yHey7r1TnaHP/IDAA64hPRdrh32dbkxfDP0xwjNPa
8B6F+boaXaKcMuwnYtpK1/p0cLSSJl95d61kJks8M1bTnMMjRXEfStiYOH3UyPwRvLGF4D/2eLXF
nnaM6py1K8aVkI8ZM9xKKI6itnnX0KQ1WMO78CC6b+4tifilxMCQFcnaF/przP4LKBquCrGZQ0Re
2j1s2cXY1bWYrVVu1G84a/NJ/dQuZP+xhGZQYk/KVwOiyDQO15r6mnRAG7b1KHk7C29RD8t9xkFT
OjmdIaYHHtm6Jn9GMZ9nV5Fwnfc8NGWDR1zuFTP0QX3l3VNqF5du1lYJl5/A9O0js3Ka6Vy4rwtk
QfcfM3QEwxxi2u1WXobQTaWwnnzCJWykHtKPzi7bDVH/8C9eu9La6/NnX2LoZD7V5FtF5phfTi8Y
DVjrFAvJeEMgLjpeRpY4kdPGP3r5UQdf5tZ+0GXxpe6ZteWkkzeT+dADrBVfEetRiRczZ4CVWCsL
ZC0ZPiRKldsUU7rf79zisUdRMeZ7K+nWHq+yPu8kuu2pPGlIR3yGdyYY52L4qejcJzQ2Ro/TGzg4
lzl/d3vTmRfYe9u5weBLCoOA9txkoK/Lu4LzHi4f78gfkaJMd0hVC6cO+fi5QpBeaNMDsU+HRM/X
NkVmYeaHbGa6glYU/VTZvfAx7FumhgtK3UddYBky0PLHlG2vpsMxr+oZS8xC5OxI0DYe6ya6kMRF
PYgAGEqnS3a6MTD9dYhm7ZunjC7aXOy8ZnbLxbirMIjYiBpLFremurlcj75Bs9vT3dcROaWDtpLd
v3zKpoem6y9xlG5mGHK+7tPCBTCL1n6br+ksAs2iSqITDdkXUVv1HeuxiErSeQmxFoYtp2js9Wuj
th7p/5/TiGm9B9nh1EGmpoha+4gfio6IHdpUDUtBbhVwWSDXwnQjLA23mrfWLJjtGK6ALnXwrS1L
22t0vh0HyKs1BJ3pfw80qSHPcmIb/2Z2Y9wdbFvtlWc6a3bmmG9WOhbu0qI9sNL3xKleI5pMg8Wu
yk1mFv1WYcVBefnQ938Cft9cUzhHNbQI5vrSvRgEbI/IvjOEOhCct4szmzne1pIDu0/qByNQ+aEr
3Y2TPAvG+lpLRTj9OjFkXutnqtF9fDkeOJoO4rWVnHxUzZrIXkZ3/Ji0E8K+0UT76GUbt4Qg2QeF
Xr2SKIKsfRhwMtryp5xSEnb8RR+7Lqrq2RXPqnQg47SAsUsJCQPGj7r6zYvwTsIqkW99+k3+UI14
DiWcbuVdKzVcHcTeIVd2yz1sobXrXls0VoShpLCu85dBiGMs/V1utcgCONXy6RJp/u9Ux5DzkCaP
7aPeEBXY3jsfsyb5Swhhw/pBNx3kkuZipbqXPYlPwjnESuyGJGSTjrKhBh1HygPmXZT5CqdeTNtj
/8JqXZUJresiauB6hENtL1mO+btpvadMp8z0uxOM2hPnry8osUYDsA3LTompL2536RQ9RCpawWqi
f7gYPPddB3wBd0cpv2bEvKHsJjY0Df5y0EhRdTMLLDeas0Yxgp+/KH6YlY+1j9b3t/G9H+LJkHAR
2GIMa5tlIqsC9rX+pmS4NmFhG1oU1TjQ3I70JpKARMN3vdNQ+1q8PBZjinIobhmpOWZIuWaspn54
rTgq654z+MIaU2f9Fll3kPK1/1g5VC7Ni487KKF7iY5WhzCGMIDSZv78kWAPt2RI/Ah9MNvvuJOs
w06+WLbai75oQPX8N9XfjQ1SVT7lKWLgASsw5/USi1FOYKo78CAEARlM6kaxhXNPu5/Q+QLRqGNv
M5jWXYOPMSOggtG97tnW5vjVXO7lMAfpGca7mW12tCx/eTBavrMGpJ8e6y8hpoDO1KGqDwh77V1S
gMauxeMcJwd4hesBSZc2Oey1vfKStwR/hByVCZp6G8ee9EGccZX4st8ai8QWUQ57duuvtboHHKO1
32zm0vvoSV1jnCUCKr/VAE4cyUDvzkHpwplGo+o715EUwobB7yxQBfEwmhhlx+jWsl3nP+S5/PZH
Yx8rOOA810xkMcwfPAhEjQJwrr/b9IWtuR5Qezv1e9QXsHPuDTkkLVbDCiNSrXq4l+KhKr5nB1cr
412yyXC7aZuoarcu3gWRQ9f3DgkORIP10JjX2wZPtJ43+8lJaFnjjcZiuzKP2XQNpTq2tsFqRT9Z
2DOIClvlzinM8l1csM83xk+rV4fcs4BgdOsQG2uOf8y5VbrJKhBdKgMashH/aWwVU13j5oGGnvcb
bzi2vGe1g8gLOZKJI2Zg7Bin9m6Qxb7p0c9bU5AjmSQzZpNS77lIGk0vDioSycKm/px68Za5EyKt
n5IJpAG4VoQE8amPvLROicP6mcMq89Ut6e21xda7IwTRZ8YN0O0hZkBR67AQhvK8qOJTAHslAwdw
dTeIH4TgPHsOTbJim6iMNZfpavCso+l126k5NuXTaHZL5shvYhq7kXq20W9j0j0Z1DzFLCjqVND4
7r6G4G1n9YuKBvqKN7x7oFezjaBqKet6Y9j9fqI48VUIOe11kZppVIUErz6YVHc9trW0kvvBnY62
7gXEJgb10vXArKOcJyGG/ACPt4MdeSyPCYj1ItXf6bZQpejbBGGhPsTPsXyVuXFxfGTAzPTURMLS
NUMLUFMf5tMt1InJwUOFz3Xva+DOOLsmDrQE118Rmq8mNlv2E3FX7xP2ZaaNVzSct0VabsP/eaHO
hqKXF70PbHLXhrB88ufykjDYspuNxytWaV9d/mS7CdBotlSeeR5iwCA4Ayf9XLeMA5v835jO24pm
SRnh0Y/iwMuKy9AUhxo4A6GiHKdI7MAcFc07ilO6AXXjw0/QSNmI5vpuvtnlY29Tgngxu2uKKg0K
mddSKxb+WcnwFIr0skSVZiN9mwaLErMr254kbYKRVOoknIPMTLY2olU/1bemIQ4yBqNGG6wzEDC4
STDBC908AZst22ebQsJ/SWLso6GLhIgch4qmp+HX/GWZ45nxasCH3yLbYoW4GuvyMuDUlAB5ipC0
BraGoc1qgKJYsN3YuywPqmpEK4h/n3ZdFzpxJWVQtAcPPWuGyaqCmeXgdgfyAeU4COHSuAIeS/EW
0aDGTcpVz6iI+6mo0qNHKpVo5IlCEkVdeI4xu9h9sYli9lWa3BmT2LWq2lTU5YD2keu2NxVqLw3u
W8VWYMQAPTMqmXLO4rDbsOgfemYhJOuZubEJ4afoxcA7zFZ2Y/H/EAm2Ela2i2zmKoRkV2QduS6k
Jn4p18ZK9uoq8huQfvIZpAbvCL67Ch25hxnV/gnrz159hMmbwcShkPraB8VQAJfyyx2VURCH85vv
km0VLXGC+Vpi9Xas7wZQWMQ2f9Cf82Kd6uj84BP2NmmxM8Vh6D7NjsaIgFgaB/gPCo5FKyImhlwF
OC4LELE/bDsGr2EvP1SL5jdH15g3vApInWFDhMA/GoQVyA129oyQPaMUw69jJ9nRcf1fy/5OS6pq
qd1J4zwNxhgM1og53dhMlP5jpD1rPqEUSp1U+K+bfvN4rbgcE7nUR8ZR+GSaRp+t85LM/kbqf4P7
R0LuTae/WOb1bf3PcoeVRCYxZjrzWOtQe/Q5WbMBwbe2cJrozAly/qqmdTXhko85m2PayZQjAhuv
xg4XqhuQvQ5dXAt9mH0f1h+7BqqJNKmZdzRDz27kYwjDusuUuPUzOvlwnbZAK7xhfhfInXpMo50R
nyacMFU0BpHGYLO2D4al9lUWHR32qmPzYrfnbmTzozMGDEMbRzZrVOwOLqQhPFZnHHg7Q9eQbvhX
WIEwtjFXUoqjaNjldv8o2R17KZ6FGOOs6WEmKshHCfcCrYehIxntCv6jrN00WfM1T+NeMFnx+jpw
ZzRpouO64NOeyFUAhAAM/XHq61fhZYfEm6/SZIYm4r2NDbyEwNzrzCvn+Nijm9aneW26IBncNIDD
HIzjm/SmZ4o+JqT6JvWh1VpIIewSDkTsFOgXMhzo3sGHNaNjfpdYMLuQ7IyyAbM4MgiSqFJZziJI
NlMD6H17m9xzR8+c9bw+YfGvhZr+UCbWVbLk6wguaZl0ZnMdFJX+lCJx6HxzNaY/sXxhSx4IDbsE
ZMe2blD/LrsHWDO9C03OOjb821qLdRScGGvOo2LlYnNGDIh8hxHKSmQgKU/PbRU/89Kfpzl685yU
e8J0i9VovBpM5c36lWHTTpSAVxFEVeyocsRaWv1bEvjj0b8B7v2bqgD+9jZC5BepDzpBqlf5QKGP
sQiZ6WWIKLUtF0VMAcoITy0uowzafSKOpfFTy33D3cgzd3Qm79nI5a4BDp2PfAJLlCFdQjjPx94f
f1XKwB57W0o2S0QmpSE5JcH3TtQtnvOpqjgo2QxPJc7WkcWS8bDE4bSC2wg9X5TUv8VIdqdL05W1
2XbCd6AzpO4j6hGOHw+YnOH+GxgfaZM8hXARGkgHpM3edWOheNJSA41z7DuyXDyl6coEM686ulO0
BA764ET/dRB8SV3Hallj7YC/altPo94EyxS2MN0usCjRcGOBrZOwL55H9abjrY3hAYXTwaipd3Uu
+wp2C5vNx4g3ta6dV5JBXhBxXkOFN8fNl0M7hqZHMHjZPYkEFh6LP2WtBYWqRmgPK7IHQ2duZTIy
KBhuhpEV6JpxGjmP4wlM5CD+kfLMocwPc7BA2KydgWV8SGYCI8I+kuptdOL9pG3HvLzVPvOlaNon
rF99TLx5UhykzWZONeya85UiGoyAYRRa9T43SObDYzoN9NaR+DGL4bXhuMk1k4KLeN/MEq9ZjcCR
+rpM5cJ6YQFWHy15K+CcFLJ/ymZ747XRuwTq6JXZkVj5W8/GQJ+yvdbwtC35DzV6GSt94cfcW/FV
z+MpagQDoWoFYH9TDryqSl+V8PjMcdoMbP/NxSAkvDc7onEdq0MBKKLOkKdY/p/KnBjNagdsR9yI
IIzxtBlh/tpw3BBFgKA8nh/tFKwfn2EpdYK/ik01+KcOr5g+988Rhfc84ZtKwf9UQPLKLa/MXowS
34KagzSvKNiZfhuuvtWtV2VTwRkS/0HGA+G26OXMRn9LmitGMz9199VQolenJMyM7EKKw5M9fFfZ
69DPx9rmfKydR9/SuXu+lzAXByhfZa+NEcsfWGdd+cd5nPaiqoHJ+cZmUIyVIiz7svfJCkCnqCuo
RPlZQVnwMx/bA2VzXd/NAkFLEQc6EXttijTCY36quqMlXK4QSZJJR6FG0+CgWHWT5LmZ3J2rI/h1
ARCR4B3lr3qIFGVJESEKoRP+vQSXVA8THoJl0ddgQWQihYJLWs42NU/D7L7KRu1ayzr3sRdY7Byd
IloZenWoxbi1G3XMVYkMCIkZI8t/dZgfh5rncLkEhxbvcLa1CbWyJhYiwt0OVfM6pF8y/54VcJO6
3AL45hhiy1T0W2uWh1wf9nE6P4VVtfHRPbMFYvKdruwZ2xfOZmt+tJiBhZ3YcDGjb8phGxFzaXwq
f+ujIPCgk9a6OJste5JU33XIVfLsFIdcJrInv/eXhwJDD+l5UIzHmRYKOmOWCe5g5ywTMJWQ3Hvp
7AcfliJLmBJiSG0ItDmMDafU5Iwdbh47/4FsliiOA5OsJcwStli6hsXl6h5IvwIAzkqEBWBEmq1e
DrjL/BNIGtWX1xDxIHftfWq79VBgJ3AkuxFK3wZg0Kx953SlJjJMW9aPWeQFSeL+yAHNht7uDHvm
QNx4yX3pQRK9faffYo2QsWzrUJJ8VijjRsTesz4cqrhBYvwnFYp8gVdzkSIotC9G1V9yHXuKoV8s
4QVOU+HkGg+jA3I/jUiCYPutCePU+OE+tMTG6dubZrgY5yB3MFEVk8SQdna1sz57QWeAtfsojH6T
VRymKBUzJoa9gaW23MkWJSwlt1M33/nw2SCRLvwvh9F2V87P/sx6W5QB4XGkOGfZZ8qNHMUTppwx
OkYDA9pEfbtudK9Yv68zt8PiE7KAt41hsSGlGKB151X0F68qTtJPV2N+F4ulHlOiFz/qdXbIcQj3
bICAIDBh410bBs5H976QTgo4f2myK+v3bE6OQl1tCDJxOp0wewQ1ngbfHS9ZMmPpxAmAaNyyB0zf
7SoZKf8WsMDgfVRIBqxueJ6m/CgG824Ss6XL6tWOmJGN7kahB3qYdHiCQF3dATUkhWXo5Ivjf75F
0QxMI78ZokbLWP1pdciyb2BOlPwYbUn5N/DQdZ0DNicZ31HZkYYkmQu1sceww25CYqjCIIkJUiLN
UgCvKKs00NGizPW5noqrZZBxhfqkSPIn34RDIE6pjMFXtTnxd6lGMWI/VvGvLATdLKK+iC1N7WRb
JniHEYdkXwJyqY23KGeKObWL2hgIBsRbO80JwUDKP/52NtN0aHUbPewO+uQy/amCdJIY4gGBK/NU
t/iF/HIdDtJER0OVNvunqOhvNhLghKNN09VZeu61SuOz0KetmTq7oei4PzscFoL4motTvszhkzZR
zoziojwD6z8ugry6JqV1nKJ27+HemtEYt6b2pHkCqySDYaIurb67pBCnmwgmvz/7+0kia7QAWy8z
Z7IXUg0LJt2U1nQnCVk5XmiBQPIgRnNR58d01FdN/+5nKpAOVyT0uEE0K0UqYswxxJ/HkgkRd5Qd
FyN6XemQfc2A+nxBfBscXTJIu3zvaM5Z47IepOSpdwMNjFScA5QkI8gZ6QwXvTqXfGKh59UZTKKV
IB+eh9dZtfmiJUc7ZyWMFxVmdg5wQ+5r/XciNMJkr5Yl+t6HgpICLIY/Q3q3te/MaVdr/MjcxGSB
/syBfxEKgL1TBPprAItbRtd5av4hwtu1sfMS1XHLdIFeDFMu+tQBhSPU3s4sX70l1jtBrNkho0qW
Phj3kvKHC5UfWgvMZY7P2cXH+pXRp7WL20Vjr5EZ9qepqcc+DJ+1sv3jKLlMjXOekvKfLVAFFWgz
dXpFd4YglbI3LV1v03u+yaDHZFjZ0Tfm3BCgVEHbipl724stXujuu1wE2G2O/dEMXULnKwC7Hs7F
qI5eGCSvZSnxZgELfuBOe+gqjEPxZ2+8N9O9ruagD1P2dASlDuV+iW6ip3ywrGgrxPSnZMOpR6la
NzWRnlDRjYLqmPukh4QOiRwNTEsPOMeEzST53qiy50a8mRZPTEPxYNkCoDJ8pBAqk0AiMrYk1A50
rprHNjxuvFuqAcozk0PPWTXBdhCDPNqZdc4J3AHTZKNm5zePAfH1sv6YKvPV9onDpt3XcrHPlA2C
BHZlaDhB7mk7BpgrauydA5Uq8fRAoxBmvLcdzOE5KcxlvYeDAUMXJ66WtYc4mVhguAybirWS7DMz
dW9Z8G0j3vxiGLYTR6lEejC19rkFiK9E+dWp4WC4tNq5s56z6pTDzbNY/hbav7B8TonCYzyLTxuT
jlkQ8zsj8CH2iOaLgSFufhu1p6bANuLmLBIcnVXy3JHj45QlYa3FIY2GnVd/D9T5XTuv+v7uUtvQ
reAsR/im0luFfwtPKiCaV68c38sZLdBA5Llzp+v9KPH0xYYZWFiTtaxi2tPCPcbdI+FKcl9rC1CB
DquPH6VCSpYswo/1AKgztMkDc9VjK6tbmgx3tzBuWgF1eLaAkoB71N3nMRu+HNntqmnnYY+sG21d
ddSADukbWvhRte5qZjfrMXDQB8yejKmSyUCWMPFNK4NpQ/Ybax6xSItPQI9/CSK/9RP+887wXoaq
/2zhlj1E7QJIN46wOGmVJFyjubBuCGdvIkESr404+hxKFAO9WmW54Ks83Fv6Z41DOuMDzPHDlsYI
823Gg1NXT62bHgzSjUwR/kCAf2QRD/dX3nzMIZ3Nt1kM19oST7VF3AqZRiaiahQiVy6GkUkWEy0N
5WucX3KnvBnM9ZKp1ZiUh4HdlEenIO2zoj0skUYjM3E0/7Ox0Fbr+rOmjJNn4WAbpCLgKA4sNDGz
ZZ/twgtklAStj5QIuY4zUGkl5jMQf0hGsMmY2JxHnclm4XI4dBG7Dz2mhoB5Y7bNPantraF7L2VN
Y6PScdt0khrRRlVG1krufPooAvB2/cWUJ8SPXN0ucjHRTrifYa7nieFQKyBhkRph7yGAarnkDnWx
viRvQxuhNqL9K9WL0con2+/vA00oA03QiyZguLFExg45jc8+aIE0KQZ39MKXHCGInkZMMdtHn6+6
0vL5YfQJxPNkSXeYBYZSG5eatk20K1MLIgJ72MJYAafhrWzpmTGG9zT4sdkDWaLsSx0ORZVE9CzD
G73mHx0qPiEUZnXFcKyGmI9CnskjM3phv9asKzJ8l9nY/po9u0+THJV6Xo0ZSnI5PprsOjX4xXw4
NMv5forGrVv4G9128BiKTeR7BFMDq4Aya9CuIJJezxAAtM5cu3h/BJRXG6mKy7iri8V96LN+nXtL
LBhalcp/Ly1wgZQdbtuyf2q+uGHdVR55+86o6S9wisejn+BfX5DUtMULSLuV+r3P0OxW7hknHuG3
IX6yEjDGv7aDkVW8F6qiZLMeG3s6tpV7rNr5XOXZNe/TIMzhjpmNvY+t5wgWkKUQwroMLpCg22xj
V1NjIlAQprtjMvLURtaqXOaMfnVi4f2XVWBwBditMiYZLp+7E0pONPZ5cq4jEOoFAQCZ5rGnQvha
cnZu5ta+C87ZKCyRVVZ4RrEkY7jLEwhVJWroRDRHrVHXvmzPBN1tK0oJoFHWe5Uhl6iSjg29lq7K
xsOP68LXMDdlX9OnWsXdHZi2DtWFqdgZvwtGAeM/0s6st3Ll7M5/5YOvQ4QssopVQZILaWsPGrbm
oXVDqNXdnOeZvz4PT4C4jyyoEfvO9jFOidzFGt53rWc9NaK30WSxrPs9d6cyUdwl87fOVRUZF5p+
rV2fS2t4Lufiu0nGzVKoi86N7yhxU1MCz0LCJHDfcIv7/X0wtO27mjDGls8Qszb/wYeIIP3yRVTL
edinP4swJ8zMukjRpstKMRXiW29A+s8/pHlBRaprg63jUyrKwwvJkSjRyBJriwZERPG9xZfIAknM
iIDqtpAV3KY0nGwsaWHEkVZzFCtxZTt18L3Pi0v0/fuGHIPQRQ4rop92Ot5UAvBvaS07J0XBbGbv
IdLibZDgMxPkXDPHtGjwUSlykgY1PjfUY8iR8hdlTqaeSmcBK6aQfbLR9nIY3ZEIakxlsqXRYOAT
4+cJsKrVXXEUQXWlpvxX6g9kfYOPLcPqLBUdwX6y3hYj8WJWcp4TS8x2U55zTsXVgPTD0YeCO41q
vmVoA9slvG5s+NY+JCzqW05Gan1mTj0/eahTe0fQLwd8aM8ead112zzQOjwTMLwJV8KVFNk3Ob3E
xes3loM8yFFHYXO+LGcsJaI+8PIQkVln4+qMSvt2S3npYlzEMYiRy3BgbYrhStjufRmz4OfFVZSa
bV7Yv1ILXU+NGkgrQtZFG+IKr7YGmiGSG7yiDr01ziijRkfko1GlmiUQsWW3EmEZ2YARIhAabVTz
ECDivV+Wh8mHHNiGFkZ8W28XTtcTQikniS98n3ZUSufPdmoExdN93HTHxNw7IjuE9nARx947eWFn
pUouKpsNubavREfr2yXIykcfB5wyrILTSVffIhM91OGMKk1epoY+/UxDndhbNCcAChCHe8VL7i8P
66sqR+BvdrnlM8Aei7WHtlVK6TIMJ4y24a8mALRQWeV1bw3XESZLy7BFJO6VhOKcDMsuiQw3GIHp
Jfo1lOC2hee6GPwmzmxocaLyOFnyoaWPZfU0SwTOwklDHkFDcVJmGbVuzT1pEOgROGiBXhMXs2Pv
3B7F0EwAnMdOEnXytp9TtilgKZN9R0jvSTHIDX3zvcpIaeOcfFIQ1Vk4PcB0TjEoyIfeeQ4MAn36
yURUG7x2uJUgDeeqOdqSwkaJ2S2Q3G8nzumYrolS7OQmqjCjzHF+2doYoTuJOq8bMEIWqwC2jc4X
7T/mCYF2WDRXjxMilUOLw6exnZfamR56tSpXymBnm+VsGIdXX1mMHe18Pzpm8HbRLTqbBlcXvJ47
q6f53irvvgjqfbfA33LCc9W3twvvvZSoUnJg0JEXIdF41xL0VTzfS1dz7hIFjb3ssa8ouSrDkW28
zkzLCljc9tzVFGA4Nyju+zB5sFV0PvfLY75YNKLw31TpfQ42ofSAX9C6pgtDSRlsnQ3wnrg57JwA
GLCOjOGBYEIuuLBk0GcNdxK7P7eurQ5Xqnu514k8c8fsShIaLQzQPLs3r5o7iMUiH/XSQIBDpTmN
761+Zs14cYL+3tEUiAkIkc69t6jTuOQWPlp3PVCkmaOpVM2txsGkCvGiZnMTUXLLCQWvuaWgADiI
5hbMLPaJ5sz1HlPwKWw9cKpoF6ENFLN1XCbEFAMzpsr9x5jmkcKaorz6JxKt58hP8G0+ylHc4tL5
6bISl/E93epjnciDnOD6x99kxveJHKSU7Lw15GBvvHRy9C9x0V447nRFiCHu0kfPyehwxujLUtVf
Jv4a84JKPIzJEyC9zNgU2z1EoOX8vQ7oAOFtdaG1WJgC6QDfTDOTylenU/lkyRbXXcZdGlxcLQ6D
CA6h9aOED9h15X5WQNFF33JYhQKxtPy6Hay2QT/W5cuU8orC+SkeUEdTJXUAsZQZCcqYSyePwlYZ
kTNCcNPMLt4vOOpMDp0IXkhaAMIAFb32GpZvcYLcI1A/pcNaWQCwSkEFEigIGF17uMHst4bb8IjH
PR1nYqf7yzIFNd6ZKwyPx2BUry7bQjWKF10XJw0ch1Enj7Pjkdb+Pjblox8CuB47WJnIgekVOcWw
s1afU3s5SzpiAiuZa1BApFlJzTQ7Lx2LEpVZ6WJnFcFYOiMQRBEOMyVXiQ0ywmrsvaV6UIu0MmKC
QqcAEtTCSRUu9XXSoEaTOr4dw/YoQySkTi9JR+6J5qQHTw8GVctOxO1FjLvW996Xtdmi1DW+Dc5n
3+tJ/Uh1d72Ua5kahUEWScONCK9TTT1lHN9nxM2LT8R5bHm3lW7ops+bADKES5sExnRL79XFG9TV
8Y+2KpBK8pObfj6SurGdkKtR7T/MSK+7mOQEpojd6WdQ8S9WQy4WvrASeWcuzZq6aJ0ULftFPqvL
ZUBr2xX06btih3rK3jQzrZOETnSBiPukccsC/waY6TSPWQ8LkDew2y3rexbOSA9NsPfnfm/H3YWx
WZiFRXp0vkzX1pSBO2o5qeXvllb2ZVHRMVMjZuCyQC+ahuQHDqYlc7DCumG3y0tnu3dN1h6qHget
4IDbtL8wbdxFFW1Wau4EPRm0PFkzEMNQGuQsww5LKJ6pTPz0Zgxrs2+9NijiOQKq/GSdHJp7DooH
ZAsTMJFioLjpuNQPWCbvlqIlNtC/RFSC/yCKr5sVKebUdMDs8egN1Z3bU2qnLADaobsYJ8ghYy7O
2W24p8yIqEdFn2EU6RHomA9AAnT7ki/frbK6FoW+qxIK83XN34z67zbJq0sRFnuvItzab289GZ1b
ZKnLLn1qQTKMWIlyotaQBphvkmpYw5G9HS2AXzH3ZO1BBs6UwmqG855svzWqwYH55na896SGDjDb
1WHJEKFbfoks372K7fzehPWbQSU/+jamCBdPHRguBcCLOC3lkh2cxVwynOwHGOLNkv7SLT+ppc8B
lN1NY/FG9eCGIIh9krE5D8k7TCR32/secjPAfvSQKG2znxgaFXEmDwmb98lo3jwgzRJSQYNJy5fV
D+U5L326nFOJvJVTtQu76KHSy9aIiURVi3pXOGjsaeF5mtmciCyc6iCqCBM5DZLuQdbtvSvz67oE
QslpFVUKocUox5KFKHZMARN6D8P2mQrvNRnCTZ3J+6RB+TxzUpjBQiXpiLIOZerkkJ2nyT50sIhq
UT+I2DxmAjq1rsyDZ7uPRDz8HCl1TK2GnAotwo8OQDwu1TzAMdP9eSPtw8THH2b5ZVg1V7SmzrSN
z9W3jmOgT7WD+9zu9kEM9y5h/eZgjSWVa7TyXjIP2Ek3E47GIl8FOQVoiZEbzZ2jYoh4CbZpFwJi
UJHHbgX7tIwuhJ1ez8J5Tgvi4VpnS/wBRKoVhwjG1fWpAitkBtXQHE2PURV8YOwkm9G/duAhTtR/
pFiDGOzmtjflji1/G03q0Ljno5QOoJHMu1IOxLYiuiE6ej4dyKrqin4rpoxMLaqaKFOdGQ2aRIE7
Tg2ZEnOynV1JAE17NmX1pZvS9uYxSWiNbvoMlmXg2meYP1MivGBciombQziC0F76FdtFCFpOjXkZ
wcDUNoVPziszgvO5tB5cFD6zk1w2LdjiIkRsYXEWrMhGltwAN2KG3pday/nQOHcyWQ6FQ/LO7KC2
adOGmEz5PvT62DX9w+SAYG0L+5to3Redcw+sV0j4iLJUlXi+TJuypFYovqe43LfFsm1KGrYizvcB
ZsIpD73t2Khlk0fRY6cFjjeWeQGnIZgekzl7dFvyROjVswhpa6XNsEq1ZX+Qkfs6JtzJQP5ex5zK
t85otgsLkbI8TgEQnahLlGcl/oKT1km/l6F6/6vKL5aX2CUzNlysX6FRD5Vt2rPSwlpKDOZBZ9MF
MX1Xaby8aTtA5LLoR53jVe+a6Jx81d0EmZSdDxPUBOWsjPznXs+v1RLeUuPbZaRG1mO/j7irIazs
7yEdBWBMg01fFBMsephHNqbl0q3uPJU/WvngoEYcXqnm5vs1aX5oRhvV1XgIGxbTUa936wRpRzdR
04JcTOeFUm6e5pgU7QrN3EqvK5bTSgRnnTc+lHmCeTyBFTF09J28AkNhlLt3nInXnLnqPleSvi1y
pta9iEf9PMxYHIM0HddoNda2zrlv2o4fMIIlVoXFlUr10ctGecqBgqiOaaRZMeOTAa1p23Ro/YFb
RLKaYGvXuYtM0VyOGsg4I7+PLr3dWqsnNdCfdEbOrx03/RPLlE85DAozQhRoJ16CbVnN1iGd1aQZ
Ychj98PKsWOPOGAA9ACy0X39HZXIQ2zP3saqJyiO4s4axtciqdCAOdy3vTDah2NKMam4aCJkFzEq
94WMwvy6D+p3z+MIkwqc36Ycr1pHfmOifueU29L4qUEj8adxpeBnnfSMA0ECGaxiqn+QEB5ir/eP
Eik8/qnMYvvPwKH5SYCqLAbqJDIfgnNvD/Z4nTsRZ/cpiOgdUkaPc3ApRbErqPbGcfprADVnkeeV
9z1ZDOQGAcq0KxpMPsRnTRb3VVg+kfx4JrU5b4fvDdWLgMItdto44PyXvAKxp9uU0KR8BTFzG5LL
bQrurwtLr8Xtve9bmjgF0yQMt0WFhTkrr+x+fvNJQEv9CsB8T5/u2jj2cWrHrd2X11aCewX9UcgP
xr/n3rTdjV3LE0j5VTuftoNzO8/DhfJHKNNvkLM29irdoIm9CP/NC/NL4oN3Fab4gWyBEeHtRpI2
cd5GTr6r0dKROtp9b9r6J4diHH4umSwDfrKzPoZV2UZtcT7VivYoQCZt+vpiws15MzgITLwWPBk1
JQQQwMWbSs3nfpcld7WqKwzEJZqsjPzS8CZdwOOC8+8qqrWEEijCY/sV3jGxwHS4VhQXzsg2d3YR
4AEuxa98oeeVwvZoIKMAucJzNN+5SM5QatFa5ZVeTtxm9LFaJfevrD52vssBzjQvatz09bFbjk63
yk+4RMh9QvB5ikrpFKzekOz8zDqDZHqaDPcg/SM66YJuSv24+AfZvrj6UJfELuTlmW6KTVC+lSH8
UWsrAGhPJEH54R7Y5MZJ87OghQ9gNgiHR6zAJPz0/o2myYVKoX3FlUmvhK7PSTU+YUqlABl3W/ho
VX8F0sotQbzvF9pxa3TGyv5nDiF43Qs8ArROo+LenWmgolJdUxKO+bDj0o7nN0UVUoTPITTsQKHH
vpvaM93DQYPdswBagOdTZnhmkXHGRw6MGfd9V17N1VuMtyoKDNfNXxbwSQIFKAf9DPESDUN+mqCv
U258TWmTT5ZbP6upT5/PMH3dMDlNGtrkFttEx7drdccM2Z/CcRgzZoxNACQKajaKvmA33wZ6W6QT
dpduA624PNSG9wF9+jVyzzvrmU49kWBWcOHeYhzd0L2m/k72Kq37U+HvcoinXgQVGFNgeChBmsPA
iZ9npfZTgxDtRLzy8zg1Acj6rERwyRUOLfzFRGXcYxOlxcdNq4yv1+Z/XT9VJAdEdKbpMpZE9pac
DwnLAPROr+2QFWexhzqJ8woXb9wtbDrDWng+LVD52vkTTGeHb4HIMt18i6JzpnHf7aickHwmh/Np
2KL5OWnooEUnFmelovq5vtv2oioupbPCtMrqW5Ec3O6mhRLSY9+IqXCd1hPtkerUL66G7CZyplM0
WM7PhoIu6APhXhNyYfffpwXNx7Edb1N364mdDG0SynZcMk6cHz6XeEVR2PH3ZbMd0PEka5cHiXJ6
9Is7fG4GoCBX2gjua0HgRcu/+jlFz9DF52ufHvMq8tlCPtXd3Vz/rFLMJNPPitQDzcXCUO8hWqzh
J0yrQ5ccuZk12BICg/AAlD7oy6I48ai/cN9BdpJfJPN458BhLGPrXHEpwCHDNog54ULzFy33dXZR
GKSkXBmAB9U8B3wCH7+wesZMv3h3jYZx8NRig7TOKnOw+kPTvffZ9dLeLe4F9g/koXwVIae3O2BP
xCnk1NyseuPMrMEB7NEFZmL2IAigAPVBA5HqEcYfH7jFG+aGNnriRLzWwZf96J3F4WYqEXzvl243
hZxkBtTZJ2Nln2BS4ZaK3n23CrPoemSKvYHZV8TUlZEvio1oqeXfwYBwoZcPb0Fyr/yL3BH4Fb19
sSIzvAIXTH+m6Vy2xyH5ZmXZblmh/E5/QlAHWhnR/mVrXWN5uX3n1lUFB6o2V806/ainqI1T/nLt
27i8s6dveCRzHKsoEYCx7VjUCflIo7e03tfuI3VByUIyecwlEAHpDf9to3z8LyVCRy5wWDvSKzuG
ENtc5gH56xubtlLFTVkNemta1ChnDgpT600OwX0udr3kX4DFb/YAXHPqwHVH4+kkno8zTSmuYWdt
hIhuAJde3eO33dQ2DgyPJlJM1pRPhuNOTt8gkWwBBpxq3G+h5ACjuEveNPK2jM9Cs0uAMCzi1p0O
A1WPZU1qax8DVLLd0rB/7pW1Nj2+sfFG6Vukt/UEX7B6ar2nEoGX9ZCnK00Cj8NprquTOlRcg79D
Q4uHbQL4U3UXij1mJZoRK4vewd1D+CC/RlhnAj6YABLB3XGOwazA59f7rjzG4jmmniBgy6TZkbYY
CpNza4Flal/3bMhTT9KVtxm6d3ChXncxRVc0sNMSldJZPyKAj2nOnHbM0Pw2QnfN9ijMj2a6jOYf
rfsGMrVGm1tSaUmny6y8G0eBsnafrE7Y6byege1Fx6lvbsPqshqXUxLddmkCTB8WY3DVxc9h9MPg
aZiSbyGfFcvWAGzCri57sQM2MESP6Hm860TekHJjeHIgQKbcOvgLQ95P4z67zi+bk8yyMe4LV1gP
ara4sKdryJJoDvJpO2d4ZG5GFIEjyxGfGNGWc/osQsqFJL9NN37BmZY3kh5qrlWkimQtBJvnZt0w
qPxSGz1Jmd9lsOWMd5BEDUX7ConOfKzHR4dyvPxuYdCKenJL7yHgn7jNCi/IADZU5jZsb4p5Kzmx
B4Dr4Ae7Ly3xTTTIG4HSExG5PMflkjeXDQpACwAgMNK+22dYk/PFsKyfR85FJ98b69W3DgNxGAn5
dtKj83LmvLY4Y2zUje3BiX84YGT6/NZqnxbLxf0EuEayeeB2ofda8FV4BGdG3aElH9ayzHM6E7YB
LDNZ9r4CG02RlqNzFG4c7ykp4RCcN7o9G92nzBKIyw6Feunam4qsEvulQGITcD1vCF9DkzYQpTOv
PIjLCREkbvlCkOByJ+N040K3VMG5xccLK4iL2sZlg8n6YyDQRFHsYmnJt8I0u7Z4UEhXh/hulVYw
PUXoYkzYryypHo4jZUDs6dWIpBmvA6Dj/LzmTi6ib8Srldm5D5AzSe4S81g5qLjsRzGsJSuqt5Eh
cuXWBvFAGx1+wZ4+Egvvq7QzYFouKv6rJn6Y8hffPPUNbaG9S1NOs5DJkX13fJVU0nPQ+1g7uO1U
HCqvVFYhQOo3hMJtO92cIkZkZYBqOV/280A3ptp1Kd3QrW3CQ+vO25nKLbdSrvovJfOwmfYg23dL
m+/G4uh5mIfdoy7kvrWAgLv7zkO4A2w+2Xv+y8rbT6DXoR9r/Bcnjc+QL562qGFx4y6EKeqSnmX/
7uijxAKDPJ2CE6p5LL7sfzikGqAHYNB6fW+Fb53AsYUR08QQOCYcwA2AQpzXqxhKjU8+HKcx8vei
rO9KJ3oNSMzRtWDyrEYztE3oCBwk41oTgkQvOChL/PHipO3NFV1O4i2mc6u27ruBQrnBzZGtfo1Y
xQe4F7uI5DknRlkMJAUi7zcUu1z9cvigdgHetgwka7fcSHobNjHwEVtPNmZnjVpNaURfTcqursqm
FNApA/QsJn1AHwKIFxhUbovT2Df7bpUXFVF0j2aZvilaDzfGAWv83QynAd95e2FLoHTTyj2waBif
1oG7k4G/y3RAoFmQ/Ix8CoAlE0h3WXjoZf0w10jdDFXhm162wUFEcIHn0BBoX035xor76jnpagxb
M3R2xK0zZy3Tx98n81cFBPpIPZvL0fiHya1W/uGCwVryBbgeX3RFfkQrlwgafC8PYWHd+H6Y7oO8
r897H9Ha3BYISaV9VdbqWTvOBLKIKTfmFSW2UDms4vDLIQ60R82fe5KO6pmoZJqM/uht1SSDJ2QO
NBbcDoTqRE8WAiL1G/98yaH6o5PkPLdMR2Nh2Mkr11/f5s1Yev2FbYX1qe8RP+WP2OiVcI4UeblP
LVcZXgfjNpw2xvki5qCX5QKzjL52DYXEiKPVqWjwU9NY3FdYibvEfnNdXJQ9+wfCAW6o1andCLXJ
axo1Jd2P3OOTFXE/UsiHLgLHbVKEp4AZSMv5vNBgOmf5ri106sAy2WY7vOJt7e4mId19Ezb7KV6j
iZJzKX1ARGbCWuHxPHU+HCc3fY4pnuD11YeFy86MQH92anp4OMPmlXrIVtvSIS814MmmX7MMUppU
FZRGWylyLMglwCClMa3MQOODKPmFGpdUYFJce3knSOK0EkjMcQfCrCBlbUZQLnuKJ+W32NN3A9q/
CAvCph2GXVf5P4slfQ9r+iP8bXR0JugnrfU2Rdj7PJoERWe/dd1qD7d+iCT8GbnWYynBoRiO9q51
lZH71aMVaEUD8K68Srz40EX84lZ+zHUEWiMijZI1bnEPHQf7zNNPiHeQPpriiv6WoMOOo6fLDzgO
t4PPtVyH+wQ8cJzgpyaZzVMtps723PXbnWvbT/mIVhL5D+KzeJM0gB07DBSLwluiiiOXY4hwKrnN
GxLM0+4hbrkvtQbGCsRBq+UCI16zwOpAozi40bvAd0kMVomeDVFZdIqaX0FPjfxukdTuafMkIUtZ
2NlYf+E/ujICM078LNd6r5PxyF7R6B9z7jTzIZV26r0oOQbdpXZi374Pq1yAptF1DzzZSWb8+0WB
nUFB3BsRouFOicrLcnEXxaSOMFd6niJJMfHAmbAaTXjerbGHv5YWKdaZMJlhowkLW+aaYksajSUk
pE7K+BpIba8Kt91wRxvis3FMMdckguPF2dx2+cghY27f22wVJCWtNmYfZeCAmS90jXaQPMQINUgT
PWLirML6vohVG5AoDIiyzUW+z4Zkhr0lAhyKjkz85Yp12+2IMgsIYhzjqZYPJWNzk4SBlXBEpg+/
WG8VhjpCfaZk5HvJ2Ml4lYGYHHlnxzLCLTak3GYMjfPySjuDa4DRlp1AK6A9QIaogzkd+9TZIlUE
fKO2C7VilzmR510NmisGp4slpyt76hlT1z98B204YuKyji/ywETLHi3eUrzOnvC4oVM2n9JbiL+k
b1rxLEH2xbManZs8yejVoXkOeg5LyMw7VFp078eLKFDIOCgB+lF9zU1/gKIqSntm2qaB3VxolSUG
7XiXZi405CTWNkYE25LVse45V71oRcFzF7bdnN/AXeU+1cpscY9F7iwx7LrFoV7WtiiXnnUmtAVT
eIxTIU7KgXbuxZjmQ5Ft2rkr5ydqlzkRU+NIghnEZb7EWLrCusw1GtqflKa57qCGcavTVoUkfYyR
8c4L/qWwvTvW9fi9LWfXHyA+por7sY9eCQpQBg17OXVx6EcvCLb74jLrbZetDCYv3ofc0twJtaF3
/hYVNERucYM73WsxOOZuCrC+VVvVIpezmcFI3+wQmVo1h57g+hjZ/GyeTeP2rmgCv/vh+V1ZfOub
MtTXjlXO7TYsx55+ryuYu3L0PYmSsqnEbWVD4gTw4Saj2cV1N5J/bbUF6MuaNgR5D3PuCdw0tezP
B4UxbORiJviYyLKSoS+4V0K7NDXvCmD7gp9Zxn4Vv/SqXHmobm8C+atoHTu6LkLRGxBSVpYMl2WM
7od6cr3qkSu/nIjzqFWUsIPTzSqC72E7dch7Zn7A8k5If2DtBNdW0eBK0WIQ6ToGXCE5m/cWG7II
/IqKCJ+F+9zUFVrNqQ29x1bmRc8+kWfUC7kf9EGazNV2GoO59xFI6oFr9OYf//Xf//f/fJ/+R/iz
vCmzOSyL/yr6/AbZW9f+r3+of/xX9X//18MP/pvGaW07SmmDsFtq4bv88/e3u7gI+T87/60PYlf0
PfrzIN85kMrq8rGF6RZn1uXXA8lPBnJdRwuhpDHG9f8+UDbGSxZGYETLsdJbTsjj6Vz1EIhadfGf
jaT/PlIkMU+7E/tK0P11bSo1ggjQdiK1g9Ovh3I+fyqtOG3ZvlIfX5+OZTwjzCW+1Zw0l+URb8km
/hnuiIfckV29H27tvT77etDPfjJXGeVo1xeO0evf9NtPFsaxntwGUVDbW8e407t8oF07Jz84ot18
PdT6qj7ODs/xBH11V/CA5u9DccotU8r71DdmedSKSh7lP9Q9AZ6GtE/O66bk5jPuvx71kwd0PAw4
ji2FK9yPD5gilEFRRPt8jr3TwbvEikap1ztlXzv5eiTvX5/P8RxfGts1whPi46u08qZwbMradv2D
biSm8fgPIzjOZ0MIB5evq5SQ5sMHNsvc8Z2QITDJbX19gtb/ct5yVBCn1ib5w3z8ZDo60nOElp60
pfdxOrrxXNiToC0axOCHXFdSUonh49tZWv1hFq4//YepwVAeM5Cd0tXe+ty/zcK2K3wRRwgLYRLv
5WK/22Kts7l7Y+WQ9DlyC8x+re39YR35bHJI2uqKporxXefD+zSuDIoyhL8yCe9JdiXdmPlsFsMd
Oa3Hr2fHJ7Pf+X2odfb89oj1wCFk6RhqEDeCtMhKGOIo75c+u/JSwqH07dfjffZoyvVsqXyPr87+
8LXZjRf5AZ5WorrQ3ka9N94vias4BvcUCVAwbf+N8aSnfCE1/Tznw5Ks48ogYSWMlNbNiYU61uLc
W0/1wafh9fVQn01M3zbK047Skrn591c5uRkPscpQ85HErZaoo4B0sWXof309zvonf5iVSGOVraTS
LqeLD+O43egDheeRKoubqllZtXZCdyfJu0dT0V020pv+8Bo/WUQEQ7k+43oSJsXfn03HQTstsHxP
aMQ2JUvlZC5RMhj1h3f4yfRgHCpfSGC0+y87qKXZv2O34Yubu26bq2Le2cCek9UlV3pw6r5+lZ/8
ZIJ7pNGGr1z6/ofZIfiGm8HtoWhAATojfii5dQKdUJ8Jkj+8wU+fDNmQkB7LieN9+NVMl5paGzwg
aylerhmn3Wm2PORocL9+pk9/Kt8XLBxU2SkL/f2nQomHjs7jp6rppjUKIKZ3/fUIn01ALCtCOI7r
Kufjcu8q4UmAkshvc+dyiTJUHVFYLXCnqR9idSsuSzJG/vBYn70/Bwe3jaHOY0n88FPlOdbrNqFF
6kHGtOlqWdQAupgDCOCwr5/v06G0q6l8SW0L/WGyS8eYyYToo3RxHIDq16k+RMO1R77E1wN99lM5
hr3M9nwjme5//6lE4fgpfmnM6UP42KM04dh+/vUQjvhktfh9jPVv+G2Bd0slKFrZHK3BPxktbqNx
UCB11YW/QkqIMDbp8n2p6+BMljT3gTPXlMi+/is+faO/PeiHya80Fa48Wv+IlODSQO7i9PvUBJTF
0rOvR/rsi/79cde/5LfHTaO5jxrogifc4LlNgCZZngXoqq9H+fx5fBZCT7qoKT98YwPnyCSw0XQm
0OESxDrcUDcaKnP+p8X+rw3q42rPIeD/DbX+vr890CKbfCxC5kjZzOE5FK3lMPkFzuWJEGZULeZM
Zm27I4mkwYDs4ZO3g/TOkTYo6sWE0JOVx1lJslUsQ4XvZUaLrnC8br9+JZ+/+H/+nR/msrtwWkeY
up5ZLlOhN7WVbfPp19eDfP7B/HOQD5N5WpLIRR/GIhBeCZQZCVX+r0f4ZG1T2ncNW7gnhfp4PsH6
DVJDscwUbom2aJkm+9voaO/R1hOauSkssZrnTRTZf5hSn7w/pbXta+0bYdyP+0OwdEHD8Y5DSh8/
x2OdbgZd7KMWNf/XT/ingT58IT1tCuyUDDTMCmFRi3UNAzLt0v9smA/rddAOaatihuElowN4m+lK
IXD/NwYxfIOCdyf0x9Mdp77F7gt+rVFUD7F2f4Q2MkIfr85/Ns6H67ZjWZU3RS5pXzQwM/+hLLHe
mT+c+j/9YX57mA/bDqWjuovWqYdXplXRvqirjRn+dH36bILjgNDolm3DVPuwdEUyrhp+ca6D9lW2
+m+jX4t6wAW7a8aHr9/aJ18rJ5B/DiX+vnRx1E/jFBUsfebmLGlvkiT+w9f66QiOdDxcOI5rf7zb
Fs1ioFHwyqSh4Mw7k7379G88xG9DfPhcSlpYhXHWn37wfyxttNc9kPavx/jslzesOtzQtaN9+WHt
xD0UVDVSPhzT5YsVF681/Uqn8f5QNPrkbfk29BPwdJwP/6USIGWKNSrl95h0VOwdmMK4XgFmf/0w
6wv5sGExim+o2ghCAz7ujblRaRF5jEIbl8zJ+BRocnfCPkYiH/LZrwf75PpKTA1KP27oLieoD78O
9gQ3USEGaBfR+67Jp+hYBzjSg8q4BI7DfwHc4e+D9o9HgD+N/GF9G8rY9MAPazbZrHuMskhcDZIK
tR8gmwA4N27DHuteC+zhD8/8yc+osQwYqaWysQt8GDmH2NAVf6HXx+4pSZZt11Z/+A0/mZDrNHTX
1cg15uNVlrJuG2mHbrzb4gBOUjBl89C+FbCMNl//gJ8sR8ZxbN+Vmg/Y+XgDs7Ci4xogemFoHSjv
1eLd5BM4ZUDu00Xttw49tIgu9dejfvJ8jEpVzKGNshaS/r4yFTli8TKzwQRPJYCGR6MJmYdf8fUo
n/xQxhHcLA23Fibph6W2lRwe7JRRFKRLjaoogCj19RCffGxGQECiug1vEOv33x9kAo7WSsFBdFj5
IJYsbfTpUI4BT1F7s8T//7z423DrE/92GI0TR+sh5pA3EHUPdxrPaYwtZP9vPBSvzV2PQkqKDxvh
QtEURQOjcAvsMJkR7VmoZ06wZ+mon74ey/nsDfLFsO6yaPn/UtnAtTOYsOSI3J45YECQH52qt2yr
Nlh1Tpcn/CgE7un2NNz86RLx2fT4bWTf/vvL9DrVWgjCWI5xcY+2PnFGZ/f10302z38f4sMMHJQw
g1OsQ9TIcVrAlEGDTjn8ww/2pyf5sNG7FLPBYbBHinz5kQaM93/YO5Ps2I0sTW8ljuZQoW/OqcyB
90539uQj+SY4fHwU+t4M3W5qAbWK3Fh9oKQI0ulBLymnGROFRDrNAZgZrt373++Ph/avvyPJe5pU
cTzLMo3DLam1pNIpAa+VMskvFO2q9sY9TXkn9tajN+zdKNNseTfBZZeLeigZJegd5NTfmiFfpsFv
Xz+Vo7fr3SAHG3je+BzqUgbR4FgB5on3eiL/+rv+w+2aXl/vLiTRZFOE05OAMTshJ+p9JIbbv3Ed
vCZUy/E4LWkHm4/TGYSSU40/qn9z/ee2uPnv/f2D3QZySZQhtcK/2JD3nsC3blK7fj3Gkdc4WcZ/
XcPBmyAZKnYGn2uAnoyziNAuVQiQgwb0zsAQj3cf8GyU1F+Pemya2R4vIEIWzSRP9/HpaML2YP0z
qk9ziZZgrKHSfiFODXNsor0b5nCHcX1RZ2bJDSyGZw0nJtU/MctOXIdzsL8oYZcpNlV/OjlBRZk7
CzhVWz1/fbNOXcXB7lJEdJ2o08m4dp8rJ1wQkJ+YBEdfAtQ3XeYw7xvnMKTi9JDb5bS5kD33r9Wl
+kq3EtUlZY50d0IbzIY9bOw5cBbVW3x9ecciIOrTjk7lWPc+1bP0lia6NJqqE5OLZASxuf7hYhY+
BndRfCJze+xWOqQbGckwTRLeH+ddKJteJn1AdyOROGVB+sKzE5dzbEpQbOFVytW45PI/DiGroYyV
0ONdUJe7ZlRX/gB2v5UnIpFjr+13w1iHL09tRDSaMUwQ+luaO7ldeDZkw1ZJor8xyWGEaPjH2aQY
DsMRZ/R806x4QG7t3DVGjisrQN/2b5SPvHfDGAdXJIVtiCFmmEhES1QmK833lr1UT4QEb7vywfns
wzgHa1YoctCLab6FzbL6rd4jXppjnzJvrZ23LhZ0tp8Y8eiko/vM4qSmUwE5GDDI6d2ghRH5snJX
d1MbYrb8eglNc+rTJb0b4WCHiMfS9krJCI6V3fcyOwd99CArrFJqGo0txXmqusKZ+Mgn1tOxWUje
iRMEy4liy8FkD4LEjYs8hOw24vdZq8mZLrUNki9QBFicfH2VnwdzObujQKC0aFPdOZggpT4mth1B
emMTU78LA75bHU2AQ9ZCnKN3nXr1vh7y82JmSIsSGdhnlaLcwX7RoVqziCNAoTrBtetglmCP4yJH
UnpioM9zxCWJQyXaYQlQFT4YyPSCQfg0Cs4Qpl72ofcbkCnrxBjaqUEOYqIijQeviNuKUN88s9NN
RFPKEnzXrcQnA1wJvooLWvhOBK5H1BHTtXFgp3qKjuCwXmt3SqGGkgYh3sQOpwoaHYyZkvnqlYkp
1o1Va+JHUWpxDAYMTg5teHkCzQryxiyyvPhU/vfYNKKERbYEYYP9qRCJmCtIgpxbXRjeFtuzmUZ/
VxeqIGZOCa+O3fD3Q01f5V0QGo5larYpQ3XYBSKWMB6gzZ3YXbTPi595o9uks0ydYt1hvdOqaSsF
pwEAcR1fmf3MBKcFazXAOTXx9tnaXPRzbY4dc3vZjfvGErMOq3k4jSee87G1MqkayEWpbHSHUxg5
m9M4EFxp83Z1hMSVnPdlsFdOhsVHB5rqoNOSRNc2/fzdXcX/YmyQ5xGd+D4wM9T5swTr8xnV2vzE
NU3L7uPGyr2lDkrSkJE+aaPQb1pm1lksy846Iya2ZyJMr+ImuEEWg8V4eiIu/hyNT+OhM2B/A6Zg
HKxQFzmiElWwlcToqzt36qTw6wtXobGJLUpe9g2Oi5nhpMuv97nj1/mvcQ/2cUnPYcRTY2eIBO1e
Va9SUENbMQRirdLy3SziXgDR/RujeibaA5cMkX74YhwHTcGfFjm8Enjf28S5rPEAHIhAFrKILhDR
bL4e70gtGGkKmyw6vkl7dhib0fehxIUjoGkkjn6BkiqgSawKz0BHgF4sw2LZWWn03cjaYT6VXOaI
wYlHe6fB8kvkJ276sXn87tschnDZaCRASPk2arKJvSeYDrC1T9ziI9HOh0s+zMFpooHuqDXMKFo2
ZxKc9NxSZyhTdW0RAhKcJ/TQLYkjT9zqKag5XDnvL07/uEgx4LPi0GFcEH4v5hKA+GP9TcyTFWDG
E4/12C77fqiDYziatCDUbIbSSrDLDb4oOWWxExd07K1BtmjSG015dv3geiylIVmFGh8ArB3R4jq2
81jiPpY2N0GdnKrCHp0aSEscSDEGQqeDfSAb26wMpr3Url1sCJVq14XQ5BGsa39jh2O7+edIByu/
pi2+jipytKmXdAvVr9KlqNR+ocB8inv9LpB2tfh6bhx9XpQqJnkJ9bHDohWFrDEAxUNyveB+doN7
Xo3j09djHL2BhByTsgTd4uGZpVbTPJT11JQsJ+F6+qwCA8sLcSL+/XQpvHQpvEw7tolU9zCP4chA
kqwniVX7phIsZWrHNzLN2/TES/7oOIYK9wM1jsX79eNqIkJyUJiDtUV95sOuMLBspGu9lNX51/dN
m4LoD+uWK3KIjtgfPVLChxXlICg01+5IA8Sq36yaoahh1bbJS2Eb8S6xaQeVVkTT8DCAUrbpju9y
WiBPfIlPm8f0JXR9ioUR+X0SB2ODFSML5rZWGvbEMsemMKpzmu7H3txQ+ZlapVtz7jcafKhxAu/Z
rQVvS9FPLY/j92OqXeB2raLDPliJmqrpjZtnuGMJ2wAWPyq4loSY0IrQWBYtHiwwWqBBYq2zsYh/
v2WwkE88/U+TWbeIcgyqG5PajGDk49NPWyNCVEYU0rR0iWtud9ZY+da03FMas+liDh7+h4EONrku
8ZpU9xgIBUEwN3PjogKVZdsdPVIRFjaRe2c5YGW+ftzHL4/nzfVZnysQfmnSFmob1UxvE2wRYg5X
dhpMtBonWv63hjpMCOahEsSpyVA1YJgyk2v6r88w8jmxw31+6749sX9e0mFesCqlpL+KeMrHANCq
+njfQLS7qXeyHDqcuRe8+vW5k+j1smTSImJVcVEMhwyucBXc/Y2LBpnGVHWNz5WDUQAAChyCSqVV
7zurn1tdshykcf31MEf2KJojOLoi56eieRjN+Wbv9EbmQlnRcIDsnsfolKTm+Agmx+NJI/tJO431
q1EmrQ2zBLO2VCNoGWPx+vVVHFvwUzGRyqiGqwbSio+LjY1FaZxyGgQmBibDRneT5O29GY/hDcpB
9yqgyQn7VXz6rsmXgWHQetGWJ2KaT4e6aQJRVCCqp3vHcw82/KFvWjCQvJbr2g7WlbbOlG/JLmdG
1dIrLwLhDTPwmMr3r6/+6FJ8N+x0Tnh3tCqNgl42lWEL1IPl1PQPc3EiVn49jDZtJJ82mnfjHOyq
pvDpxp0aYV21JAzN4VKM51bhXaR+soScB5clxTK411edby00qW7Tsj6R1jx2i8k7o9CgojYFdR+v
1cyTPBYWEUij3UHMqnbEQWA2+R+crhzIkgu8Qw/hjqCgP9VZ8Smc5Pk6KuICneGnd93HwfUsSNtG
8DjHTHsQhmbil5PfSFwn516fn5KfHls4JItJ8HOWNZHXfRwt0/2hyaYdtqqzveeK27HMTlUOP7dJ
TZdk4D5KD9GRY7mfueMQ0ZcH9rKO6Qi3rfJ80FQwFWZS7DvUMM82vcuPSlj054C51BtzaMpLaYNn
SWL6yh2ft7suM++8Sr385uspd2xmv/92Bwsq68wiFBHfbujAx/QCBWV9Hwbeifjp6HN9dxMOFpAV
WLTJuOy13UQDIg1LXt5aIGlEotf3i79xTTZBIbshArBDFUeIs0AkB3ZcqTog/eplBMoAHdXfGcYh
B2ozUQ2URgezp/DUCqU2GzvwoXzoVznc0dj5y7qpaf68G2Z6gu/3ni7KRwyBUMIkUya7wyNqQHmG
7qx47RXjVLrq6JogDWAhULF19TBt5miarYvBq2ZREl6o7bBM4yg8sc8dnQ1IYKY34nRoPAjcqhhf
mkoJa8TYsba2yvCW7t59khJLySjXTzyn46OBhJgOCfon2X4Ux3qlmApXhA3QLNTCB6VNvsWG9V38
9TMcFS40Pbo3HRNIkB9cWViNVeaNMT4bLYAnBycLoclq+fX8PvKIiCfYSyjYIac7rEpqwD/RtnHq
cftRniUCzBZIlfKE7PTUKAfvopjWFz/LUx5S31yNRc9mFP/1C0G2QUBBUdDlrH2wK8Qyw5o9dOvZ
ANfE9gNKj86Jc/yRq+BZUBgx2N/NT4ouv8yVsev8CY78Yjh3vn6qQnFkA2UAxHATdERH8flxeSpq
J9Ww5hry+CZNALv5MNOU8MQc/nwZNnVGkixkW5G0Hr6UCYYr3ogJblrRTRW/mFZ6Ykl+vgzOcqrN
6uBukXg8ePEOKOjBrQ44R0aOcSEVxVyYg2ou46AXq6+n75GhOLuSe3dIbVokxj/eMZynKCoZFDRw
nvGsSwtUrw5+/OtBPi96KM7T5mLRvauTTvk4iFSjRhWOx+ytjREmEFFzgfqoxiAitnKaWfoxDP9q
llpnzGkD4CxIu4E3PcR3O7WSxWNRukyFEHbNzKsNrCA0N5nRNLTWtCaZXhI340lF/ZG5YVscYjzw
KYhSDi8Vw2mtDEymuGzT+DENqa3nMvROPLVjo9jUMkkaMQE/ve162tNsN2CUoS+v/Ci5A1x66iAz
rfeP4e8U3Fs0kyPnYjs42A+SOABpbMfYf2FtFaY4b3mPXp7tx+FpVH5+PUGOjMVO7aJP4po+twiU
eozzqZZNvNBM7i2s1uGhFNgvkT3BjozyaRLFYvH1oEduIjs3bwbDZZ6wIX2cIXouG6WuoYopaQcU
yhg1VJJWtv16lINjhGsAGWDLYx1zrKUl+vA+4vFU8X7gnFk4cisc2DMh2Qm8Ba4Rq89iKL89UMNo
GLe1oq5c7Hv+UP79rw9sheaNtfBSlEMdYXlz8K//eR691EVT/Cb+9/Sxf/7axw/952X5mt+K+vVV
nD+Xh7/54YP8/T/GXzyL5w//sswh8g/X8rUebl4bmYo/KRDTb/7//vAfr29/5W4oX//jl2e80vNF
1Ig6ehG//PGjCRvBDs/e+E/MxDTAHz+9eM744Or152v9nP7j33/29bkR//GLYjq/UqhjIyS1Q8mV
hN4v/+hef/+R+ytt7HB6pwIQdIVpJ8mLWoR8TLN+5cnCPiCu5cDPefqXfwDD/v1n9q88dnq7eKnS
osjB5pc/b8TV7+vs92d0HI9BGfrjejRR61O8NzRIdix7gpqP09Uc6tHFKK+a97VWQ+DT7E5/6Vs9
Dndd23bVzzLPPOdCy5x1FVf7qvWWI9xUoWm7Kk7pKbPyc5hG+czKvDOoeWdRZEN9TjeN616bnbEj
RFxKJ7/3ZPtSGxjWuEm7HIP4Z2ypZyPIIIDg570FJyjpwJP7YSoWI5YeudNdkC7/pmf1fZcOO8zJ
b+Hb0J9rx3PDSheVnl71UXvV0YeHo+qqKdJ1241bz+9WxJxXobSvY99fD9D1c2H8Bg3mN6/LrlLV
PuP0BdQc/q/Zx891pHLods4UD/550VxyZJzrOadEwP0gqDH8AcSIIcUmweNeivjWB9IMyJQ1Reuf
J8299DG0MeP2XAWAlwoAQBIap9ZgxVIpcmPhTU89E96wuPabam0Jed7XWGk6zl02FjdwUHa5oDXT
gg2ku+H5AEUlwekjVkuMQ8twhr0BlAMfXiQGd+MYrgfX3iRdu9Z1cW9nxrr20qcitbdqUqMMqS/E
5IExGv5DkEar3rDPsspcZIb7zVImfJEOiDDeCNtdcXmufZc8F3G1gVeMSVK77fFzMpJm2fSOigGL
wOe7uMb4faUl3Tct1zcj2KO2H7dlOZwFxeTBWq0qr7yEHJXNfBIIlTOAG1deRWg92QEWaUGxTsZ8
FQBPAvR8q2XRukurhyA2FopXnQugm62G6bENPL0NoG4H6laJ8xtVyju41DcuODSawNdVqyxyLV+P
qr1UGiXgCANa007vhRgu3KhbVY7qIMkRkMWN68pU14HuQK2ttY6eefkUNngJYLInDdnODH1cBG69
C3KDZ1uuOuF8i31t1fs62L/hNxNWXWLVF4XfLTnL7KAU7bD0/Nbi5V1LHL/8ERZ+vzSSZOtk9XUP
WVStx+cmLpVF6hv8Fc9+cOz2Cd8KXJxjGjaZMjhwsdKwL8ZVuPSWZuKfGUKQYBd3fSwfDJydt5Zw
+7nqyLNKz1ZqZeNkVgEliT0waU6LcgMFqT4j697C+m1AmnWPtWLtjCpeZQl4SlXpvo1ZBdwBWy9g
jrBUKq2kaTRx+QeQQfFdiUyMQRJP37leDezaq168VjRLvwLvSPyGn0pFuxNG5N5sgkHNtDr2Z6Pb
1RdyApbabXHbAyObJW7yo+mo38bCvm0az6FJMk1XcR9jWRCWrKPRwp0m74HQZYaxUQ3c403ze6rI
20TY/SxS1POqanS4fMFrn3T7qIyeySQs7BCvHbX82WA9V9WPzehSvgVU0eFN78SLKsBL0eSMPs8c
Zxcr8Dd7rVvFJTa0xNrhzDddgKHsWwA33R91ou6zMXNhoFdzCGXrpDbmdRHthRftqiJZY00N49qm
tbQHVj56t5Qf4Gwat2HmLKkH7a0aIKPS/LByGE9hOtxoYfPUWu7CNouFPfQIrWGHN8q6gbrthPar
aPB0HR11jd9BOqsr/EQskKU+3hLY1jZaMa+TBk/ceivb/Cqn8wacWHXZyuis6+ytGaY/PCtewgJ7
iIN2FXSUzGPwmkUUnwMc2mMgVE5ApavIM88LN2VJa2vb4p/4yszw3+S+j91F0YMKr/WbXnd/dJn9
YPdyD2/jKpPhNjZKEr69Yy691LCXhantjXaEYM+z7+2UunVJoGS1dagtvUT1zvPaGo1FnWIU5GTn
1oi1y9vL9H8Ci19Q/iGD5BX872OL+etz/V//50M08ueH/ggqDOdXncwNelTyD4QXFinNP4MK7VdK
suiPEKwgEKKj+F9Bhf4r1WBKICo6TH5Gjv1fQYXzK6EIJAw+R2hhUvD7K0HFoaSaUzjDgKDgWOdO
cuODGL81iy4cHFjp6b4lKbcVd3Bqb6P7cuOEoLZnkB+Hu/ZeWWhX727VH+HNe9oXx9mP4QxSMOqE
UxLApIENbeZ0Znx3Pgs9b6DiAxA9DhWMLJLQ12+zTGnu3Zo0lDSbJzlWzc8g6prfrDaIwPpX5RIH
j/4ucWLvIihTdUO6MkXe0HarXOTusjEkv6LbyXNm+uGOzdM4HyhsSYoxufVIPjm/SmCbrfva1B9z
3ee1VGEZue8zrbyNOF4/hoGrbSvTEreG4NUnFa3YtLFlgoru8FATA1i6eayMA/xFDUgOxW7Sco0u
9Hu7wQPZlWq1kFGt73E/ddUlE6S9K0Wh3dNLNVKSjqoL8IvuCptAufarmiwYf0JfOZDCNoEyhg9l
jr4cEnFGkaGSK5wnsavIR2ndGewVK5VuwmVL5x3mDC37EvZFKpm0qNAv4PJVl8LB1WmovaJZ6nYV
ndd5BOS9IuhZm4HtXA+Kmm7pOglecJDCwSovczwC81qsqFQDN47oOO1lod8xrHvjhAGwMiST49zK
s2yX6RGkXJEplNf1rr8vszH9mRP6oNupwTb7Yw5wTDbRtRLBuW1UfSB+k1rOI0mdHg4DM0tmwlgD
20iAjjotbwXLHdl+DcxDCCvhGOd6mC3Grm5wOLANiI06nl2y0wAP9w+eMAHOjF11HcPEPyuhv561
PsDj2qyifSUcf9uYmv+opz4+cqnRfNerSgX9W8fyAhGVuVN1X9+D67PWim+NZ5JyypWFvfiihTJr
wprHd68r4SbSsWp7D00yQpMysyCnsaBLnx0z7pZm55AnySO9hwloYhfV2tkObKfYmKK2zzUyjXLh
BkD80O9jjbJQrA7YM9ZU7abVy8ZYkPKtcEn0yt6a4cwC3Tfu1IC/GZfmE1/Ewr7ACIZ5CcaoWdCn
Mpxl+mTfkZvVdQg8Yt8Uan9LLXb4IRsbVDQIQQQrWdI/9LbomvmkGW4WtaOnt10Q1fiIWK6fbNIi
q2LwNmX13U1tfW8Ip/JXkLEdn+8X1HfYllt4Q2lELxTZI29ue9HYEFTawI+XOMxEa2FJQh3iDPjm
Ii4MbUVYzBKWo9KpMxobMDu3jMZ/6jt1MmdyS616HRJe/wsji6qbVmG+1t1rR4YL+njqnRuix9k3
7zVF4gw5JqAwsIbQcVOxm4dQ7USzFfUYE2Mz2zJn048O3kutLZN4jmo4H67YMwtrD66EIoMBatgY
EyjOhlGuzLoP9rjmtv3M8+uiI7EQ+O0ibh3FWvH/c3tFL1lvrWmJdp7EiGX0gn5XbRdqleItDL9P
vZWVd+ZZqDtkDOKwDV6tvFWC1TAq6Tn6C+O7xyuluDJ6q2eeNrW4b4qKIDAxgg66oNDFhRZhqwIo
JOzxDhDQH1mAzk+YoU0AEUSCJh86ErsL0/flb4gr+xczwTWkKzTtMW9qr8MHN9Q3Pbbc5tarXXc3
xkFDYF8rmJNqlpIhNxnG7sr2Bio7vp+7F2EfpBA9VeumLyr90Yui9BGfsdoHvdqG39q+Fms7qNJV
CiMZbWEzJMMMLR7HmJSdOZ67knB+lrSRe9G5dBA1HqpPapaFC9A54ZQTQwr7AbzVeMRqynBnlKad
11Jz4c1banVtoZW4Mdyk+B4mabnhq/bAct02MZZK6+M+2jrNpulgUV4MNa4Fq2LwMTgZwtqIQMWa
9XOJBQhy4cLXnlLAViCB3R6AtION65w6bNThX1Jn2dxMMI6GmSDydO5I9oLIK8RjiDJl4UQBZxq3
H9JZY3Xih9408Z1u+vklRujKVeNWFMp5SeGQHvfaVeIU9Z0atsnK8EoDMnKvPwW8Ptme2rYhisVA
JZkbTNYzYfv4JakBlsRtmo/3buhFd13FKVwPK3kGwAjscRnr+TlwJJZnkHDCgQPppy8dBM+nnhvO
sbHH4RyTMWUfOXZxm+ISuEjVEqMsHmJwTTAu7JmCBo//6qj3qhIJ4NwmLvYJ9qXDPMvH7N6I0jRe
ihG32LrqxmHjRWXiLUVt2ovCidyztihxzUl6jGuWkdTKcGl4qrKT5GyvZTrE+1wz5bpLUhO7F1cB
1z5lh6/jUpAvJaweX5188F7VvtQe2HrxaKmcyQOGVPy2cHNE+xW5kCuvYlV5vt1eOAY1mIXS18EW
361uncsg3foqtHQl98qXQO/dn/aglnhSmm3/6sgwum350hcNqNYVqGRtw1uHWkTcxsEabOa4dSpP
RfAXROd5gY88LejJj0hpq4eudyvgrkg/zhpYIGdjHvR3rXSEWIQ2tqizyHbjXRBV4bYl/7vopo7D
eR/DmQ5cO3qcyKvLzMi7Cx/yyveqzYxrsw+8s9qIi7Xha/rPAXb6T9dNsV3At75/dLJS2zURdNp5
h/ztWxQglV00iiE2SWaq3yDfxA4NpIFCW1/mqD+yTpaX2OiaGLvR0whiyWm7e7IV4qnVq/o+xxxJ
RQrooGGqBCqYRFHjaCaZuPqyzIP8WhGIZcH8jgou3b7a3Csw8ihkc/C6yczQSBfS6CYHQifTzAuj
gU1wlrV9/L1Lqvai9oNs25mR3S8b1cVKxXTKuxC0Zj8DTDwWc03vlJ0/kGVynaB4ZLIq87xoh4s8
HoYBBzor2eBN7mTLIuIEAyRbzX7WQy9vy7DV03MpbQUXxgalOmtam3xO4SCdxYRGw5ZHVQdso3lg
7WgLc+hkKrsc+l4p7Yccv0qm6aCMxqw1U7qtczOXxSKLbeVH0Ov9S581DsR4vrO26BUyB3O+jdjW
+mDeK7JJb5KGJPJckb7Wwp1sghdQheNN03XaUnQEwrOhbAprrvRl/2MMRLca/Cp8scmBEQZ6A4aV
7dTlPUoJONzFDxOvgTLDEsnkwWIg0/eoy4M6UM49p/iL2Wib3YOCwdRgSPoRBcSB/AG0bqZFHqF4
ndw75iW4iq8j7oM8NOUwU+O4AILDI9tt685Buhv0VCDg9REHzbsllRf8FDYgP+ZUr8Ta255qnD+U
WkzjUd+1fz9iAPU9OFvgZacC3gKf3K6GpSc2+ardmIwnLlRMTdb1ubyMVqfAOYd9PJ9GPSiUloM0
1cGeUhzb7MbaIUee48u7KG/wYFl/fUff9C/vKiSfxjp4ZK0BEUbzGItdem2yR/DKXPQLj54EsdU2
7gK9/lIEl/HSfzHmHPWTGRmuZHXqi3w+S3281fpBahgqfatYFl/EXNdba9NuDJi/WJ+dvOQ3GcWn
S6bITUOERT+PfVBg5aTrxMLnoU6XnC+KtZdtm0WzFzfJAmT+cnyM/0gyfChevD8qHn2kFLnQmQHE
YU4dXF0/KNBayDVyddlFdRYsQQrO3Fl1J9bOqWLNQTn07ZEa0w4Ch5QN6PD6Ct7r/RB2tNBdd0t1
iYvUknfVvD1TV+oiW2SXyknCxHTQ/XBLHaQJgH4cHZ4mZ/6DW6r2dArFDQgLqPSLlO42bZmtwj8o
hv+TqvkFst9EVPn3iZqr6Fn+1/99n6j54yN/1n7UXw0kPdRvUJ6iHpryLX+maajh6LSKsS27DEOt
9UOahtwFujwk9fR5wkL9V5pGU3/lr6kW/5GlQhnY+itpmmlnfjdDTCg4UJp0RA06bQJ0OH9MlRim
jK24V7G9D/Hb7fCazX+8uyFH0jHTTvVuBJvOPPKqdDmYKmOp2sEIcWPYVWgHCUss2Mi1YANR1vFZ
szkxzJuY6IuBDtdyU9aKZ+cmXi+FHuXbMnezOy0aCnxh/CE9CyyNF3DSW+a92TYutk+dfgkgYxJA
mpV7FzlJdacMvn0vDLPRZkInQk7MMq/mhehN7P8CmwJPTuDPwYs8ykb4Iy6eg+zIaTt22D4BCO3v
ekUT6Qa72ehHmGuNmAeanyFv7HtlH2gZbpSJKf2R/LXS/xA5DVb08WWQ4kd6zKtVxNmM3PkQuS2N
0oHzs27b/JI4bEq0jBkFHela4U2pqzCZFHcQksWNsQ4uoJmFLVvfFO7CVTrcc2I5+YuTZIehlCQx
+aohwGvbwZUSRLDhPnZtrDwA3O2vOAVmewRNoCHV2Ca/7I2ReC76sPgeoxg/01qZGfPBHLy7ogqz
n7Ee9d9HsuCERCKqVqTOkOFpNecTMIa5WA9KOJzH2qAsswLzBwPiEn4zPpWpla8NmjsP26mbeCza
1Fp22EwHWyvV1WIuECoGMxVDcWMWx05bLElZaN/bGAPhWaVbUXzBuukehkYEz3lEY2AgTEwaO60i
L5b03X7s/PLMr02xLejcf9ETZzJGwsPjO6AmYz7igLDHATe9UeIqvakjp1u7zqCvu6q5zWmpXJPN
cM+62Kcs6ST8cjGa2bPwhfkgBLH4IpcOzx06HyFkkrj1o9E51BCCzEROr1UpaoayPaMg52xUmfFC
ywbNxpQWrnAXJNjoJOT4r3MlSYO59IxSzHXB1FmSaMrP0Oq556M31o+UEPGPKgXWDOao7Jqh062Z
pAPlLHLr7M4mg0MeM+LvBai27kzDoBG0dBxjT8qAulANm6OYD/iDffedyciv0LAkDG3MgWdWULUp
VnOpdVPYubqhUyj4WSQmf4HUJFmyKCdQXtFyXj/WfeTzLDhn3udOXV3nKWnMJnNjucUh3mqWVlhZ
Pbor6a6DkHQVbtTYrNou1hCAH/X4GSO6dJuEYXtjURu8qAej2QAXS++jZoTlE9jxOjM0dWe2kYd1
sOrtXaUul4rX9uY8la6zwUpX4ntou80+LoMa/51yxH5vrEt9mOVNWjzWGBs/WEXUbdO6UTb10Jjf
rckTNRs8Q5sZw1ARnmt+dBtAbm1ntCc49zXy5wcvyuSTknkY3Sg62Sb4tGZwpWKIujNcu3IXShCp
65Twd9UVKJaduLTOSdmW55Uhs3sU+ePFGFnJOo9ktG+jJL4fMoqtWll5y6bIiq3tpd1viV+NV2E+
tldxmHyXpvnoYdnRAyEl5YO777jVqvw6HtVzIxPVJnGwgJxlRavfkJEQOKLI8KnyM9gnsjfMLf5F
DrkXR70chAfqNeol5i/47eIrZ3i+t5ucZtgL6Q/TN1ZloJBSvJoRNUeC98XJZ8DyZbBNEgCIdOYp
Tec/2jBrsJzz8QGPGkOtz9pGGezFGGjqTRh52E/i4VXf5q5Rwb/MrEGnf9TIk3lVxgHRuDcYwaLx
W1oQ5XSciyOhDhc9NOwLeOh40VmB9uQ6YXubNBGLPXo7HnZq6t53E/VpYSdd8NIqopn7pZruLPpI
ngJXNS4zNcf2a6Da+6K+HT/bt6No/nYsTacTKnEOh1VOBs5eQwqoYVk6HWert5Nt7rgWCk17WGmc
g03q2RE72duJWDXS+CJRApJSLvfgVbwdnqu3g7QEk3ppRl19m7qt0MmDTYfudDp/J7oiNr2nUANE
5FSImbBHdoFWDtquDti0F10bSkRoTWr8THBz2VdGiuw6agrjLp9SASbUkmU4pQeEpcf3PE9yBo7W
42EbDeG26It6qWodzld1aEmB6yZJB3Usgh2yEGr3zUheyq686mHohuFRx4X7njNRdE6uQr2jbDtu
kym1Yb9lOdIp4UEhPVh1UxIkxyvyNntLjLzlSMIpXTKWTfWiTCmU3Letlabpytbp42DL8ybX4k9p
F6szrVU9pWLKt6yMLBVvm77laqzQrc61KYGjW531LQ89vMhNwB/oSipyytftW+Inwe15nRSG/tBO
ySGn9JVdNdKGvFTplx1Rlvg4lalJEe76vklZQ28Jp7L1yD21aRYv8ykjlb4lpzREX5gqTzmr3oPX
lVeDMWm7SGyhbasN3MaA99DbbV02putzRxJ3oWkRYP4uL8snf0qWhW95MxKZ5NBQiuXnYyzZ0TI7
tiaKum3ckNCILzBLCr81U+J7kb8l6ZTurf+NDOIPcvvhVjWH9Js5ZfVcqSWrptTqO1G65PxIx0VT
XJJe+/jvXBlTdtCY8oT004kffjlqpLqG3sKiNGqW0aiLRyMMo7025RuF001elrEiz5GayfJRLYzs
HA8AuWPmxbh7TtnKnIuKKbpPScyAOvpTpCfto9sZCm1CbwnP8i35GYCq2Axli+/yQPLntlQ9CuiF
6+KCO3jYoc9lmGPtg+05PnS5H9Yvvvb/2Duz5biRpEu/ytjc4zfsy20CyIXiToqUdAOjWCXs+47X
mUeZF5sPrJ6uTDD/xKj6dqytrbtNXfL0QISHh/vxc5Sk3yhmDgm/nnoI/gwV0n8MVdxqaR8026Fp
1cRVqszfe76CTmkWjCFyuYUS36pW26a2WJnjVxlwVIjEeum3jmAYNAqk1rDuK7WNf4UUt68RJaq+
dFoPEJ0Xfnln5pNW22ZRNN+aDhkaQhs59sZrh+TVEFMm9IPKALKhhunOTEe0KrNBgUi9KO6bpPaJ
8noEECmMjS++WhSO1FYoqBpd0zzno9GifVxoyU8p7RJ3TPSCEp+IkBZIBesXi96iZDwNN90IR+RY
ohnBGtcTvTizewQr3ztpoqu/JppM4abIlHA3tRAHkEnPQPoyGlUYZ+Q6ftADJtBczx9MskU1l03G
+2Qf9je9Vf6MsqB/6lu5/FlHk/YUUqmJedgbUbrtWGEEOoex3uuBpCJ91nDzZRbCahvd76fYVhW0
rmgIzKp3OWoMLpTO0p8DxTp0uIva+qOmYO7bXen7LyRffkaXBvrfjSgRYbWxMB9o0LIitD/RoZYS
q/szUT24wtJOdrW+Em5iK6tpTZpa8WeY9HXC5QNDA52PNkGpLB3rKy+RTN8uUyV+0Aqpfm+Kafyj
L8fyfhwDNLmqyiDVEIZGbYDDeChvVW2rvaVlWeRoW0JHRDOh0PNDEmlMlmuZ2mXOUHqo3FWjUcNr
MxXTdzUZxb0XD+m+sDoUSSer1+/E3G+uBzPyf8YomHUbI7aIPZUavaOA1byCklU7W07M6ldSx8Jz
riUU/7VcLTq7F/Rmi5Jiidx8PX4RuXdbqv5cRGYVsl9p7xYl2tRFeG81VvouKFC8OKosTM8tCQNA
y9QSI1fpR/9hBLgUbkIu3WepNwgcoz/kCvjZFobybgzrF6+NyEEFs5vVD8P8YSI9zpEnNeQnXwVP
5sV5y18ZodK9CWhWvSHyWejO0PXije/7MmmEKO0SpNfmB0gXviaVH0wbtQmiyjWyToMlk0n2dNOL
aIAxDjO24PEkMd0Q0/R80+UDQ6X5KKo+HcPAA4XSiXSKRhhyGeULiuF2CozktdOj5okScf2GMGNx
E3oTQl7BUL4lYto+l1LmXamRmf4gaYmtTWhoKHYGRTW+oPzAEAkM1k8DDCm7zEqLyOmGshq2xdTJ
gRvmKST5LSn3RhypWm+EVpgqgDxi+WL24LtKRaqu+nmsm4cNqrkgT3wIt+IQheIxCR6itjZ30IE2
r0Eg1N+6wMvvTYBg21gvy+9RS8G7IfG8zxiZpg9hhMGDOaVas/FkoGW8rNrbQU5GJJuDGEp1SYi1
uypREd6V+/pQGIgQCmbbPIyAJZE4HvLhu14ZPIyDSu/RhtWnzpX7Cer5WCrGxIEhN/lDQg6Sp7PZ
SzfDENPhiQYjmDePVTbOHAHQKxQb40aZgvKGdlOBHKA3i7dCcVuKmzJttX1mxt6br4VIEpq9TCTJ
EcfVBGXS7ACwhgbqJhQPXai0tzzodF5hoAmrDYq0Xgj4qTXvilJS1X0pBr9KYxIfjLDKOeJW1z3I
YOIPjI1IP/tCKv6I5a74c2j78I5XQvLVkqpuTzcz3htlWDrDUERXCDjWd4IAxqqiNbPrvBKBZ682
rmWvSbcWokS7ICriOwgrx23pl9NdZRbqbsor361GziwCNL0TRoi8DqC0QB71cueWTF3vkMgNviBW
7QXsOPK6kp7vU1en6l5hA7oqcog3XZGL+8Dwi72SN0E162IQQVQlvY8Kk9aIN6nDk2yFzevUEt50
3ysf5K6NbgRL6h7rJkcauBoTw57GnjHGvPVRxa406eAnKe+Fgp6maoOk8/eW0eZPmhnIO5OX1TX4
sFkLtZNuLN+Qdxo3u+vlVbWVmhRwmqqWoguygyJ9oaGBOcZ5PW7Uyg+fjTGDNNbX8n009fmNNJXD
npeWel2bav5W+H161TG3uzOrTm1dpTYkl+mVhE4rwUf3tOYVvgTkuAc1O3Q8cQiH7I4vljy275XR
KPdVAW16HpmiY1Gp+SEUyrjLy0S+U6dJ3kWe0v1sWek7qRU6WGszsR3sumBnUYZsblWjKfZj6BVf
VGMcAGYOWdM7pOXVXtOq/AWei9zO2kK+13kMwfUyBAg/D9lD2xRZuxGHynC8UqpoT3qyumtJTS2n
70EzO7nUiaQaffPc9yJgCXZf7GZ9B+ptas1b5qFFtyl6bx95Xe9GXl2/gjAv58niqPuKmmJ87Zn6
sPUnUK+6LsV/xFWdOQhFGq9J7HMWBuupGB8btIdCO82t7Kfc5mO21cNp6hzoFP3A5Xin110EbgEi
boQCN7Xe+1uvMLodzLdMCbehJ10F4HheajYP9JRJDoqAzWTcTGUeHuJqUBG/RnuU0Z64Uq8KIQpu
ekuRd3FjStea3gghgsOU0DZojkLTOw7mINulGiZ/DvVoFlvkz8j3RQZAB25/BSxPPPGIrdWICKxC
Ep5cAQwonxS5Gn4aow9VQ12o3teG94axacQqkzeBmioolZe5lu7bEBpSQfX8NxVqZ5V7yfrD5y7i
aycCmtNJhVJtJYzBXcFzbJ+MOkM2hj9K11Vmmrei3ll33OBCCOk+JAK2VKGEapPMKs/FGFe/+kYO
XjXPj50hNStXN71E2KMPOb5XQ44+NELk3pMs1cK2SCgshVn/UEqh4v0F8fvvq++fKuIGmlyMASPi
C+cbVBenxUc0NVOvRC9xg14o3QXakNvsLtiGdudGmcMANixdq12cecDppEy4MLoAhwnqOIa6Sj2y
twdnOCRO4KCjupGuFLfY6Y+Xq5KfO1ULa4tOlU5qBoMNLrKTD7OLitPepLt/uUiAg1R0zcV5oOCi
i4uSax0j0VmZuEg5Z9pWB/9L6kp72Cec6DBtnfxW2+q2gvB6a3sP1Lv2PSiTzM4O+lV7q+21lIXn
v2tbxSn4HgCJt/StncKd+SGLG+SEd60j2byHHUH8oTr5AamZr1/l64LmP4Kom3Wu7NWFXDTEkNWW
G6FiIeOX3q0OklNsgdB87BWjtCN+SmIn9srXm6c4L+yVJV0GpVByCIWFhP/Vnq4TJ3KqfX4d7Iud
toJaXFJm0DXlMHDv8gaSoT5bUunUQxeLWTw7mGz6F7CSTvGU7jq7dTgLEWehXamYfwwhffLub4tL
7yTL6xopx7vG6RzVxkpGeuL0NxPtW29vyv1Gdzp3Phc0IjYVWo4tpyYEWvC0NmP9uft36v6SMWTU
A09KetyPDvouube2KJ7v52MCeE/eUORbPSby3P265P8cKY5gosZY5ZZf4n9wPW39vbSnxb+dvhT7
8lrfint/29qCskm34dZweOMCeqt2/RfP1d2Pbfb/+2f/k87P3Kb57/tnT//7f+X/4/6tTfLjHtq/
/rH/20NT/wvSOrphTJHTDFPnk/GvHpqm/BcNNIagmKCSTZpp/NG/56cssM5AHiwUGUX+YYUo+X/n
p2Ttv4DY8w/C+80Q58zV+BvzU4twO89tzcpN4tyqY2xeXMT4lJLRLKTMOEgWOTGK0LJEusdkqNe/
Hy3O/V9786RfPf9VR1v2X6aUedYVNlYkC0+3rCjUvNcFX7YJ5FSM/JsJPrvM3FjuuJW31WPabfx0
60Nqh1b8SjRc3NafbC/cDOmWDIyMinZbIE/dP2rBa8k8w2UPz60lmG0ELZB/nNvypw5OPWikzGMt
VTG/6VPxlv/fN6Xrf8RVuaaMt4CJfzh0bGtxTQbg6kpmLEW4tZoHOU9uqLPN3CfhsKkCAEt6Gj5E
1cwK76Vbxc++/wNXNbrzRH5gOfP+PA4/4DuqKiwxn0iS05hgUqmjiDX8z6tD38su77xD51FRdMqY
u2Uu4NSUofWtWTE7bYel/zok+XfKRH8Fsf82mTu3O6AIYypZRWsY3eZTE4Ga634WsDu65pue/uzb
b2G8QjZ3Zm8Y8LvyyRiKnHUgTk0oUezrhYcJszHIl6mzDPRLol3RqSu78Mx6HVli4U4t6WFYKQmn
nWKJ6shgBPW0XjlNn+Yj+Cbk7QCmdEkCpSEuvknrp5IGZFGyxV3rZs/WFnzPq//1PT3k90B77PjO
ctYUxs6t4Awn0FXm7gmXiy1XC1Mu9UUg25IXUZkZacnAh5vadJgGpzPaZIVaYsnNOx8xg7BNXCR6
i3A5ni6kwVRS0s27ghLKLR3swWEYrf5A98RkNv6V7iQv4pZSj/Vn81VZyanO7MkT6/NnPrrgx4C3
rjFwwkqU/KThvZO+K8G4slfWjMx/fmSEcTGaNLku2j5FRkcMlKdaKb9bwip567lNebyWi4/HhIMg
MLkm2dqmc/RkUwB6azb63SzBLvOQsA6/SRHz6estgrGU5rEIVZVIk9/bRSkFj/w3ue8+mViEDebJ
LL/KudDqxnqYxGlnypTRzDZb24mLVP4vQ7PAFJPO855cHLdBqxCxYobChtzRneKfeS65owzDNiwY
luk5lPpvvE7dFmK+y4o1DfbZjcW9bXAK/m19cQ7g060YhOQcaCFEO3q18ylZbMBqOF2O6kM4CAi/
m8+/fcEgq8UsGI8J4NvWvCRHOzPpxY6MhJ35gXlnwqSnhWHlvzzNWDsDi9Wle0r6BXGpBA6UWfeP
F+mRqcqndjh4scIQi2/QR+8nsMkVo9RlZgjMTgnCo6BH8a5txeqbIOmCLYyDsDUHNdpHRU2fWu8n
ZsIAxhwk0OG31E4zJrJaOqS0T+wmSokUk8y4BfT4+zDwjUfVVPwnzaDYZxWifKPCJKy5QhCr36Oo
YDgdWjWmUhR9vGtqXzPvItioDoYTXX+Bn/RmoJTjb4Ks7L70ghUlriBU+hWa5cFWVCqB4prPwyOJ
pOu6ojsvpUiH62Ls3cuqQCM166jyKXpxNdWhtL/83RYH/WMxTZICbmvAN5+AkFHEUBDoA8WuTdoB
xR+ltmJg+db8ZGERGIEfy12ZJXRYHO/Gewh5+5hOZw/jRqTsIjhrgWTV4CJIIuidKl6LS9pddjCv
0r3/wHi3m3q87WZ051quuraEi1hJpiDkuo69tMltLehtuV5hz/tIaI6O9F9rSCoyM0pCLLl8sMpR
U7UFQA+7tztnuC621bW16XfDvnDLa4I0MNloX9nW97XFXFw4nwwvIhnIriIQlNlw8SJ5zzVzM2a7
cnOeXb8j5xbxSgWUJIoWNpo8sjvryepXcrkl8vaTF4stKHhyPYBQImJchXvtZ2qjD3Crb2PHul+t
LXyOTnyiucDI4xEWMmXhjZ83bTUCmLGTa29XbKkrXFu7aAOf7iridlmnwq9TWwu/og5oP3yurJzT
ujKlnF3kCC6jWVvlSrEVN3H7/ZrAypm9OBMp8YZAPcggm1xE+jEaG1EYYQRWH0RbdBXJoSAcPwrI
W1iPOiNAKATASWoXj40tHPLXy/HqvHkkKaEkmRmTl/MFqlJCVNBhvnvvXclRrxQH8c2n+Zvqm8Ft
841kN7b+6jvK4bLpD89OTyGe/216qYmiJaXWDu1setu7rd265lX0neF9aroMRG6eBReGWX4DDYTs
CpYL+7L9z2cR89x4JsrMbLCl5oMA/lqB2l+1md3UvvlwwqHiVLU2JfPg8bKp867C/YTQhTwj1hcx
dNQsPVT0SbWZ1XzRS/sjnZbdaR/fACs6gAbYRLfMAatbj6JVRBF2Laoung8fextCWAQhGK8m8C1+
gaomcdcUrWr7NVguWBWm4on/G3O1+VpCcZovzZY0aCKZp2ZSSeR/nqYuNHgqaKQlNrR3rcQ/AoPh
mGH8/Y93YmRxSdB0l5kJ5OOl6nNVvtb1wWQS4PJXW47GfPJkkUMPXi1WaYMnvS1tQTM6wiNYMSrp
zc7f5muX0vy3LY7DiUuLdBodMeBt3bxuO6PdBXYMcsCGX2IvfBXeimQjbxtb5DD+qUa25lx29czu
OLG9eJ5PSYE+EYO99iC9pAmcNdSPA79zLGSsL1uaY+hnL6kRcQ5Ia5ckeQM9tlGbT4ISX1sZrbD8
6+8bQE54LpvAYGctebV02aOBPc5HDfRjnCMsJn/7zywsPlTcMdyOjBgc7hP6uvV11608eD6C7mKR
gApz7816NID7F58jZ5jRCjsQkAALXLTX78J9/ihss0N5y754YLrTrh1zo9j6Rj+UTvw8uTkR+zbf
FrblFM7aLTEf2U+/h+qQBpMF76DlR2s6vwZ1BLGKPqTXvklnymoe5eT58rqescIFiAWLa2FmlzsN
HIKSBFlrypo9D95BrLNjDGBb0fa9bGb+axbOGCjvMNxAcRlvFmZkRqF13YNfTd2BVdnFO2UX7Kvd
2lDDWW/+bYYS86k3mt4FRRkMmt3l1g+pbF+zAN0iTV4JhGfSc9KGIzuL/KFhUrvyZjv6jXHX0vDf
tTugIdfwQtbXolPt1sbKzsQKCMbJyGTozSA4XawfqOQChCQSemb0FLT7uAV9ZsAS1q98p3OX5rGh
ZY+LSW/gPTEfqrfVwK5DMoTBifflznJbeoh7MCX9deSqqDvO96V/K+5N9/JeOROtmPlSTNrceIvW
yOlHHP1EaQK/0ux0ANshK7YQ/rpsYVlLnC+ZExOLS6b3NWssE0Cg6i589GuGIrun8gbyZeMmtHiI
CFfjk3APAGv1ejvnHBMkkNHPzJq0aU6dy71OC0OQ17a8q6+sO8CT+8RhfMDOK0fYafbcO7vs7LJt
9+Hsscn5Jx3VGlRt6gNqPGzWh/IteB7dfld/nVvc+c3c146YqXvvvyW3+X1/BwlW5kZX/2T7Hv+E
+dwe/YSia2KfSrtmM2sArVnzCE7nIYrK3K5V4LeXHT4XBMi5Zk5+dg8a1afGUGowoDbWNFhKrnQf
wioP9LSwvWzk7HekBatTKNPg7llEgHJShnHK+I4lhPS+TrM//XnZwnKk9a/vdmRCPvWjVRtmXQZM
NNvR7oQr0U0Y8vTuveeIQ+j4dvrU2K/yPSMKtnWVboXv6uPln3BuJSm3GzwCSWOl5WadOsNklFzQ
4JzRN9XMetBWtESeft8KHUeVshsIebKHUz+ZFulj2cPPzIt3ck3TvH4Iu5Ujf+576TQ3JU6ehJDA
YjGNTAx5jfnAOKw32fwz7lYKAMu534+vdWxgcbCLWEw7pYIkb7wCFXLjHd4nO75n7OBwebXOZKxA
EMi1ZFZM1pbfJEE2fGr8uSWRoCwTPWQlCOo2v1NpxcXaCjv9uQ3A40WUubTRHlg+YEaPqdxaALwl
CpY70+ap0GjUxZpQ57nsYO60qWSOSFfoi2vbqhi6bdseiHwb1F+UNMh2WQCQsRmYzdMQ0NpagVxv
OgQDH9KkkVe+3XyhLJMTlHctnolMiYrLJY20Msn6QqYv0ARxbwcCgM9OkMfrVKLDk/ry+H75G57b
jMcGlxEZeJk2TBgcxHQ/yBbEc9nusokzX86crxgSu5kodSnjZjVdMMmBKdlm/sTsUaNeidrvaX/M
O55F41+UiOjJmouU3M9FpkYg/rbbrii3OfoFV0psha5sRpN92ZszCwYNAwQG7Dc4uJcpQd7V09Rn
AtNTSmMHtbFR+u+XLZxbLwIdo1HzE5qe72kQUgQtCXwG3u0YisFJoG5ehrtxjFd66PNfs9hqkMyp
rAqlHwQpF2FoGLK0MyYc8UyIEJDV1Lun5KcZ0A0Dn6Cv4R/OeSUzRAzHO30NaNJPvQqCAAguw9b2
BPdqN062F3+VrDXRy3NfR0YmBNQIsZXC4amVVIMZeohwqq3hGDG/JsbKAf3gp1gum8Jq8XqYeTOW
6S+xAMB/RtArIfN2g+/9SwobgH+TfwNuZadbdVtfcx9u194T56oR5pHhZTpcEhMjNcWwfgOPiyNB
KmHcEtmL298ndPg4UBDMU0Fh4hBwzOIizDMPmTuhkMlKW3u0h2vYjlz/K9OStgbaUrgXni9v+jN3
iQmT8kxyQjfqk5K6kKmNHoJYh34KPoxq8J6UCpb+Muf9F2hC66j+GojuTKyl9/UXehVih2WhKhMr
JuwtTKZ+b4+BvmP0HARf71jJb0JjPpbz2NT8U46Szrjs4jD0Gbzq1W3QPEsMFuvhm+KHm8ureO6Q
aWS3H/SSpJyLVNDXPBSgwp5Oaafv9A42jGh055GNy2bOXJLwTc75yyzMo4jzzzhyRxsbZEBaSHXU
nXn11xNa3Va7tQ90ptGAft6RncWyMf0IAnkm72E6+9vcn2k2tRP+MaOLg5X04uy5hs6b2I4IEBJg
i3AoZ4nuVxa0fN5NfCu6HOqrbp98kXblIXfAqgOZDXlntivXybn3Hz7+bXeRrNVWFptD3Ugka802
u5Z/MeETX1mu/jTdSjsSt2JDn+1uFbN6LlKiU0GUVKn+f8qnmoGhw4jRbeBo6tWsIw8BL5V3xqsc
qHicZJXl4WwAA/KlUm7n3qRocbpr6i5PNUajyG0O4a2xlfb+znuabMWOXMv5B9X9GYf2b2OLAIZC
EqShnUFGkLwmPSwq4U3Tr8Sss3uG5AmgpERig2jAqUdlKKe8vjzpo4/YHHTbd+mY29TndjOFkreB
y+guuVmr5Z+7uf82i7zzqVlP72M9VgFe+Al82YnOQNFNalzHY+GaMCKj+3D5uJ+Lzcf2FlElgzuY
GgJuxqG3qaWDIBROpnl2yYhW/Q/yhA+RjJngliezuvhweTz2Q5rT3y7gi1YHOws8NxoOlz069+Us
HuaqTIuCy3xZYQ2qbNItiRYmaiqF01yDxdxJTnSnO8bNuG2vpSvRUfe+o6/Ij5w3bOkyrTZsK0vo
GKOQ9QCT3tx6Fm3ZDmzCzM9iC6H2d/m5cWc2oVGyIUiDSfayz2cOPJkX/a5ZSY3/XHxFsxTKxmoL
hdE05t60e7V9vWzgzH0KsQ0pHpUIbU4bTrel7FlM1wq0T6cqerY8ErBRrm7LiYEXxq/XrrqPp9Bp
IkbXjuY9FBAUc5VliqK1VaEmvKDs8hd/OaSrEPA6zX58n+fsWMZ1KMTnFcQiroEePCfZUYAmkUDr
wBRgItfhj+mLyozr5UU8YwNWB0QiKQvyBl3e4E3gCU1ANkT3nuG+pJArBwy06Fy2cubWgdJoLqUo
iPiptEBPv9UkDrLfD5hR7oJd8z63fVFC8DcN5CkbT9pou3l0QPmuPF82LH/eJBimlU/mBXkNb/lT
w6bmIw9NNcmOX5T37BA/QrvojG/xvnM+ToNLnAZLBIuMSyvUKRgMoaz7TbwuViv0n7OY05+yuPHZ
xCrSWfwUqTAPky8+q3Kw10M4pGPvi6x4TM3BQ93E4krwOW93htcTBQDAL+wmlpij1GkqMN8zLqEn
73WpQKhNsp2a7Q7ky1OSWpDux91uZfHnXGJxZEiwqd1LIqAXosDp4qt9p+ctEgR03OFGdto9Y/KJ
zQjwgaK6v9F+tI51Fb2NTrl15S1px3a/VgI+t7/NDwJzYt/n1pZXBV7Zj4FqMy9tw97CQ3MlxH7O
gUl/YSxmhhAGc+gTT500kxlkkaicIF2HpIBxfimzFeH98lqe8YNzg3YhnR0NqNdiHzcQUppMVtMZ
aGFdgHUpS1YsnAtwJyaW+0TUG29gio+rAl5pu7bzr7E92HNekbnCYQ2PcWbdTszNm+coqc9MP4Lf
F3NVcxWl0ibIaxr30cotdN4KFy/YipkCbZG7QPWkl40Wg+k1GOHLBohA4Rpv17L5z5+HjzLT1xPa
KA4tq4WU6KDG1WLdrukZWd2mfKi/Btt5+dB2aOzix//DTNL8yU9PFzZRaJsBm9wTy5zCMtNpiCGV
smGy/pVGEJgKb3LM+UJuvJT/aIwfvVxAp286vUoC1bWbMcrtAHjLPPauq3dRVfzsK+tKArbbZyjy
eGun73P0nfHjEtoCs+om747Tb0yLF5LaeVma+Kust45i8IO6ducb08p3PvMBTiwtilhdBzw48CLd
rsBncqke2iJcKfqtmZjj7NGGndp4UMMIZyimbXIl/kblfuUMrqzXshocQ1QqBwkmFL+2E2FiK6kH
JAxsromXywHlDBLr5Nssb35hRGqlVrA1k+3lV909tRA7dKk6a5t6OzdZKru4UR+bm9WkdM3NRaSB
X5uxHn3eFnCfbyjRPVs/I9Qdfoa79NDcJtpG+upLm+xmbT9+jganPi9izmD1ljEWGK6KZ95ymzy7
00dvZSueybl5Sxj6nJcSq+eJsZONUlVa1moQXX+g740nAMK28OpfxXblZrfBbe/MIPx1586sKow2
yBWBMoMWYGajPN6f8MQPLey9zHCPt2Gy84IQUpo3uVmpSJ45Bidm5j8/OgbxgDL8ECWmXfqD4/EG
TIRfK1vzc8bClBNhjXFvsF2fPGmhZlb6FOY/mKxs9UZ9UB97xoxVN4av6IflApslUUo2cOI9Qaru
XDb/wf64CKyI61Jtl7lowf8vDro+WiIY0NFk3CZPNrngxo/WBnow+9B9gVHvubiF6cXtt81Le5D3
a1WoM3sU6/pcINTmJVh8xtKTmgrxMJzXov3gG44YC4cpWMsK50342cm/zSw+Y+p1idJFrHEsf+/E
Z028h+nCNO8a01o7D5/rBwxQHnk0e3y0YxpD86YKjRm7opsLR4vbu8MBRlsn20cv5sbbCw+wJu3L
L2vZ/5mU5tTyfGSOLJdpVomTzJdstvpucHTiW7fXD6Ft7FQyfGEFSHX200k0nihwUeddvnJK1YBx
SMJcC9Kxj36Zo+JoUN2v7M95B3z6dEdmFl4lYdO0Q0Z8qSm2AmOAfZ062sz1DLkfNYXn1kG98qZ3
4Ih7K3YecSj7Oq51Ls+FG0OCaQ55QRosS6Q0ZPpqgpadaU+x4Gra11gydm2zT6LVkuVZf0EakPVa
vMC1xXXRhSpET4Zikpiau3mKNf0TrqFN+py545dquwbCOQMEQtwIajYUVOmakyyc7popFZDDhBzQ
hhK1d3Xqh+aucDRn2E5soUDaRNtw5+0zw9HoGPwBLuBJ+gdB9mMaWSJ7YmB5kbbCii9XSYlMRyg8
ycnPrkpXNtG5429xW1A9mR+GsybU8cmQqjFu/IoonkIKVye3IyR9imZbWQNpkbJibDmxP4cyaH1n
cl9pZuxe8lk3jDLlYaEAbedpEX3n+fkBrWfywfvWyhsam2788/Ip+bw9ZxF25hbRuwJWvUw9s6SW
1Q6GMnQDaAIq8A1tKApFRNVZNmESAvuyvc/X4myPNwZ3L/2r5e3bUVcXlZgqZZzqnp37ubGTulZa
WcmzVnCJJSR55mF9+tnyTrGSwUAgx08mWwjoNptDtebK5zCGK0dG5FMjhhhoKdufpWuj+3gQ2ORo
d0C70wkri7ZmaT75R/G5kpAaykosKbq3Mfv8Te9Rm85+//GMQwZtYB7pJvnRIiHTckTLFcH0bLTR
YTlOxO+ika+4cvbLHNlYPEBG1YdZK8dGWRdON/VPcjbtL2+xs1ua1s2MF6LZvGyDofw5UCJSWK1W
MDYovKROM3blpgi962QsV/PYNXvznx99nTqB2c6PSRG0p9HNb4ttfpPa8rPxMM8co6F6cITVOdJz
O+Ij7ZNBIs/t4FObMoKsgpJzgsz8Xcq+tZrg0HFwf38hDRgR6ArNq7m8p9FeCSooDgX40SqgCNFW
AWcsqi9T/3DZ0LlNwXAeTS+kLmhCzd4erSA4JlHrLcGzYYd7FJg/z1vlH+y7YxOLj2SIoST1HiYG
iJmarNyaefD9P/NicXxSvzJVSJ8FG6K9GzWrITqBqt75z4wszw838VQPGMnwI0aVMyvEt//MxHJv
9cybQlzp2cm4TQzdgQx6xYnPtyqQwb+/9xIOYnlRJ/siHyOAVHisJ3vK4eE2d4kJ/S7aXf+RP+ri
MhD8RoFLgSULg2qWSrUQu1N/u7o5e0SHH2lYhMOWF05b1bMiWChAlaf88LXmvcminyhk/KNP87eZ
xZWTCqksD3IgwGyfA+qLo2dljA6Xl+tsaDlyZXHZBNClwUQe4UqVf9Ml3xHq4q0s/ZUDeXYPkAmA
3qbP/hmsUDR+6OmYUSOEUpUhv5OU/NYQJCaGg5uoWNkE57wCKg4oEqQTr/9FiEHUSQ8DTWFKmi5C
nr6GJcxMor5S4Pz8hAN9dGRlEWW0LgnVosIKmnC9U8WZ+mJ2ya0E/ZvdQifqju2I7POEltflj3Yu
glpolxqzAAbl28WZNdArUAUr/XAvcekn0q3ppnZlGOqsFaCxIhP/wIGWL/5YQR6yqAL6r2Z/Tw/l
JhpXIsOZFHjGb/3bxHL6MO8sRtJFQbD9N/nX+FbTu4cW8ZoqhnHl2+peWIUknOl9nZpcxAcQnAbl
Xd93whftXYMnmcd3byeHCrFiG9JzN7YlAFYoQ97D9li5oxPuCndwrV/rUxxn0BinP2ZxwoegVHm1
8mOMpyLc+Pt6l+706/6bdQV/yboW0fzXnb6RT80tDvuo0hFs5y8KCdlteYvG4Rf9+T0HW5P8WMPy
zJt/YQtSlo8RfPjY9GW9LxayKIJW3HcmmIE2nR5c+5n2Hc3EH1PircTjMyUNHWN0nBBjIX1Y5i6x
OerdNOJYZxzKX+0L0Gc3hyRQqR97RwY5tDbAcKZQfGpxcfYnq5gKr8Q9JbvLjP1Ib6i7017Ng3qn
W5vq1roJbs1gk16rgdusdk3PxDduHd6PgHmNz/hHFR7nhsaUYFOhkqbeVpRndTV5P+/j31aWYMea
Z50eVVhB99qpnieasS/pVYAKBwSpN9V+RHdJL/ZxY0cDjeo19NCZ+HPs5JIgQDPbKGsqEydziLfl
HjRxulY2OtOD5zse+bg4gQ1zkFGb42O3VcAsU9t0tdfUjnmF9xBiw5j7RWudJnaCq7WS6vmPSPFG
QzoLbYJFBplNdZcwki7YluEhiANvhELdX41Xrt4zkwi4qPBvTaN68qkXa/HSU4WCICteje6MdVEP
4xaCvi9rh+JMjejU0iJdjcuAyhjKzR8VDQE2Z8d/aJ6Kp2DbbK6v845hyWjTMO/stvsZz7c2C3GG
POD0BywuxjHuzcrIcLW/sp6iZyQ1ZjyK5Uq76K15AaS7KXZrn3HJ0UQdB2owADCwB9DT42uevmda
ydOiaYgCp0EbeQO1dPkFqWa3ORTbdJd3e/O54BaBlad/QvmoX52h/+w1WRWPX3gvRR6In4qOUS2E
cg9Y2KneY9Aaz5D1o2b3qF/rd+jXK2/iJn1ab7V+1DJPIvxslsk1dZ4/4SG3uEnRtx4G1Dl9R+4q
+UaH4O0RoWW0L6XGb9udZEZaGtqmnsvSFSRZaf5KLai0JTGOdDeRhfxrU2vyW5bk4rvei+O4A7gk
80xolekPFSATmUcxVLChpqH3QrodfRcAq29FJJq3wpj6D10k/whjDQLsWaMNqe0u3cy0Y39oSB58
ycQoOBSK1T5YVh28D7Ct//ZoGUtA/5w6CgJx5DGLJVBLeGIbmR9qFJEdZIQPWOUlv9ldzvc+Zc8L
M4sgNShNT2XS4noz622W7RXhOZRfIZJz+mZYyck+Rd3ZljXjfenVIUG/SJ39rksDQW0A2RoIYGfX
LfQXl735FPcWFhZXJ2KtumBWE5KEJmOPwa9c/zl5v315YERDmHCuVFPJ/cgYjooMaW+Fo4y4gFM2
134KYKNLV+LqOTfoKM5cmyqrtTz2tRlaQ67HgUMp4yHN8xvLGuzS8r5fXq1PedTsCGAZVJvNedph
kbMpXm7olaDhSBVxCV6XiYt0E0zsa5QR5z48edr/Ie3MsuvWsS3blTfuP+OBNZjjRXywOLXqwpZ/
OGxZBkiCBImCVW+yLdmxXMcRmVfW1bAy8n3akg4OQZR7r70mcovnUhTyNnWhEHjqAS7CKhJUYAQE
mTeLD6pd3n2WV02cv8KrlzLBBb0ZAlwyJT6+9oeMyXkblE3art9+32vvzRj4eZxjWVih/mJAAJay
h4jZzPPIOxMLYAHl7aPqgQfjBm7lm9839t5IwEqIar9zcST2818fS0lQsQPEz/Kp728sw6UiCcrN
oNaPbBXfeyqM6n96Jp1VNb82NE6I6DqJhxwhI9syeALDG0T6Yo6W3BEfBAbee1ev2zr//NW7CmQf
rzbArubWzTFYAYTvSerG7cFjovh9/7038mBh7sIADUhaCIZ+bcqjJTQI7or+C8ZUulFq2O73Lbz7
hl618OZcQNqKCVVJns8A/zQxBqBSF6r7SM//7vv5s5nwTYJKqqZHKMXw3POdlLKDal+0Flvrfqft
+P33j/SX4APWBew6Ie7lBHFU702njTU8E3F153nQ9EAsm3SA0RmoGUsEOUDSbLGGb3/f4nsj4nWL
bzoRC2HXVUPJc2uhUwTAMBsBpABw7AEGP8MHY+LnpHl7ugDa8+wMjPzYX+QOkwsi9UTBpupq3wMW
q5qiNWtFQB9b2PEdCRcoGAJca96WNSNfqwp5Jai8ysmknedMOG9NE/h6cZyG3tBloV5s5o/rl2ZO
erAjPVDSTbhsq4jZi6oNmr0FT/DAtDe/tFN5Jt5Us/pgGL430GPQnaHkOUtg3qqLVoALIHV1eN6O
oYafjRNPe3ep5o+OJe++KdRnQzAUngup38zdxiN1aD1W4bzgH5j171bd3gUGQMeQbn4/KGBHdD59
/OVN/dna29LSMYBeylYYicia9pvEr+kKEkg4AeAnk+1E1ukI2l+0EaMCscqMqIzSMIa/Ee1Mnvqk
1nnLwBvnbtQcTVKtuwhUh0vEzsaNsL0EAWgVG29c6JeVe9PWqdf4oh/89otE0j8NmCapt5D5yIwH
L5uIV+W1Wxn11ITGdij6R7Fg2kcloEhLCawQEcacVFW5T1RbeHL6g+ryBewveILSCVxD4AA3kx/2
W+G3EcJDQHhBhSnN5N7FZOkeVNID3gOMlH0MSkfZh6ZsyAR1oadAFWRN0YL8kqRzN9RHG9MpuVfh
HJsckxTaGaOClEF3u58S1n9LwlIsaUt5v0PiMnxs4zZwTqsF2/zajcVafatmX9Fn6UiF8gQTNWUa
1LU9zaH2LwYKvtXZhf2C4AB9MRN4b3JjyGc9wZHTM7Q5VYjDFIT3/OB1vXzybFDuqlGNBavC8hbv
rQTxoxTziScSS2PlD/nE1ApG36RvHLyTPXPW8OjD0Gfnt7Xe+EBNnUDRWzOvbqtiqG0A5Yg/1Bux
9m0OFtGtJRPZVwz+jwk8Eq9dbJA1eHQrShZdb8jWqI+zRYwO4HZNShhMz5KhznpkObWMk6xWXXmM
XO2dVhVMW1E2fGMFeGhn2eS0aT1q9qsnukKZdjyK0K2yuqXiPp4tyUcyLSnOsICLLxbUI3cmceHg
wLPmNJ75aQJeBJUdFCAwWGgBMy/rqE/t2DV7P4F/4zIycgPAlS6CxhvunHLqrmzSejkZfZBiy1DA
DtGFQfgS2PNm1U7baY5MFnfdmNVRrHdNGaniTE49ecKLsUYmNFto2dbZUjLv09ITDXOd1qABZPQ6
t66vEzGOWTk7Td4A0JohLTse+gFQoRRsxQ6SLndZjmCD8cu2WS2Bu3aio5RWfXwdDG67J33Ci7bn
fFt6pPxWRjBMSYkKYevRLeaQVNzNGUC9xZKE8LUjc5d3C/E25UTobuWmPSnbudtgHMOULgmoFGFi
Usaj5NA5EWg9k5UwldWIUzhKDkfpBP4F80IYpbDETTXtYFJXV3GxMNuCtOnGBaote6CruqbwR1Jn
XeLFj2HYfgmbCcQWq8atCD3ktCR170PUNmVeqaB/Al7w0TPWqJx3RNq0gvnMdlWyLRyYjt4GoeQ/
qnjs4HaggeISvdyQfkICFry01NRgvS7S2mNtmHtX02neUfDSOmouBIhqn/F8JGdgEd24OvIuJaC6
d6UNxddOevND4A360WvHddN2srrmweLsZ492Vdp6ybxvmgrOLJDBwGccoKS0UYLd6NkHpK7iHN3V
k2UXyTk+irLHjqPXmgAWrCLAGXEcnN1SZWtvFUulbpqbae2g+ZCkvwMKCkhxXo3ldirdJldsRRWG
LZNTC6pjbr0yLmgyxJtoWryrPlRlppU8y5nbucBtbdGYrQvdStdpb+Exo76COjq0KcLuKI8WA68f
xlX2D1Mv3ROtPN5vFhv3uVcF0RcvCp0b2i1zUamY35a6rVAW5clmP5S13cKexjlMQRv+8HVCPgP4
BdivWsFIi5jwwOhcghJlaAmAWVjOTBbOAU4+Q+wfhKuSB89l8EalgBKVRLtb0DL0UfVLcg2lVpdV
JlhuedsENwB5lQfoUJdvzlCTnIK4eZNgrbteaUtuapiybWBFre9Ayw02jvTDTaCt2nmD8T+7/jxc
Mf4cW2ovbOCJXQVHQxj11lRsFZgYWVd5Xj6zsN8xXOHTpevc3OWU7cbAVKC9cT49LrEQG5bUAXhH
VZK7Wow3voFzeQPRao8hNJJ7ABFVC/DyWG3jsEdtBgQgKcBiP2poo65mwIAzHdPhKnIHeXC6MNwl
pBk+NZAU3be1FxxiW60HbadlZwZpMivbmKc97bsbHEDUJTU9uTUa4vQ0QVhjZ6xf72KFKk341Vzq
WgTHJaq9Fe8HrrtS0grKddcd8zXw5ysoXZdi8AfzmYm2+YrjD781MVZ4kPXg2pFGs2N/9I5xr6s1
7tPE4pJyWroW5dbUoZ9YNSw3oVjj5rSKpC0mKFuyltvgJOqy6c4FHM6eDdhUU+3QIWsjiRI2z5Z+
UeOQeqvOfO4RW3JG9UquKeHOIz7OgqVNQCXpBr7mFRgIGChVG/Es7tekkBXzUs1mDSq3QwUm1ZAE
O5o0AxLFrLlYhR8AsMyCLqPOTG8G7UA9RCoxnhpgHS+jspquROLNd7Jc2mcN4tiVCrSXhcDL+ilY
avWDK/r5ph8MNI6+IVi52TrfTqgcuXd8bn/Mc9CjloMN5Z2DrcZkavS6Ow1vucLEXXC3eEA4E1t9
V1AxFqUD5Sv0xHanQSz+odwpeeGDioGPGqP+lkkqN40rTJ+yNfTvWSzrR9+JmzvdcBcg1nqAiQkx
blohG5KTeo72rtuDWBN2rky5MPy69fvxWLWDuh9H2QOqho+r8yoy4kK3XvkchgtmI/RxOPZgR8xg
HDrwrJtH7MAzL48z3sxRuHVb+JXnfF58B8bgM0xiUmRIlkKRBLBFWD9bbFeEANeAYy5bdHOzdKXO
kQJenkZ03HaepnFN1xXI45pregkqLgNzk1d8j5pRBv/DeOQXOMcO15XTk1wKTU6hlYLDoqULDspP
LjQfT1wHNx7fgLwR37n1yq8HI7sLn/tAS/NB7FYXCtRA7GnnkgdcObM6YRn3bX05ILq48Vg0FDAH
HUG9YybZ+O0mRkhQzRk8spGg66dpowAGS8sEccN0EI78BGY0LeBFafZ4F10+RZMDCF9UHbGw+U+B
X5Hd+c5+pas+OcHnf7h0W3yTzhl77Ob4KaCaqLKFewlI3y1fB5zQQrU1K2tUOtPRXqCCGgWiHJsB
UiQoNeah2KxBldwQBvA2fo0WgWe6g65ogNUXfPVgwXfqfM+5QkFRAPZki/MkqCfdzZLYtjCuVk/A
fE/YbGT83W97W5TK8y9bnFLvkUwOb9pegGUU1WB/Nx07EN+OyK6VCUCRVSyuuqWqblEoAUfTpu4K
SurksvEmAW5ltC4bXIqqJmOjDwSmnuPqCNSfuGWjAPlcL90B+xEtGm+JP2lf1jkAu+xqspDvpT+f
gVp0pF5wkYaJvRa3GnSVByQv2eVIrLpGJa8M0mFt2r2Q0ttT2ydXPx8ZgGk/11r3hVrb72Gv2IVj
SlC1qHByIvGpuKAsK+6sgMnTxoAAV4diC7KJ2DJ4zZxDnKC6c7ri6F4LrAyswW9OjcaDTFF7/tJJ
dUS34889O+PHgdg61Oc3LTHevjHxAuuvCXtli+TKLlDLtCOlGi5Ma+M9DnMRdlyJuPTI1XfGoDNP
kUjh4MUDq5gug99VhYIX1ic2DEMhACItmDs2101ck9QoGNAMjlPn0plZMWkT5MRl5a7EtJmcThW+
cbuLoOQ4i1FGbq3j0mM1T+gF7tBN5c4YmmMb70Cw75+ka/w7b+lsxro6+NY1JSojmrHbEZjcbIZQ
m9s2duOTlWre4fbTvMBror3zat4X4dTph2iY6y3lszk0kxNGWQf0+E5I29xSq4CXt22p0EMYmVOv
acEsZkYjALzIGJdrWzTlWn+dAHjnqRxc57j6xDyGMQ6vZBzoVvf+cCcHMHN/vp/RQy1yGkzr/E0a
hjhe0OjuIEMMpyB0pvsJUcZczqufBzAr/Ny3uH4B30yD8xKOfR7WwwygND2pbW/afgscjtwMWJXy
1nY9YpzNmpaqjjaR86Lkd4yWFudMieV69n2GH1XspvJFv+B2FgCwPVKLLz4zX1ybio/AxmLgD7pt
L4UfJluMjv4wOZy9tKrvoLtVnnxmKqG3HHtjnPlCzFs1J9FNNNTucXZtN+QeUfDJmWLe3KzRPFx0
fujfwaLCzXmDzR4nW94+exUkBZnPTXUTeWO/pp7nOIjNSZ/tYcMbe2CcO2d4aT2QXHu9dx9VJDkE
EmD3UETr1Yyo3xeI8+DkFk0JB0ZbOnzN1OTQb3GjGJywXBSIVqSiObxbkKzU5HwUSpLmZI0MvgOW
zkyBo4oYCkQ3wu/wKkpgXMSToiFi/qaHOJFFM1fsO1snEBaxS8PNkenGJlngl94TodIZdkSrZEac
b1qe/W4I8PXjdsGJEGad9xS3CdhAMpw+UVZ3vhKEyERfdXwtrxo6YhAtjWgu68GYJ4y0+RugAxOk
MHE8shQAXCwY5wvCVjqLc5QmUfpIBIOdbiDl0Gd06bwQQhZZXpEAV+AsiK2Odk7tyX0PEiTASRow
XPQtzvrhXCICruO4ZXt3GFyT2iBpcAt3e4oq9HGqgHAapMtS2GssN2NAykfZjsA28rkHZZOUvd7U
87DEKMUfYMUchBW+g2xnP29CnZwkwyKZ60l2OF36bo/vp/EENOzQgzaZJKjZC0Y/HgZjjq7NUm2x
fJZtpq1e3FRKhRWrmRQOTFPoT/fS6cQtKLIJIhp+heW9T8IRhv4BTv7ZtAh0Ko05v2livLCcOcF0
ryHD1JvA83p91M04Q+Dv9NNL1LfqGRUBDJx0v5s2ZRAudKNrGi+X0CXoLl3PPE9E1zt/2E3DVNMr
uvT114AO/BNdBzCBsXIubcFq2tgcuzB1duME2gXMjZlODlEPB/uTN/gl9m3uX41wrt6XAQ8mMLlK
EuX1UkIUz2ETMWXGqPLswLWUoEk0LNko0kKDjRMtNxgRVMm87H+iMwidzh/g8hq8a/xWQSZwgjYh
g/d64eh1uvZhuDai7jypfnQT84ZUI1l0n8DsqcrlMsfX8cQW8FbnqrEZMI3jJ0Ryy3LPTIP+W2Aw
zlIMKYrX7MC6Detp7O9g3YWxWKOGaGsCS+luKvuFXUyNNXyDRNH8jUUKQxghTXbQK0gaO5mIas0I
bvrwXFqWadq1re/grNo37Dss0EpxwikOL9tDPCEFEdh7mDjwFhjKofc01S7GTsNrs/ebn99UYmbv
pSCVKXRPMCScWYrbsF8tTSuxrocRe7IPGqQPSOlqcc/KhwCWbblfj+5hwC348SzUpMWK4Mi6lVUZ
omLIazDuK2TA0GVTEOw5gkLHJYYAMo3J3G66FTcbr45sBCNpzW+dORQnEE4jf8Mc4T/ReR5VHmB5
v3QDFel92fkoqtAyieuiO49XOPWUSYFBhq2gTejl2Cm3wcmLYmSsXgRXIODVsZqgZhmo1rofsT3Y
YHoJgZ+1qZwbfXQ8x3vCmnNeDghGHgNAdE1jt1zbdHTn8go6IXXmUU/3zhBgzqhumNcdZKNNlLcD
vIfSGi7ND4yBaAYa7/i82rFJ8lgSzBOfzdOLHKIIJt1l6eQwZcERZe3wB9L1p5ezzcdaNMzwmwBf
/UvrxeVtEtllASZsIPZc+tueBBnhfA/hIk/rCtTKtPdh9TZErjyEpZ881TitXrgUUzNb29XcR4tT
F0uk7Wfr+90nXH3Y1iDiW5+Z5Ej7jFrB0xQ0PppOuMjfNd5ZBJU0wsGuhbjJMeaT2I8WzhVWmflO
87jeRJYuOEMFyaBBfWYh4NTzeFnJ0L/pywXXA7rYfkzF2gyH2C/Zi5palpPKr49mjaPvYxBXQEfH
xt4OXRXeDEGwYDGe+DMUdtNL7Kkhh1u8u9Mz1rtaSsZTKDa7TwPF3uu4pa/yqnXXS2qn+RHdT/c6
HnHFRCVJqpa4z1xsIidEWmIMIkIv5OyL7c8z9IoirwyBOLhEzMiI4oA33RN3mDbI5ojt2JFoG9Ys
2fdLb294nQyXEUEcHKxu4xRDWco9q6foEfQYWkB2iORzg+v5hPv1qV3E+hnHNUwcIIavmkaoLBAh
sl6+cUCYH0dMBGLhYTDQYQ8V2AC3JkTUW6V0aoyk+9gz7XEs53C32kVuTb2AULm6TtErxbfAfHcX
s7LyFJXUHlhs5L4zTGxwsYGz91lr7y2eORkqmkMUqG4b6tbZQHrq5Yjr0ufz0o1gGCWHpk28Q8AS
dtRRiVUBff0wMk8ceDCUe28KoxSHdj+fuViLCOMlZ9PMt8MMSDk4xCIz2uV3Lsqbd1WdVJmnyLiv
V3hCmkD8QIbsa5f4at+P3YBJgss/HIF4wVsvzKnswJ9dyuF61g7I7UsbZauzdrDWAUie0TLC16Eo
3hx69jjDJnKjg6a5b/lUHoH5scemR9Y3pA1ocJg3KD2Z9YjiEyB9yIivon3X1AWi01WGGJyXjWKa
rnvjPMhEdluVeGZvk3ooQsiVH+vzpatpLS5mONttFsTWUOlkAFPGKInZqL8o+IdCbUkTIEQ4wjQ1
we8hLje9rDE82tImcfReG5WcRDebp2hhA0kJ8JbbxvclrB7ieBtzPe2xr/g3pI/WfGl1tE/M+r1y
XHFYiAgKD1P7KtK4wkQEaSGvk3Q3R9LgVThiKwDkwmGidLXOetnTVFQR2auhJS9VImtABno9fZuI
0xXDIuorQyzLJFQvn0fHac5wdLe7NC5QVzbyvwnAmHOXCXpoKl6dtDv6j5NS7VElHSSkJtCf2Oi1
eUfn6HayYfltcZy5qOMW9hsCkbxdiKAXgogz6kk44yfhRf7Ryqn7voRntSqyAxdOGHab0Qe7YkbQ
5NKrve64lmV5wZtBf50HOl/4c2Sv8GLoLmS6vgaK6QWqSXuIQ6O2uJAtu840KxxHSp4JGuILBWQ5
isRFwVvVqatKnKO6Hkjs6aiMA4OkEQu7BG3mkx7C6DEYOCniqcOdVyHglbZDWPGMlwk9VCBm7yIG
JhfiWE+ItYQ7O/rBZl6DcLuoMLqhg7ekmMFuVtWL2IwDSzIQgERuOELhAczZL9Z4jY8oeegzgO5j
rIMB0iXAhR9c6wML4rqo5J4t37UmGbdjUDcFZaM54Vw0HsjqIlhbzZjuWIpQPav0kMN7Cr423roc
g7ZfCmidl2fHd8mzMv7yw+nneYOLoCC47Xs9jjEG0WqcMtm1KFW4YbJme4zQ+ktfO90RfrEqq5dW
DCn3hMiXkVb5QBxUtLpNtaVhMD5XgX5yV4TYIQ0vs9G0cr+sjr6FDrbbtehomVpixyRX3RR8blsP
s1SYhR0cy9WmhjqmSEoV7FqkwW6laT7U4v9MDb9N2KHoC/5GMMjwAIb9Nd9e+cTCGITxfDUT0O0V
0jPPBPP9GMdec0IIl+zXMsBRyEpn6/RLfFW3QbyxvQ5xxnINtn4Wxxc6DPl9X3v5WgdzjkQey1yM
4aeqEshBd0s/7Ku107DgIF178nTCnjvYpr1URJUXQuL6kTdISDxYEg0fZUDfS/hT7K9AUEAfj4zr
r4+4eF4DRXDP8/GsLmm+NdXXBgZ0v899vpdmpQHQjGcPUpSevUnBd5w4ajKYCth+8xBR4gZroR9/
btb2g9T7u4/zqqU3bwwIQS2CFfqF1XQXk8Q1otqIXn2Uyz1/zF8Gxp/N/FSSvtJ8MKuQkEhanvup
2Hs/+o1/VFesKPPlCQGFezir5stxvcC16NtH5JUPnvCnC+WrplGxp0ylLc81Tg29qrPZnO9kZv/7
V/ZeBv7VK/spyH/VjIcC54QveGVqPJ8gEEJtbn/fwl/loBBmvG7ijWBr7OaIDRpN1EExX9sdwlaH
8iDuUIYObSR7IXdRGnwGlRsoeNj7f+RL+P7sfvUSz13w6hHNNKBQ1cdYOYtQ/bNlEXKdal9Bl3kP
ROqxu0LN2qn+GqPGQN7NWwcuYzMiMvm8nR+aO/vt3+atvemQ86t/9YUaL5gDrzrPRaQXScNylrSQ
LT1/0O/viW9e9/sb0UMt5DSSc7+LfX09I2k3ZBU4FYvJw0tgK3JfpXxGMcCyc4BQ/ajbPxpY52/3
6iETwcxkE/R6hCQ0OKOIZnz0gB8sNz/l+q+aiImyNY5z5wcMEJPvNrgE6YtmCwrNM80NNMbmVg87
5BU+tD1+d3aihC/BQndWOb9df5LIIEaChWEowP846cvlZT6qHeT4FH4jwc779jHR/t3H/bPNt4uR
pH4dlh2C68jQFMPYbhKKQ5yZ/SfC2sffD55320KNIhSjcERD/euvby9OVkNDRAbz1vVgTtGnhDxy
StPQ9tnvW3q3J88IPReq8TNr89eWesQ1xwY5BVCRcXj0037eW/eDusG/lhVhxiVniwRcmM4Vtm+W
IMIt9I4WXSf2mAjxRm6bbMihvw8BNv/Y5vWvuv837b1ZcsI66SNi0N7ZNanblI/dBpeT6IAhuoVC
JyiiDRIrdVZDi7+ft+aC3n6k932vX18/8pt+DXHlcHEG5DmHrPR8nBNIVnGIcX7/+t6b5q+bOQ+k
13MQV5DaLnjSpHwQ7Uv/kcvPewPx9ee/WUZaBEtKYjE8pC/TBAaXAa5hzA55hOzMv/0oKIyMYefj
QyEGzsavj9JAWsK9Ftp1j9/FCh4Us938voV33snrFpI3h7BqbXWVjGihKgnsJM/EiA6XJfbfbOaN
CL/n4CMRhWaYt6Y1nkINPMV9/98X7/3yNGcZ3KtXP3uiqkNcWXIx5Mp+j6HD+f/orgim+XAygDtn
+Obd+70iwo97vJDhRYkO4c3LRbr//voDJ4E/G3mz0iUtC8OJ4yl0rVKnlrkTXS6a/zdbeTO2yqkq
1ykUDIVTPUt97t5VEla0c/xRtfe7Q+zPx3nrDefBsLOOezwObuQZgUsT8rYZSnQ+eDXvTEv0WhxG
oKygluCtCB9eus4EqQTePTwmVF3ekSm+huY7yT5ax95ZYGBWhnrbwAX4BMr1X0eZrxoxix6lHjGi
lRdO7OIGVrk/fj/S3m0EslqY3MCC+C/+rzYSczMNyB57UOuYYL5hQ/TRHvRRG2+mS6utrcIQdSTk
wL+frc31Q3Kp8+4r3+m7MyHP/eBo/9di4siPUasM7gSBthZz9deuW3vfHd1z5UoFEHabf4m+Qkq6
r/Zjmweb5ABHnYePDkbvjQv0H3yPw/CdEmmU7zID5yuWc0GOjd/vSlhZW6dEnO+fq89/Ps//g73I
63/ewvQ//gv/fpb9gswlN2/++Y+r/qW7M+rlxVx87f/r/Kf/91f/8es/8Zf/+uT8q/n6yz+KzlRm
ubEvarl90VaYn23iO5x/8//1h//x8vNT7pf+5e9/fP3eVl1eIRxXPZs//vWj/fe//wEX/zPP4T9f
t/CvH19+bfGXyFP8r/+p3/mTl6/a/P0PJwj/doaIwCcE8LcI1aYYRNPLzx+F/t/ALzlD2TFRUHxz
doTrpDIcf+Z6f/NBhjlXBEcuALIBxqaWSOacf5b8DQciWDuh6hNpJIpR8n++3i8v4c+X8h+dba9l
BXnZ3/9ArRsG1asrMxT2mKlAB/sxyu8SVC/8Oui0bHrNDThSC9zpnyTvqCikNkwivNZ1ymxU4PDn
gK0OdFOxy7+TslH9Ngxry44OU9AF09lfkm2r1RgXxoZE53M8yfE2NDEg62lr1gGOXqpec1Q28nAb
JePaZqSkbn/QboLKM1rKhGS+kgsct7s+WVOopWSw9SXyc/kIySaUVdpZJhiezmK6qgIHqhnSaxsR
ZCX4EiH+HCITSBEZffbjtoEzBzxnBobC7TC0sKKdkLOCZCUcN03Te/O31V8qvwiQEGgQOavm+1UN
I8pKod8bj407IAbNZNQXTo/0093ajZ7KpLdYmSsImqeigdCQpQ4+pi0Cx8P/O4Yg+SNDOd/X0VR/
hcK2VznsWM9J4XU86xaWCJmj1RikV4O1gajSCSSkBwssjPNmGIQ5BkvTbUmfmM8B0aOCzEp664oo
nEz6LEKc5pKqKUWxwFi+IJUKuY2DNNN0IjBBCjMnVDV02tVMp5NXimFB+k2WXdG3ZeMiY478b8IE
dB4Bkov3tIWtBM60vuNvyLqEtBhmuHhiRy0dUCCVLL+UboXEjsan9HBYStYVhjpBdaPgTwX9SIWg
JxyiL8eQXqO2+Xqm9LqlpQ89cseHcx6Dzt9jB5mX86mp/87XEeoe0UWNuS2tI+fLgZQlTiJK62OZ
kInB76JK1oMR3uDddGFs4KkNG4mlqJW/kMPs6TGZbutu8Xt8etJFCCRHMG6n8eDNmwExTprPEvDj
SshwF0NLK6G6qqoYrthtBdF7A2UIJBQ6XM3J4Sg9SSWLWrA6ppCPlxbDh286nVRQddRJ7R1GapKy
kGMT64u+6ZWA6sY4BOqkKIDmpmETWFXpNEN/gAGHdIddFG9OtENGD8Na1MgXdlCSIHOA/wiaUKCv
kwWDkU0utnmGlEkDVmJDAP+hdIwK5O1dtnfkUMJlZl5MyK/DsqkB5atipIiltFBRURqW0YaFsopy
3bnCu/LtohELrZO2tsCoRUjt1tKz7SfqWCdJ16hSw9ZP1mTZcb/B7A5c5EIzsprB2XYabeIAPUFB
kBAEOTMpw8EWCLdDMNb45SogBU2aJe07Ozt5bGWfZD2SlEhRQdwI7StqClSBygn3K6Ij05V0+7Om
QvA+w3TxbF7KhncnUc0hdCujI586KG2x1Eg1XRmUc7q58BflHcPEQVRLR01yGdeT85hAdlLnbivV
eXEZRg/1QuOKuWz7PrhDENsC9CMM0kUocBgQsUVEeAQaW5awJa9qFW2x/tT60wDtW3jqySAfewfl
BRdITpEwb00LWgsEW+ybWQVpcKJwxZhDBxCeeZ2NlZC2UvaoYocWNqqC9YDM/xSlXWW0grl8FBiK
pxeEbXg0l/bBGZT0fGCjiBMXUCi29XZIlnVNe4+v6qangfU/69UbjoGisbNZtBOvO0Ot7I7jCtP+
ney8/03dmS23jSRr+FUUcw8GlsJ2MxHDRZS1WLJl2d19g6AtNfZ9x9tMzHXfnTfwi50PJKVDUnYf
e9gRw8GdTaoAFKuyMvP//0xqN4uhDwkD8izBl3Li4i2ouEHdLNkVzSyCpk29zb7FhFrw8GHGe15K
DXE81GFpZqX8OTQbPxoB0JGiKnI1ErNUshOXxTz6l/BYsGstPPl03kYpusK6yVpraccO/+Mb5vBJ
MlpTXPetsGEKx303A6ZuAti4enpZeuAuN73A0l4WdVPRUa9MIZZEmLtlmccA4MK0bBZPGErheSqP
FDk5kYX7XrRaSmOYrravwzYDYq0IDVuI6PMNMSuhWILoKJ1/Dk6pOR8sr3Yfzcw332tVqsPk5THY
RYPbQud3VTGYM0kVaTsFDSJvhRwzyFaDLdKRAA0L99YRVdjDQ4ZsP0MywTd1ivjF93alOY23BMmR
qapruV4YXGmdn2hvPXSd8MKoLs66V1PqmFfE579ixOrmnGbe1qc069i3uNTc3dX7EvQKThBkjxyB
Qp6nYfO+CgCJZiiFg0+2ndINqhIg0ZTrzkGdfU3q+1Um6tBbCCt0oPV61chGGFJTufaVuIQEZAPU
3GIVCpWH1Mp0ClUTjY2sZskAqt1E9nXrN92wrLxebhZmKLXK9RC2HVBlpCTWVaSGaryUlcSNUd0k
NA0FTCx9iLqF6uS3pqdI3XJkhRVfUhLLcMc7aqDOszzU8kU+gpxooiQftkNY+v29CBwfOVoScRZB
RbNCzl4D6ia7QKp44DJQ7PJ3eUDgdmFGhZzQpg0XYkoiKXJnfUpnzLnA7oB4Vp6i3TSt3VDXyNLa
aOGV0IGubCsdZ4pVVUa3BXmuDFlVJCjuKHlJpQDsZciPpDwRFCpQY2rOyC7O19jdsA2WMtwBcl6B
yuozqq5BVzA0FYwDD5jjxnKq3Jw6gx8+mgok5reS1OjqvWoNMHZiryNrlgYicacFPoM6DyOjRAvS
VIOzBEP16WHmeHJxqUuwIu+aNijbi1x36SU5NJrSvguEblRvkN/UcPoQ6Bg35eDk+XVT5x5FXZsh
QYcC0cK7LnW/Nq4kSJc1AsBq6KYi0Vpx2SSUW3qHJLwMFpbTsBpaPMpfS8vF32hT7MrUqvpAvYWy
D++On602P8ux63p3iQwNbqEr/RC/gV4aOw+JhUwtqBOpXiTw7O0rTKUWfZT1voHWnxSmusgkFczX
z8pCAUoojKKDLTro3rklYVvRDARy/dlVe61D6RDE9YVeZmU0KzMv0O40x8kkWDeudhEAKurXJGqq
YbH2pn8qaLjxvxRpmf5e7UcI+5HGf11ogfB1DI2/H1rcrKr0bMmbl+nZY3p2X0e7Ycb2z7dhhi5P
yMiS2zZhPpm0HSaWeA4zrMlY3IFwQaEPkkWjtZ0wwxw/o8UAHVwU/DQT3/85zFDFhJKaGtX9Nap2
08FU/Zkwg8Y2B2EGA1H62yC6pX0jbbAP0zYdqlWesZknNVZ8MZCQHz73rmSHCEZgXIt5048HNBIo
3b3FCroDlgGNRHwZGqaXX6ZDIRm/AJN7Y389VyrRFIVaKd3JWV16n3u11MVK1TnbfqsbTp6Zr8sZ
p4vkSrKKIQjcSrkTdLfyoY6mcd79lpoCTodIHQWiiK+X+iLswzqgBCfcmllcmS0KhFY10ztIx3W7
7OlfD+OPqmnD0iNmpqVhY6Il7DTIs5CQDYSSVt1F6rUWBgjWnCFRi1vZzj2iEQr2ZsqnsCxa9FMN
hT6cq3gsb/qr0mSk7Vu/wpOLjCyLFvRTQ3ptFT7nZkmAbj5Iulf+5uYAG9OycsRD63jEMVbUcty1
fWun1xwIxTmRlB7d+QVEyzuzEV4KO9bNuws5hug16+KkvgwD6OT1NC/4+Lzf7Hm3qtp00dh5B6SP
7lVZoL1wofCsDcYo0rGvuhQ5I3iNqvofjbWVGTiv7IUc+Y57F5RuEKEwtUIeq6RAr3rbJtAmccv9
sl2gyMP3JJ2DXWvXNo6WOY24tNa2z0UnXc/UOPSNC1SQ0XALITqjZ6mS5AjKwkKVIbJ1IEZumMFa
xdvEbo7qAxLLcg77t23ypLhOY5yWaTiY9L5orbExjkOTpRDC0MKVAx4mHPQ0eSdCDycbPh7k4dDM
++HCjYfCuk/9tDDeta7XGs3cYJMN09aj2Nq8l0IhL2Vo0tUc3Q/8XYTclvwe1hRUszqIqVygpmV+
36d4Mm8ASILqQZOqKjm3TX3gOeBc1ZewWJFywyW3+zeJKEv7c99QNWAmG5Jo5rlJAc65gCvanMMM
DoDjddls3uQ6DCYEDDY0Q9pr6OElcYxdzZTaC4IZOr6w+OB1qdReJo5G6RaCyFhFvCl7N24k3Iea
gwi2aZLEyKSEK1W/yFXp36qZrxItikr94kVlbM6E1WS/B5WTF7NKjrV4XtqdnnP25mY3NVAs5/Cf
s8pcGq3V9JTxiD0cwbQQww0ybVIGtd9F/RvqMVu0YXci7SlIBtaHT95RvG0o7hNNO980w7lbDbr1
Jgo9zZqLzJbUhaHFnKe5lfqLIZP64SkX/Fz3yKus9qqqLZtzmc7k3dvUZPpmeURjt5mWdb507scF
fpbbtu2b2qB+4TQxbcmd2U6lFUup8CGnFb4RRTMOw6qf4orJeC4Deppp3tdtfNdKcL2ntuxT7NCN
A/tzkXQOa0Wrkib7SMnHvLzOMj2bapJEiTTZoesRuq56ZkUDLFu4mpFiI2Rs5aYiZ2YkzZUVQHkh
TjJdMS8tqfGnRerncEBrVy0RE5jCKT9WLgFluaj8JHhqO9Ly81Z0Xg1rOtbbaUrOoYKJmyfStMfw
ye/9FGdvXkpy4s4CUk2kohXo7rNY5wHOtYg6AUvE1sKFfRjk+l2TWGY5qllDxOmtnpdLaB6ad42g
taf+QezZBbWeou68Uap29H39oUG1mImUhTqq5aDG0r4aCQbUW6hupFoh0LnpooV5pr5P9Nz+PS7U
1rywFQ/dZy7hJ1ypNrrjhz7OKURgIvYxp75UtQ7cKRkSkew7NIoUZWg8dE5mR0vVSI1qgX+niCnC
aKm8UDXVQQ9D1/GKXHuh/FIQAKPOxgyS9CiQ2S3J1RTm1FZC0v+1TI4EvYHsfGjq1riHLjd8aAzV
DZZ6GibphZupIaRur3rUjD67qVuAtVnl6Tm92QPFFVNVgTC/6KuuhlHuChY1OiETNVMYV9rUdSpJ
uxjAMqQrQyQB1GzVHPJzynS53syWqk6d0manfdDKpIGynHWeCf9Vrtu5hAiMhIRVlc3NgMKiuCub
0lKuslZq649ObBOqQm7PxRUcnFERWdpFgVola5v3LU9ovEOUADHNcWCpXSDm65MPKbROUt6W5PXz
wqnoE4A1F8UsbqtWYzcjyH3wijipHvJCSQPGlHRwfF+p27deCep3GVWYiSu1o1n3dVVp3SelG/Ga
sjKFe26aff0hKURNCUkrhLGGPAQhb2fRUvciyYxephaBlyoLE0Zhr6NEGXsQTmMoz941Hntdzbso
7e1zy0GMPTNC3afkna7Rg6ijurp3Q1HwMkO0kqXNomjs2jwXjiw/kncclGmmNZa4UxwntN8ZWSMn
7Nae5hX/bQ7lTlr7VbJ6ky/fprLXKdsP6b/3peeU8JgTfz3Qj2W/8f60w+z3eqx17v3PxohWpOjr
RxLkkiJPYA6b0PEosLq+/nYWpYn7/LmwJpTows+0QD3GC/ATp3hnll4//uu0/7/3nT97hQ0+MIIA
NrXhOKgPfPWfnghrQhtGixnQN+85vujuRBjaCBXgG9vIw8br5CaCFrF47XsRy0/Pgj0BgZRZDduX
HEfcnQVNn8B5BJEiRFhfmzue0HIglCK6Om4WwHds2nPKTMTB61sTndYge7vltHbDtyCxn14FijEx
UL6CcG6XAbDY7ioQ9mRkdYxdTE52FVAp89hlQPitUUnJppz45jowCZqY0H1ak9Ggbj7fLLxT2gxj
955jp0HVJjpkbnIDNDwcr4NpEKwWFU0XZcL/s6vhCyq9akSdXT9NdrMxGuv3RyzCwQD7x6S2vsZW
zrtbYYSJ15PybDE3tzqhNQDH48fe/gBm33l7G3No0UtIbNe5TGZsdxIMc2JRJh6SF81xxmtzGp/Q
JADFj2XFfmQRfH8aVBlfiC4LEC5eFvruNIj153ASDLJrp3UsjFlH2HFHvb88IUCGj7BzHXgHujLB
XnJwqlsn6vR8JCqpHjkNkjbhkB3dHxyu9XVgEgwmiphIHam+z5+f1mqgp4Smmke7SdoEweq4F77j
Mmt4S2PcAEXmFPfD0e+vT+gGpZi0ON78zodng1AnFk2IqMVICn99ndo00DfBOkQ5ftpbtCbgFhRW
fZmGA/8ANwkS1dgMfms2N3c8odMBQr66MdkbttxLVP4zkbTOj71mfW3fcoSPdk8HQifYkDrCme0p
enLGUZMJ7Y61jiQUxiZpYF2Hy8Cc8N+jN316MeM3wL6f3gZ4B2AvkEO3PtChm6yLCYARLeSIm9bX
yf3+Y8HY450kc8KPj05q1J9sjd7uNiChpAuIwSSVNtNwekGTrP4FvuKEtTCa/e3RcLgahMCXxJnE
8Gxm6fSMIub6WJdRUiYCMjtZhE2Q9Dp2tCZQ0CnBjDxkc53cEYmY4fhp0Nn7Ag2vAcF7dzfoxoTO
HurYWXJznZxttDVY0GNnnqNiB0nVWQkEkJjHlx96dyLGlBI0a0WBg7C5Tm0hjCHU0dYRdriN7gLr
uD0lDg5JQZYZTTnfOVnrCL/p6MyaSoKV5CHmYJtGPsizMg3sFVCJZ7NxeocElvtozEEbQ2obWv/r
OBo6kI0/tj0+TjJ+OtZjJjrioMUcPCNPB7NAHI1GDT6Ssg20T85hQqt8vEUAUYFYNSao9o8GQVIN
VE4nuPppf/EHYqsXLHPm+dHjGsX0n8od2c7/+4VnDPP1AFvgbkTnmKC9742Kns3IGwRv/Pff91Ju
a2xx58NnrHF9m+2fb9/v9Z337vX8Us//eeE/FaviCzVo1+Ki7VNulEL/+FI87aaM11nT/3uKVyKk
l9PwTweNVm66KnfH3YB0Rw8cr4Y0ORh5ndo6duTpyvNXuw+8wdOOHfb86ZG5j86+peLa7KJj70BZ
u69/FD6kzPtVUqW7r7BN/h57h++Lyb6vVfuhZXKzKlaJ9/Vfew9Nq7UxCjn2oX+Mpnr0C7xwYZ+f
eNz7FDsZXedjX+FuVXz95/Mw63E3kclfMO7q6x+fD1b7Gjc8euinIlnFn+sv+z/pJtt27OCQyc4e
n84uV8mTX+zfYOOb/RU3WLIkuQnM5reIHvdM4zZb9tfe5ZA/vXGvjr3HaApWZzNINoWf7P/Qm1zH
0Tdg157drepo/3fYwK5HD/5UuH62N/fbFN2xI39IvzAzfrJ3NG35RMeO/Y94le3v1y34dOzAN/yE
5dmSc8Tff+5NYHbs8Hf+qv76x66dGZ+bwOPYgd+nPHG8t/rGkXH3jh85efz6P8n+gf3Chzp2dOzu
Ktn/JV+SAceOPXs6NOovmNSfD/0tz++FjvbaH3ymon3rz/Z93fEbXyIe6+//CwAA//8=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463922</xdr:colOff>
      <xdr:row>49</xdr:row>
      <xdr:rowOff>73955</xdr:rowOff>
    </xdr:from>
    <xdr:to>
      <xdr:col>22</xdr:col>
      <xdr:colOff>67236</xdr:colOff>
      <xdr:row>73</xdr:row>
      <xdr:rowOff>79562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425263</xdr:colOff>
          <xdr:row>46</xdr:row>
          <xdr:rowOff>6723</xdr:rowOff>
        </xdr:from>
        <xdr:to>
          <xdr:col>18</xdr:col>
          <xdr:colOff>353545</xdr:colOff>
          <xdr:row>48</xdr:row>
          <xdr:rowOff>125506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530038</xdr:colOff>
          <xdr:row>45</xdr:row>
          <xdr:rowOff>144555</xdr:rowOff>
        </xdr:from>
        <xdr:to>
          <xdr:col>20</xdr:col>
          <xdr:colOff>453838</xdr:colOff>
          <xdr:row>48</xdr:row>
          <xdr:rowOff>106456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461401</xdr:colOff>
      <xdr:row>49</xdr:row>
      <xdr:rowOff>73955</xdr:rowOff>
    </xdr:from>
    <xdr:to>
      <xdr:col>14</xdr:col>
      <xdr:colOff>773205</xdr:colOff>
      <xdr:row>73</xdr:row>
      <xdr:rowOff>78440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43201" y="3636305"/>
              <a:ext cx="5126972" cy="3890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22</xdr:col>
      <xdr:colOff>324969</xdr:colOff>
      <xdr:row>49</xdr:row>
      <xdr:rowOff>89648</xdr:rowOff>
    </xdr:from>
    <xdr:to>
      <xdr:col>38</xdr:col>
      <xdr:colOff>179294</xdr:colOff>
      <xdr:row>73</xdr:row>
      <xdr:rowOff>78441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E753BE-7B81-4210-AD07-D01F11D98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587186</xdr:colOff>
      <xdr:row>19</xdr:row>
      <xdr:rowOff>118780</xdr:rowOff>
    </xdr:from>
    <xdr:to>
      <xdr:col>4</xdr:col>
      <xdr:colOff>56029</xdr:colOff>
      <xdr:row>43</xdr:row>
      <xdr:rowOff>124387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727822</xdr:colOff>
          <xdr:row>21</xdr:row>
          <xdr:rowOff>73958</xdr:rowOff>
        </xdr:from>
        <xdr:to>
          <xdr:col>6</xdr:col>
          <xdr:colOff>252692</xdr:colOff>
          <xdr:row>24</xdr:row>
          <xdr:rowOff>35859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429185</xdr:colOff>
          <xdr:row>21</xdr:row>
          <xdr:rowOff>54908</xdr:rowOff>
        </xdr:from>
        <xdr:to>
          <xdr:col>8</xdr:col>
          <xdr:colOff>375396</xdr:colOff>
          <xdr:row>24</xdr:row>
          <xdr:rowOff>16809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DAD338-3C11-4544-BBBE-AF3F14AA5ADE}" name="Tab_Presidente_Estados" displayName="Tab_Presidente_Estados" ref="A51:G78" totalsRowShown="0" headerRowDxfId="8" tableBorderDxfId="7" headerRowCellStyle="Normal 2" dataCellStyle="Normal 2">
  <autoFilter ref="A51:G78" xr:uid="{89DAD338-3C11-4544-BBBE-AF3F14AA5ADE}"/>
  <tableColumns count="7">
    <tableColumn id="1" xr3:uid="{05A1688B-3AB9-4B32-9C5B-E2762F7EA45C}" name="Sigla" dataDxfId="6" dataCellStyle="Normal 2"/>
    <tableColumn id="2" xr3:uid="{DBFEFC50-EE51-4B22-8E73-1D76DEF02872}" name="Estado" dataDxfId="5" dataCellStyle="Normal 2"/>
    <tableColumn id="3" xr3:uid="{9EBF6A28-96F2-4CF8-A8BB-6791A3B59E41}" name="Lula" dataDxfId="4" dataCellStyle="Normal 2">
      <calculatedColumnFormula array="1">_xlfn.NUMBERVALUE(INDEX( _xlfn._xlws.SORT(INDEX(xlFOCUS_ReadJSON($C9, FALSE, , "cand"), {1;2}, {4,11}), 1,-1), 1, 2), ",", ".")</calculatedColumnFormula>
    </tableColumn>
    <tableColumn id="4" xr3:uid="{FCFC0ECD-CACE-40B6-86D8-94E588C359FB}" name="Bolsonaro" dataDxfId="3" dataCellStyle="Normal 2">
      <calculatedColumnFormula array="1">_xlfn.NUMBERVALUE(INDEX( _xlfn._xlws.SORT(INDEX(xlFOCUS_ReadJSON($C9, FALSE, , "cand"), {1;2}, {4,11}), 1,-1), 2, 2), ",", ".")</calculatedColumnFormula>
    </tableColumn>
    <tableColumn id="5" xr3:uid="{CD85BF1D-BF1E-4D07-8E64-753EAAA673A0}" name="Eleitores" dataDxfId="2" dataCellStyle="Normal 2">
      <calculatedColumnFormula>_xlfn.NUMBERVALUE( VLOOKUP( "e", xlFOCUS_ReadJSON($C9,FALSE), 2, 0), ",", ".")</calculatedColumnFormula>
    </tableColumn>
    <tableColumn id="6" xr3:uid="{E28E9BD3-956F-4DC1-8851-48F0E06156E0}" name="Apurados" dataDxfId="1" dataCellStyle="Normal 2">
      <calculatedColumnFormula>_xlfn.NUMBERVALUE( VLOOKUP( "ea", xlFOCUS_ReadJSON($C9,FALSE), 2, 0), ",", ".")</calculatedColumnFormula>
    </tableColumn>
    <tableColumn id="7" xr3:uid="{A0D3E7BE-1EFD-4CA6-A6FE-E3163EEB0364}" name="%" dataDxfId="0" dataCellStyle="Normal 2">
      <calculatedColumnFormula>_xlfn.NUMBERVALUE( VLOOKUP( "pea", xlFOCUS_ReadJSON($C9,FALSE), 2, 0), ",", ".")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esultados.tse.jus.br/oficial/ele2022/547/dados-simplificados/al/al-c0003-e000547-r.json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resultados.tse.jus.br/oficial/ele2022/545/dados-simplificados/br/br-c0001-e000545-r.json" TargetMode="External"/><Relationship Id="rId7" Type="http://schemas.openxmlformats.org/officeDocument/2006/relationships/hyperlink" Target="https://www.youtube.com/watch?v=_OwLQoPYxg4" TargetMode="External"/><Relationship Id="rId2" Type="http://schemas.openxmlformats.org/officeDocument/2006/relationships/hyperlink" Target="https://resultados.tse.jus.br/oficial/ele2022/545/dados-simplificados/br/br-c0001-e000545-r.json" TargetMode="External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hyperlink" Target="https://www.youtube.com/watch?v=dm-TDjnl0Uw" TargetMode="External"/><Relationship Id="rId5" Type="http://schemas.openxmlformats.org/officeDocument/2006/relationships/hyperlink" Target="https://www.youtube.com/watch?v=jSOVyhaymvg" TargetMode="External"/><Relationship Id="rId4" Type="http://schemas.openxmlformats.org/officeDocument/2006/relationships/hyperlink" Target="https://www.youtube.com/watch?v=gilUNUWcCc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64E0-C47E-4094-9B81-07811ACCD248}">
  <sheetPr codeName="Planilha4"/>
  <dimension ref="A1:AA78"/>
  <sheetViews>
    <sheetView showGridLines="0" tabSelected="1" zoomScale="85" zoomScaleNormal="85" workbookViewId="0"/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2.28515625" style="4" customWidth="1"/>
    <col min="11" max="11" width="8.7109375" style="4" customWidth="1"/>
    <col min="12" max="12" width="12.28515625" style="4" customWidth="1"/>
    <col min="13" max="13" width="7.7109375" style="4" customWidth="1"/>
    <col min="14" max="14" width="12.28515625" style="4" customWidth="1"/>
    <col min="15" max="15" width="14" style="4" customWidth="1"/>
    <col min="16" max="16384" width="9.140625" style="4"/>
  </cols>
  <sheetData>
    <row r="1" spans="1:27" ht="18" x14ac:dyDescent="0.25">
      <c r="A1" s="7" t="s">
        <v>14</v>
      </c>
      <c r="F1" s="31" t="s">
        <v>100</v>
      </c>
      <c r="G1" s="32" t="str">
        <f>IF( (E45-E46) &gt; L45, B45, IF( (E46-E45) &gt; L45, B46, "INDEFINIDO"))</f>
        <v>INDEFINIDO</v>
      </c>
      <c r="H1" s="32"/>
      <c r="I1" s="32"/>
      <c r="J1" s="32"/>
      <c r="L1" s="31" t="s">
        <v>106</v>
      </c>
      <c r="M1" s="32" t="str">
        <f>IF(E45&gt;E46,B45,IF(E46&gt;E45,B46,"INDEFINIDO"))</f>
        <v>INDEFINIDO</v>
      </c>
      <c r="N1" s="32"/>
      <c r="O1" s="32"/>
      <c r="P1" s="32"/>
      <c r="R1" s="46" t="s">
        <v>116</v>
      </c>
      <c r="S1" s="46"/>
      <c r="T1" s="46"/>
      <c r="U1" s="32" t="str">
        <f>IF(ISERROR(json_br), "Fora de serviço", "Ativa")</f>
        <v>Ativa</v>
      </c>
      <c r="V1" s="32"/>
      <c r="X1" s="46" t="s">
        <v>119</v>
      </c>
      <c r="Y1" s="46"/>
      <c r="Z1" s="47" t="s">
        <v>120</v>
      </c>
      <c r="AA1" s="47"/>
    </row>
    <row r="3" spans="1:27" s="2" customFormat="1" x14ac:dyDescent="0.2">
      <c r="A3" s="1" t="s">
        <v>0</v>
      </c>
    </row>
    <row r="4" spans="1:27" ht="15" x14ac:dyDescent="0.25">
      <c r="A4" s="3" t="s">
        <v>81</v>
      </c>
    </row>
    <row r="6" spans="1:27" s="2" customFormat="1" x14ac:dyDescent="0.2">
      <c r="A6" s="1" t="s">
        <v>1</v>
      </c>
    </row>
    <row r="7" spans="1:27" x14ac:dyDescent="0.2">
      <c r="A7" s="4" t="str" cm="1">
        <f t="array" ref="A7">xlFOCUS_WEBSERVICE(A4)</f>
        <v xml:space="preserve">
{ "ele" : "545", "tpabr" : "br", "cdabr" : "br", "carper" : "1", "md" : "N", "t" : "2", "f" : "o", "dg" : "28/10/2022", "hg" : "10:57:05", "dt" : "", "ht" : "", "dv" : "s", "tf" : "n", "v" : "1", "esae" : "n", "mnae" : "", "s" : "472075", "st" : "0", "pst" : "0,00", "snt" : "472075", "psnt" : "100,00", "si" : "0", "psi" : "0,00", "sni" : "0", "psni" : "0,00", "sa" : "0", "psa" : "0,00", "sna" : "0", "psna" : "0,00", "e" : "156454011",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9" spans="1:27" hidden="1" x14ac:dyDescent="0.2">
      <c r="A9" s="4" t="s">
        <v>18</v>
      </c>
      <c r="B9" s="4" t="s">
        <v>17</v>
      </c>
      <c r="C9" s="4" t="str" cm="1">
        <f t="array" ref="C9">xlFOCUS_WEBSERVICE(SUBSTITUTE($A$4, "/br/br-", "/"&amp;LOWER($A9)&amp;"/"&amp;LOWER($A9)&amp;"-"))</f>
        <v xml:space="preserve">
{ "ele" : "545", "tpabr" : "uf", "cdabr" : "AC", "carper" : "1", "md" : "N", "t" : "2", "f" : "o", "dg" : "28/10/2022", "hg" : "10:57:04", "dt" : "", "ht" : "", "dv" : "s", "tf" : "n", "v" : "1", "esae" : "n", "mnae" : "", "s" : "2124", "st" : "0", "pst" : "0,00", "snt" : "2124", "psnt" : "100,00", "si" : "0", "psi" : "0,00", "sni" : "0", "psni" : "0,00", "sa" : "0", "psa" : "0,00", "sna" : "0", "psna" : "0,00", "e" : "587765",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0" spans="1:27" hidden="1" x14ac:dyDescent="0.2">
      <c r="A10" s="4" t="s">
        <v>20</v>
      </c>
      <c r="B10" s="4" t="s">
        <v>19</v>
      </c>
      <c r="C10" s="4" t="str" cm="1">
        <f t="array" ref="C10">xlFOCUS_WEBSERVICE(SUBSTITUTE($A$4, "/br/br-", "/"&amp;LOWER($A10)&amp;"/"&amp;LOWER($A10)&amp;"-"))</f>
        <v xml:space="preserve">
{ "ele" : "545", "tpabr" : "uf", "cdabr" : "AL", "carper" : "1", "md" : "N", "t" : "2", "f" : "o", "dg" : "28/10/2022", "hg" : "10:57:04", "dt" : "", "ht" : "", "dv" : "s", "tf" : "n", "v" : "1", "esae" : "n", "mnae" : "", "s" : "6626", "st" : "0", "pst" : "0,00", "snt" : "6626", "psnt" : "100,00", "si" : "0", "psi" : "0,00", "sni" : "0", "psni" : "0,00", "sa" : "0", "psa" : "0,00", "sna" : "0", "psna" : "0,00", "e" : "2325814",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1" spans="1:27" hidden="1" x14ac:dyDescent="0.2">
      <c r="A11" s="4" t="s">
        <v>22</v>
      </c>
      <c r="B11" s="4" t="s">
        <v>21</v>
      </c>
      <c r="C11" s="4" t="str" cm="1">
        <f t="array" ref="C11">xlFOCUS_WEBSERVICE(SUBSTITUTE($A$4, "/br/br-", "/"&amp;LOWER($A11)&amp;"/"&amp;LOWER($A11)&amp;"-"))</f>
        <v xml:space="preserve">
{ "ele" : "545", "tpabr" : "uf", "cdabr" : "AP", "carper" : "1", "md" : "N", "t" : "2", "f" : "o", "dg" : "28/10/2022", "hg" : "10:57:04", "dt" : "", "ht" : "", "dv" : "s", "tf" : "n", "v" : "1", "esae" : "n", "mnae" : "", "s" : "1740", "st" : "0", "pst" : "0,00", "snt" : "1740", "psnt" : "100,00", "si" : "0", "psi" : "0,00", "sni" : "0", "psni" : "0,00", "sa" : "0", "psa" : "0,00", "sna" : "0", "psna" : "0,00", "e" : "550131",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2" spans="1:27" hidden="1" x14ac:dyDescent="0.2">
      <c r="A12" s="4" t="s">
        <v>24</v>
      </c>
      <c r="B12" s="4" t="s">
        <v>23</v>
      </c>
      <c r="C12" s="4" t="str" cm="1">
        <f t="array" ref="C12">xlFOCUS_WEBSERVICE(SUBSTITUTE($A$4, "/br/br-", "/"&amp;LOWER($A12)&amp;"/"&amp;LOWER($A12)&amp;"-"))</f>
        <v xml:space="preserve">
{ "ele" : "545", "tpabr" : "uf", "cdabr" : "AM", "carper" : "1", "md" : "N", "t" : "2", "f" : "o", "dg" : "28/10/2022", "hg" : "10:57:04", "dt" : "", "ht" : "", "dv" : "s", "tf" : "n", "v" : "1", "esae" : "n", "mnae" : "", "s" : "7454", "st" : "0", "pst" : "0,00", "snt" : "7454", "psnt" : "100,00", "si" : "0", "psi" : "0,00", "sni" : "0", "psni" : "0,00", "sa" : "0", "psa" : "0,00", "sna" : "0", "psna" : "0,00", "e" : "2647123",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3" spans="1:27" hidden="1" x14ac:dyDescent="0.2">
      <c r="A13" s="4" t="s">
        <v>26</v>
      </c>
      <c r="B13" s="4" t="s">
        <v>25</v>
      </c>
      <c r="C13" s="4" t="str" cm="1">
        <f t="array" ref="C13">xlFOCUS_WEBSERVICE(SUBSTITUTE($A$4, "/br/br-", "/"&amp;LOWER($A13)&amp;"/"&amp;LOWER($A13)&amp;"-"))</f>
        <v xml:space="preserve">
{ "ele" : "545", "tpabr" : "uf", "cdabr" : "BA", "carper" : "1", "md" : "N", "t" : "2", "f" : "o", "dg" : "28/10/2022", "hg" : "10:57:05", "dt" : "", "ht" : "", "dv" : "s", "tf" : "n", "v" : "1", "esae" : "n", "mnae" : "", "s" : "34424", "st" : "0", "pst" : "0,00", "snt" : "34424", "psnt" : "100,00", "si" : "0", "psi" : "0,00", "sni" : "0", "psni" : "0,00", "sa" : "0", "psa" : "0,00", "sna" : "0", "psna" : "0,00", "e" : "11282999",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4" spans="1:27" hidden="1" x14ac:dyDescent="0.2">
      <c r="A14" s="4" t="s">
        <v>28</v>
      </c>
      <c r="B14" s="4" t="s">
        <v>27</v>
      </c>
      <c r="C14" s="4" t="str" cm="1">
        <f t="array" ref="C14">xlFOCUS_WEBSERVICE(SUBSTITUTE($A$4, "/br/br-", "/"&amp;LOWER($A14)&amp;"/"&amp;LOWER($A14)&amp;"-"))</f>
        <v xml:space="preserve">
{ "ele" : "545", "tpabr" : "uf", "cdabr" : "CE", "carper" : "1", "md" : "N", "t" : "2", "f" : "o", "dg" : "28/10/2022", "hg" : "10:57:03", "dt" : "", "ht" : "", "dv" : "s", "tf" : "n", "v" : "1", "esae" : "n", "mnae" : "", "s" : "22796", "st" : "0", "pst" : "0,00", "snt" : "22796", "psnt" : "100,00", "si" : "0", "psi" : "0,00", "sni" : "0", "psni" : "0,00", "sa" : "0", "psa" : "0,00", "sna" : "0", "psna" : "0,00", "e" : "6818192",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5" spans="1:27" hidden="1" x14ac:dyDescent="0.2">
      <c r="A15" s="4" t="s">
        <v>30</v>
      </c>
      <c r="B15" s="4" t="s">
        <v>29</v>
      </c>
      <c r="C15" s="4" t="str" cm="1">
        <f t="array" ref="C15">xlFOCUS_WEBSERVICE(SUBSTITUTE($A$4, "/br/br-", "/"&amp;LOWER($A15)&amp;"/"&amp;LOWER($A15)&amp;"-"))</f>
        <v xml:space="preserve">
{ "ele" : "545", "tpabr" : "uf", "cdabr" : "ES", "carper" : "1", "md" : "N", "t" : "2", "f" : "o", "dg" : "28/10/2022", "hg" : "10:57:01", "dt" : "", "ht" : "", "dv" : "s", "tf" : "n", "v" : "1", "esae" : "n", "mnae" : "", "s" : "9239", "st" : "0", "pst" : "0,00", "snt" : "9239", "psnt" : "100,00", "si" : "0", "psi" : "0,00", "sni" : "0", "psni" : "0,00", "sa" : "0", "psa" : "0,00", "sna" : "0", "psna" : "0,00", "e" : "2922264",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6" spans="1:27" hidden="1" x14ac:dyDescent="0.2">
      <c r="A16" s="4" t="s">
        <v>32</v>
      </c>
      <c r="B16" s="4" t="s">
        <v>31</v>
      </c>
      <c r="C16" s="4" t="str" cm="1">
        <f t="array" ref="C16">xlFOCUS_WEBSERVICE(SUBSTITUTE($A$4, "/br/br-", "/"&amp;LOWER($A16)&amp;"/"&amp;LOWER($A16)&amp;"-"))</f>
        <v xml:space="preserve">
{ "ele" : "545", "tpabr" : "uf", "cdabr" : "GO", "carper" : "1", "md" : "N", "t" : "2", "f" : "o", "dg" : "28/10/2022", "hg" : "10:56:58", "dt" : "", "ht" : "", "dv" : "s", "tf" : "n", "v" : "1", "esae" : "n", "mnae" : "", "s" : "14620", "st" : "0", "pst" : "0,00", "snt" : "14620", "psnt" : "100,00", "si" : "0", "psi" : "0,00", "sni" : "0", "psni" : "0,00", "sa" : "0", "psa" : "0,00", "sna" : "0", "psna" : "0,00", "e" : "4870621",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7" spans="1:3" hidden="1" x14ac:dyDescent="0.2">
      <c r="A17" s="4" t="s">
        <v>34</v>
      </c>
      <c r="B17" s="4" t="s">
        <v>33</v>
      </c>
      <c r="C17" s="4" t="str" cm="1">
        <f t="array" ref="C17">xlFOCUS_WEBSERVICE(SUBSTITUTE($A$4, "/br/br-", "/"&amp;LOWER($A17)&amp;"/"&amp;LOWER($A17)&amp;"-"))</f>
        <v xml:space="preserve">
{ "ele" : "545", "tpabr" : "uf", "cdabr" : "MA", "carper" : "1", "md" : "N", "t" : "2", "f" : "o", "dg" : "28/10/2022", "hg" : "10:57:03", "dt" : "", "ht" : "", "dv" : "s", "tf" : "n", "v" : "1", "esae" : "n", "mnae" : "", "s" : "16423", "st" : "0", "pst" : "0,00", "snt" : "16423", "psnt" : "100,00", "si" : "0", "psi" : "0,00", "sni" : "0", "psni" : "0,00", "sa" : "0", "psa" : "0,00", "sna" : "0", "psna" : "0,00", "e" : "5039307",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8" spans="1:3" hidden="1" x14ac:dyDescent="0.2">
      <c r="A18" s="4" t="s">
        <v>36</v>
      </c>
      <c r="B18" s="4" t="s">
        <v>35</v>
      </c>
      <c r="C18" s="4" t="str" cm="1">
        <f t="array" ref="C18">xlFOCUS_WEBSERVICE(SUBSTITUTE($A$4, "/br/br-", "/"&amp;LOWER($A18)&amp;"/"&amp;LOWER($A18)&amp;"-"))</f>
        <v xml:space="preserve">
{ "ele" : "545", "tpabr" : "uf", "cdabr" : "MT", "carper" : "1", "md" : "N", "t" : "2", "f" : "o", "dg" : "28/10/2022", "hg" : "10:57:01", "dt" : "", "ht" : "", "dv" : "s", "tf" : "n", "v" : "1", "esae" : "n", "mnae" : "", "s" : "7652", "st" : "0", "pst" : "0,00", "snt" : "7652", "psnt" : "100,00", "si" : "0", "psi" : "0,00", "sni" : "0", "psni" : "0,00", "sa" : "0", "psa" : "0,00", "sna" : "0", "psna" : "0,00", "e" : "2469797",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9" spans="1:3" hidden="1" x14ac:dyDescent="0.2">
      <c r="A19" s="4" t="s">
        <v>38</v>
      </c>
      <c r="B19" s="4" t="s">
        <v>37</v>
      </c>
      <c r="C19" s="4" t="str" cm="1">
        <f t="array" ref="C19">xlFOCUS_WEBSERVICE(SUBSTITUTE($A$4, "/br/br-", "/"&amp;LOWER($A19)&amp;"/"&amp;LOWER($A19)&amp;"-"))</f>
        <v xml:space="preserve">
{ "ele" : "545", "tpabr" : "uf", "cdabr" : "MS", "carper" : "1", "md" : "N", "t" : "2", "f" : "o", "dg" : "28/10/2022", "hg" : "10:57:01", "dt" : "", "ht" : "", "dv" : "s", "tf" : "n", "v" : "1", "esae" : "n", "mnae" : "", "s" : "6912", "st" : "0", "pst" : "0,00", "snt" : "6912", "psnt" : "100,00", "si" : "0", "psi" : "0,00", "sni" : "0", "psni" : "0,00", "sa" : "0", "psa" : "0,00", "sna" : "0", "psna" : "0,00", "e" : "1996066",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0" spans="1:3" hidden="1" x14ac:dyDescent="0.2">
      <c r="A20" s="4" t="s">
        <v>40</v>
      </c>
      <c r="B20" s="4" t="s">
        <v>39</v>
      </c>
      <c r="C20" s="4" t="str" cm="1">
        <f t="array" ref="C20">xlFOCUS_WEBSERVICE(SUBSTITUTE($A$4, "/br/br-", "/"&amp;LOWER($A20)&amp;"/"&amp;LOWER($A20)&amp;"-"))</f>
        <v xml:space="preserve">
{ "ele" : "545", "tpabr" : "uf", "cdabr" : "MG", "carper" : "1", "md" : "N", "t" : "2", "f" : "o", "dg" : "28/10/2022", "hg" : "10:57:02", "dt" : "", "ht" : "", "dv" : "s", "tf" : "n", "v" : "1", "esae" : "n", "mnae" : "", "s" : "49981", "st" : "0", "pst" : "0,00", "snt" : "49981", "psnt" : "100,00", "si" : "0", "psi" : "0,00", "sni" : "0", "psni" : "0,00", "sa" : "0", "psa" : "0,00", "sna" : "0", "psna" : "0,00", "e" : "16284615",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1" spans="1:3" hidden="1" x14ac:dyDescent="0.2">
      <c r="A21" s="4" t="s">
        <v>42</v>
      </c>
      <c r="B21" s="4" t="s">
        <v>41</v>
      </c>
      <c r="C21" s="4" t="str" cm="1">
        <f t="array" ref="C21">xlFOCUS_WEBSERVICE(SUBSTITUTE($A$4, "/br/br-", "/"&amp;LOWER($A21)&amp;"/"&amp;LOWER($A21)&amp;"-"))</f>
        <v xml:space="preserve">
{ "ele" : "545", "tpabr" : "uf", "cdabr" : "PA", "carper" : "1", "md" : "N", "t" : "2", "f" : "o", "dg" : "28/10/2022", "hg" : "10:57:00", "dt" : "", "ht" : "", "dv" : "s", "tf" : "n", "v" : "1", "esae" : "n", "mnae" : "", "s" : "18235", "st" : "0", "pst" : "0,00", "snt" : "18235", "psnt" : "100,00", "si" : "0", "psi" : "0,00", "sni" : "0", "psni" : "0,00", "sa" : "0", "psa" : "0,00", "sna" : "0", "psna" : "0,00", "e" : "6078857",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2" spans="1:3" hidden="1" x14ac:dyDescent="0.2">
      <c r="A22" s="4" t="s">
        <v>44</v>
      </c>
      <c r="B22" s="4" t="s">
        <v>43</v>
      </c>
      <c r="C22" s="4" t="str" cm="1">
        <f t="array" ref="C22">xlFOCUS_WEBSERVICE(SUBSTITUTE($A$4, "/br/br-", "/"&amp;LOWER($A22)&amp;"/"&amp;LOWER($A22)&amp;"-"))</f>
        <v xml:space="preserve">
{ "ele" : "545", "tpabr" : "uf", "cdabr" : "PB", "carper" : "1", "md" : "N", "t" : "2", "f" : "o", "dg" : "28/10/2022", "hg" : "10:56:59", "dt" : "", "ht" : "", "dv" : "s", "tf" : "n", "v" : "1", "esae" : "n", "mnae" : "", "s" : "9602", "st" : "0", "pst" : "0,00", "snt" : "9602", "psnt" : "100,00", "si" : "0", "psi" : "0,00", "sni" : "0", "psni" : "0,00", "sa" : "0", "psa" : "0,00", "sna" : "0", "psna" : "0,00", "e" : "3091719",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3" spans="1:3" hidden="1" x14ac:dyDescent="0.2">
      <c r="A23" s="4" t="s">
        <v>46</v>
      </c>
      <c r="B23" s="4" t="s">
        <v>45</v>
      </c>
      <c r="C23" s="4" t="str" cm="1">
        <f t="array" ref="C23">xlFOCUS_WEBSERVICE(SUBSTITUTE($A$4, "/br/br-", "/"&amp;LOWER($A23)&amp;"/"&amp;LOWER($A23)&amp;"-"))</f>
        <v xml:space="preserve">
{ "ele" : "545", "tpabr" : "uf", "cdabr" : "PR", "carper" : "1", "md" : "N", "t" : "2", "f" : "o", "dg" : "28/10/2022", "hg" : "10:57:01", "dt" : "", "ht" : "", "dv" : "s", "tf" : "n", "v" : "1", "esae" : "n", "mnae" : "", "s" : "25721", "st" : "0", "pst" : "0,00", "snt" : "25721", "psnt" : "100,00", "si" : "0", "psi" : "0,00", "sni" : "0", "psni" : "0,00", "sa" : "0", "psa" : "0,00", "sna" : "0", "psna" : "0,00", "e" : "8480626",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4" spans="1:3" hidden="1" x14ac:dyDescent="0.2">
      <c r="A24" s="4" t="s">
        <v>48</v>
      </c>
      <c r="B24" s="4" t="s">
        <v>47</v>
      </c>
      <c r="C24" s="4" t="str" cm="1">
        <f t="array" ref="C24">xlFOCUS_WEBSERVICE(SUBSTITUTE($A$4, "/br/br-", "/"&amp;LOWER($A24)&amp;"/"&amp;LOWER($A24)&amp;"-"))</f>
        <v xml:space="preserve">
{ "ele" : "545", "tpabr" : "uf", "cdabr" : "PE", "carper" : "1", "md" : "N", "t" : "2", "f" : "o", "dg" : "28/10/2022", "hg" : "10:56:59", "dt" : "", "ht" : "", "dv" : "s", "tf" : "n", "v" : "1", "esae" : "n", "mnae" : "", "s" : "20572", "st" : "0", "pst" : "0,00", "snt" : "20572", "psnt" : "100,00", "si" : "0", "psi" : "0,00", "sni" : "0", "psni" : "0,00", "sa" : "0", "psa" : "0,00", "sna" : "0", "psna" : "0,00", "e" : "7015086",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5" spans="1:3" hidden="1" x14ac:dyDescent="0.2">
      <c r="A25" s="4" t="s">
        <v>50</v>
      </c>
      <c r="B25" s="4" t="s">
        <v>49</v>
      </c>
      <c r="C25" s="4" t="str" cm="1">
        <f t="array" ref="C25">xlFOCUS_WEBSERVICE(SUBSTITUTE($A$4, "/br/br-", "/"&amp;LOWER($A25)&amp;"/"&amp;LOWER($A25)&amp;"-"))</f>
        <v xml:space="preserve">
{ "ele" : "545", "tpabr" : "uf", "cdabr" : "PI", "carper" : "1", "md" : "N", "t" : "2", "f" : "o", "dg" : "28/10/2022", "hg" : "10:57:00", "dt" : "", "ht" : "", "dv" : "s", "tf" : "n", "v" : "1", "esae" : "n", "mnae" : "", "s" : "8963", "st" : "0", "pst" : "0,00", "snt" : "8963", "psnt" : "100,00", "si" : "0", "psi" : "0,00", "sni" : "0", "psni" : "0,00", "sa" : "0", "psa" : "0,00", "sna" : "0", "psna" : "0,00", "e" : "2570253",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6" spans="1:3" hidden="1" x14ac:dyDescent="0.2">
      <c r="A26" s="4" t="s">
        <v>52</v>
      </c>
      <c r="B26" s="4" t="s">
        <v>51</v>
      </c>
      <c r="C26" s="4" t="str" cm="1">
        <f t="array" ref="C26">xlFOCUS_WEBSERVICE(SUBSTITUTE($A$4, "/br/br-", "/"&amp;LOWER($A26)&amp;"/"&amp;LOWER($A26)&amp;"-"))</f>
        <v xml:space="preserve">
{ "ele" : "545", "tpabr" : "uf", "cdabr" : "RJ", "carper" : "1", "md" : "N", "t" : "2", "f" : "o", "dg" : "28/10/2022", "hg" : "10:57:05", "dt" : "", "ht" : "", "dv" : "s", "tf" : "n", "v" : "1", "esae" : "n", "mnae" : "", "s" : "34068", "st" : "0", "pst" : "0,00", "snt" : "34068", "psnt" : "100,00", "si" : "0", "psi" : "0,00", "sni" : "0", "psni" : "0,00", "sa" : "0", "psa" : "0,00", "sna" : "0", "psna" : "0,00", "e" : "12827044",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7" spans="1:3" hidden="1" x14ac:dyDescent="0.2">
      <c r="A27" s="4" t="s">
        <v>54</v>
      </c>
      <c r="B27" s="4" t="s">
        <v>53</v>
      </c>
      <c r="C27" s="4" t="str" cm="1">
        <f t="array" ref="C27">xlFOCUS_WEBSERVICE(SUBSTITUTE($A$4, "/br/br-", "/"&amp;LOWER($A27)&amp;"/"&amp;LOWER($A27)&amp;"-"))</f>
        <v xml:space="preserve">
{ "ele" : "545", "tpabr" : "uf", "cdabr" : "RN", "carper" : "1", "md" : "N", "t" : "2", "f" : "o", "dg" : "28/10/2022", "hg" : "10:57:05", "dt" : "", "ht" : "", "dv" : "s", "tf" : "n", "v" : "1", "esae" : "n", "mnae" : "", "s" : "7674", "st" : "0", "pst" : "0,00", "snt" : "7674", "psnt" : "100,00", "si" : "0", "psi" : "0,00", "sni" : "0", "psni" : "0,00", "sa" : "0", "psa" : "0,00", "sna" : "0", "psna" : "0,00", "e" : "2554326",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8" spans="1:3" hidden="1" x14ac:dyDescent="0.2">
      <c r="A28" s="4" t="s">
        <v>56</v>
      </c>
      <c r="B28" s="4" t="s">
        <v>55</v>
      </c>
      <c r="C28" s="4" t="str" cm="1">
        <f t="array" ref="C28">xlFOCUS_WEBSERVICE(SUBSTITUTE($A$4, "/br/br-", "/"&amp;LOWER($A28)&amp;"/"&amp;LOWER($A28)&amp;"-"))</f>
        <v xml:space="preserve">
{ "ele" : "545", "tpabr" : "uf", "cdabr" : "RS", "carper" : "1", "md" : "N", "t" : "2", "f" : "o", "dg" : "28/10/2022", "hg" : "10:57:05", "dt" : "", "ht" : "", "dv" : "s", "tf" : "n", "v" : "1", "esae" : "n", "mnae" : "", "s" : "27201", "st" : "0", "pst" : "0,00", "snt" : "27201", "psnt" : "100,00", "si" : "0", "psi" : "0,00", "sni" : "0", "psni" : "0,00", "sa" : "0", "psa" : "0,00", "sna" : "0", "psna" : "0,00", "e" : "8589684",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9" spans="1:3" hidden="1" x14ac:dyDescent="0.2">
      <c r="A29" s="4" t="s">
        <v>58</v>
      </c>
      <c r="B29" s="4" t="s">
        <v>57</v>
      </c>
      <c r="C29" s="4" t="str" cm="1">
        <f t="array" ref="C29">xlFOCUS_WEBSERVICE(SUBSTITUTE($A$4, "/br/br-", "/"&amp;LOWER($A29)&amp;"/"&amp;LOWER($A29)&amp;"-"))</f>
        <v xml:space="preserve">
{ "ele" : "545", "tpabr" : "uf", "cdabr" : "RO", "carper" : "1", "md" : "N", "t" : "2", "f" : "o", "dg" : "28/10/2022", "hg" : "10:57:05", "dt" : "", "ht" : "", "dv" : "s", "tf" : "n", "v" : "1", "esae" : "n", "mnae" : "", "s" : "4198", "st" : "0", "pst" : "0,00", "snt" : "4198", "psnt" : "100,00", "si" : "0", "psi" : "0,00", "sni" : "0", "psni" : "0,00", "sa" : "0", "psa" : "0,00", "sna" : "0", "psna" : "0,00", "e" : "1230172",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0" spans="1:3" hidden="1" x14ac:dyDescent="0.2">
      <c r="A30" s="4" t="s">
        <v>60</v>
      </c>
      <c r="B30" s="4" t="s">
        <v>59</v>
      </c>
      <c r="C30" s="4" t="str" cm="1">
        <f t="array" ref="C30">xlFOCUS_WEBSERVICE(SUBSTITUTE($A$4, "/br/br-", "/"&amp;LOWER($A30)&amp;"/"&amp;LOWER($A30)&amp;"-"))</f>
        <v xml:space="preserve">
{ "ele" : "545", "tpabr" : "uf", "cdabr" : "RR", "carper" : "1", "md" : "N", "t" : "2", "f" : "o", "dg" : "28/10/2022", "hg" : "10:57:05", "dt" : "", "ht" : "", "dv" : "s", "tf" : "n", "v" : "1", "esae" : "n", "mnae" : "", "s" : "1268", "st" : "0", "pst" : "0,00", "snt" : "1268", "psnt" : "100,00", "si" : "0", "psi" : "0,00", "sni" : "0", "psni" : "0,00", "sa" : "0", "psa" : "0,00", "sna" : "0", "psna" : "0,00", "e" : "366641",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1" spans="1:3" hidden="1" x14ac:dyDescent="0.2">
      <c r="A31" s="4" t="s">
        <v>62</v>
      </c>
      <c r="B31" s="4" t="s">
        <v>61</v>
      </c>
      <c r="C31" s="4" t="str" cm="1">
        <f t="array" ref="C31">xlFOCUS_WEBSERVICE(SUBSTITUTE($A$4, "/br/br-", "/"&amp;LOWER($A31)&amp;"/"&amp;LOWER($A31)&amp;"-"))</f>
        <v xml:space="preserve">
{ "ele" : "545", "tpabr" : "uf", "cdabr" : "SC", "carper" : "1", "md" : "N", "t" : "2", "f" : "o", "dg" : "28/10/2022", "hg" : "10:57:04", "dt" : "", "ht" : "", "dv" : "s", "tf" : "n", "v" : "1", "esae" : "n", "mnae" : "", "s" : "16242", "st" : "0", "pst" : "0,00", "snt" : "16242", "psnt" : "100,00", "si" : "0", "psi" : "0,00", "sni" : "0", "psni" : "0,00", "sa" : "0", "psa" : "0,00", "sna" : "0", "psna" : "0,00", "e" : "5501284",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2" spans="1:3" hidden="1" x14ac:dyDescent="0.2">
      <c r="A32" s="4" t="s">
        <v>64</v>
      </c>
      <c r="B32" s="4" t="s">
        <v>63</v>
      </c>
      <c r="C32" s="4" t="str" cm="1">
        <f t="array" ref="C32">xlFOCUS_WEBSERVICE(SUBSTITUTE($A$4, "/br/br-", "/"&amp;LOWER($A32)&amp;"/"&amp;LOWER($A32)&amp;"-"))</f>
        <v xml:space="preserve">
{ "ele" : "545", "tpabr" : "uf", "cdabr" : "SP", "carper" : "1", "md" : "N", "t" : "2", "f" : "o", "dg" : "28/10/2022", "hg" : "10:57:02", "dt" : "", "ht" : "", "dv" : "s", "tf" : "n", "v" : "1", "esae" : "n", "mnae" : "", "s" : "101073", "st" : "0", "pst" : "0,00", "snt" : "101073", "psnt" : "100,00", "si" : "0", "psi" : "0,00", "sni" : "0", "psni" : "0,00", "sa" : "0", "psa" : "0,00", "sna" : "0", "psna" : "0,00", "e" : "34684876",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3" spans="1:18" hidden="1" x14ac:dyDescent="0.2">
      <c r="A33" s="4" t="s">
        <v>66</v>
      </c>
      <c r="B33" s="4" t="s">
        <v>65</v>
      </c>
      <c r="C33" s="4" t="str" cm="1">
        <f t="array" ref="C33">xlFOCUS_WEBSERVICE(SUBSTITUTE($A$4, "/br/br-", "/"&amp;LOWER($A33)&amp;"/"&amp;LOWER($A33)&amp;"-"))</f>
        <v xml:space="preserve">
{ "ele" : "545", "tpabr" : "uf", "cdabr" : "SE", "carper" : "1", "md" : "N", "t" : "2", "f" : "o", "dg" : "28/10/2022", "hg" : "10:57:04", "dt" : "", "ht" : "", "dv" : "s", "tf" : "n", "v" : "1", "esae" : "n", "mnae" : "", "s" : "5498", "st" : "0", "pst" : "0,00", "snt" : "5498", "psnt" : "100,00", "si" : "0", "psi" : "0,00", "sni" : "0", "psni" : "0,00", "sa" : "0", "psa" : "0,00", "sna" : "0", "psna" : "0,00", "e" : "1671241",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4" spans="1:18" hidden="1" x14ac:dyDescent="0.2">
      <c r="A34" s="4" t="s">
        <v>68</v>
      </c>
      <c r="B34" s="4" t="s">
        <v>67</v>
      </c>
      <c r="C34" s="4" t="str" cm="1">
        <f t="array" ref="C34">xlFOCUS_WEBSERVICE(SUBSTITUTE($A$4, "/br/br-", "/"&amp;LOWER($A34)&amp;"/"&amp;LOWER($A34)&amp;"-"))</f>
        <v xml:space="preserve">
{ "ele" : "545", "tpabr" : "uf", "cdabr" : "TO", "carper" : "1", "md" : "N", "t" : "2", "f" : "o", "dg" : "28/10/2022", "hg" : "10:57:03", "dt" : "", "ht" : "", "dv" : "s", "tf" : "n", "v" : "1", "esae" : "n", "mnae" : "", "s" : "3957", "st" : "0", "pst" : "0,00", "snt" : "3957", "psnt" : "100,00", "si" : "0", "psi" : "0,00", "sni" : "0", "psni" : "0,00", "sa" : "0", "psa" : "0,00", "sna" : "0", "psna" : "0,00", "e" : "1094302",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5" spans="1:18" hidden="1" x14ac:dyDescent="0.2">
      <c r="A35" s="4" t="s">
        <v>70</v>
      </c>
      <c r="B35" s="4" t="s">
        <v>69</v>
      </c>
      <c r="C35" s="4" t="str" cm="1">
        <f t="array" ref="C35">xlFOCUS_WEBSERVICE(SUBSTITUTE($A$4, "/br/br-", "/"&amp;LOWER($A35)&amp;"/"&amp;LOWER($A35)&amp;"-"))</f>
        <v xml:space="preserve">
{ "ele" : "545", "tpabr" : "uf", "cdabr" : "DF", "carper" : "1", "md" : "N", "t" : "2", "f" : "o", "dg" : "28/10/2022", "hg" : "10:57:03", "dt" : "", "ht" : "", "dv" : "s", "tf" : "n", "v" : "1", "esae" : "n", "mnae" : "", "s" : "6748", "st" : "0", "pst" : "0,00", "snt" : "6748", "psnt" : "100,00", "si" : "0", "psi" : "0,00", "sni" : "0", "psni" : "0,00", "sa" : "0", "psa" : "0,00", "sna" : "0", "psna" : "0,00", "e" : "2207628",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6" spans="1:18" hidden="1" x14ac:dyDescent="0.2"/>
    <row r="37" spans="1:18" s="33" customFormat="1" x14ac:dyDescent="0.2">
      <c r="A37" s="1" t="s">
        <v>10</v>
      </c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8" s="33" customFormat="1" x14ac:dyDescent="0.2">
      <c r="A38" s="1" t="s">
        <v>6</v>
      </c>
      <c r="B38" s="1" t="s">
        <v>7</v>
      </c>
      <c r="C38" s="1" t="s">
        <v>2</v>
      </c>
      <c r="D38" s="1" t="s">
        <v>3</v>
      </c>
      <c r="E38" s="1" t="s">
        <v>4</v>
      </c>
      <c r="F38" s="1" t="s">
        <v>5</v>
      </c>
      <c r="G38" s="1"/>
      <c r="H38" s="1"/>
      <c r="I38" s="1"/>
      <c r="J38" s="1" t="s">
        <v>9</v>
      </c>
      <c r="K38" s="1" t="s">
        <v>8</v>
      </c>
    </row>
    <row r="39" spans="1:18" x14ac:dyDescent="0.2">
      <c r="A39" s="4" t="str" cm="1">
        <f t="array" ref="A39:K40">xlFOCUS_ReadJSON(A7,FALSE,,"cand")</f>
        <v>1</v>
      </c>
      <c r="B39" s="4" t="str">
        <v>280001607829</v>
      </c>
      <c r="C39" s="4" t="str">
        <v>13</v>
      </c>
      <c r="D39" s="4" t="str">
        <v>LULA</v>
      </c>
      <c r="E39" s="4" t="str">
        <v>PT - Federação Brasil da Esperança - FE BRASIL (PT/PC do B/PV) / SOLIDARIEDADE / Federação PSOL REDE (PSOL/REDE) / PSB / AGIR / AVANTE / PROS</v>
      </c>
      <c r="F39" s="4" t="str">
        <v>GERALDO ALCKMIN</v>
      </c>
      <c r="G39" s="4" t="str">
        <v>n</v>
      </c>
      <c r="H39" s="4" t="str">
        <v/>
      </c>
      <c r="I39" s="4" t="str">
        <v>Válido</v>
      </c>
      <c r="J39" s="4" t="str">
        <v>0</v>
      </c>
      <c r="K39" s="4" t="str">
        <v>00,00</v>
      </c>
      <c r="R39" s="33"/>
    </row>
    <row r="40" spans="1:18" x14ac:dyDescent="0.2">
      <c r="A40" s="4" t="str">
        <v>2</v>
      </c>
      <c r="B40" s="4" t="str">
        <v>280001618036</v>
      </c>
      <c r="C40" s="4" t="str">
        <v>22</v>
      </c>
      <c r="D40" s="4" t="str">
        <v>JAIR BOLSONARO</v>
      </c>
      <c r="E40" s="4" t="str">
        <v>PL - PP / REPUBLICANOS / PL</v>
      </c>
      <c r="F40" s="4" t="str">
        <v>BRAGA NETTO</v>
      </c>
      <c r="G40" s="4" t="str">
        <v>n</v>
      </c>
      <c r="H40" s="4" t="str">
        <v/>
      </c>
      <c r="I40" s="4" t="str">
        <v>Válido</v>
      </c>
      <c r="J40" s="4" t="str">
        <v>0</v>
      </c>
      <c r="K40" s="4" t="str">
        <v>00,00</v>
      </c>
      <c r="R40" s="33"/>
    </row>
    <row r="41" spans="1:18" x14ac:dyDescent="0.2">
      <c r="R41" s="33"/>
    </row>
    <row r="42" spans="1:18" x14ac:dyDescent="0.2">
      <c r="R42" s="33"/>
    </row>
    <row r="43" spans="1:18" ht="15" customHeight="1" x14ac:dyDescent="0.2">
      <c r="A43" s="1" t="s">
        <v>11</v>
      </c>
      <c r="B43" s="2"/>
      <c r="C43" s="2"/>
      <c r="D43" s="2"/>
      <c r="E43" s="2"/>
      <c r="F43" s="2"/>
      <c r="G43" s="2" t="s">
        <v>88</v>
      </c>
      <c r="I43" s="1" t="s">
        <v>84</v>
      </c>
      <c r="J43" s="2"/>
      <c r="K43" s="2"/>
      <c r="L43" s="2"/>
      <c r="M43" s="2"/>
      <c r="N43" s="35" t="s">
        <v>103</v>
      </c>
      <c r="O43" s="35" t="s">
        <v>102</v>
      </c>
    </row>
    <row r="44" spans="1:18" ht="15" x14ac:dyDescent="0.25">
      <c r="A44" s="1" t="s">
        <v>2</v>
      </c>
      <c r="B44" s="1" t="s">
        <v>3</v>
      </c>
      <c r="C44" s="1" t="s">
        <v>13</v>
      </c>
      <c r="D44" s="1" t="s">
        <v>5</v>
      </c>
      <c r="E44" s="1" t="s">
        <v>9</v>
      </c>
      <c r="F44" s="1" t="s">
        <v>8</v>
      </c>
      <c r="G44" s="19" t="s">
        <v>12</v>
      </c>
      <c r="I44" s="23" t="s">
        <v>85</v>
      </c>
      <c r="J44" s="24" t="s">
        <v>87</v>
      </c>
      <c r="K44" s="24" t="s">
        <v>86</v>
      </c>
      <c r="L44" s="24" t="s">
        <v>99</v>
      </c>
      <c r="M44" s="24" t="s">
        <v>86</v>
      </c>
      <c r="N44" s="35"/>
      <c r="O44" s="35"/>
    </row>
    <row r="45" spans="1:18" x14ac:dyDescent="0.2">
      <c r="A45" s="4" t="str" cm="1">
        <f t="array" ref="A45:A46">C39:C40</f>
        <v>13</v>
      </c>
      <c r="B45" s="4" t="str" cm="1">
        <f t="array" ref="B45:B46">SUBSTITUTE(D39:D40, "&amp;apos;", "'")</f>
        <v>LULA</v>
      </c>
      <c r="C45" s="4" t="str" cm="1">
        <f t="array" ref="C45:C46">LEFT(E39:E40, IF(ISERROR(FIND(" ",E39:E40)-1), 999, FIND(" ",E39:E40)-1))</f>
        <v>PT</v>
      </c>
      <c r="D45" s="4" t="str" cm="1">
        <f t="array" ref="D45:D46">SUBSTITUTE(F39:F40, "&amp;apóo;", "'")</f>
        <v>GERALDO ALCKMIN</v>
      </c>
      <c r="E45" s="4" cm="1">
        <f t="array" ref="E45:E46">_xlfn.NUMBERVALUE(J39:J40,",",".")</f>
        <v>0</v>
      </c>
      <c r="F45" s="6" cm="1">
        <f t="array" ref="F45:F46">_xlfn.NUMBERVALUE(K39:K40,",",".")</f>
        <v>0</v>
      </c>
      <c r="G45" s="5" cm="1">
        <f t="array" ref="G45">INDEX(Listas!$G$15:$J$17, 3, IF($B$45&lt;=$B$46, 0, COUNTA(Listas!$G$16:$H$16)) + MATCH('Presidente 2T'!$G$44,Listas!$G$16:$H$16,0 ))</f>
        <v>52</v>
      </c>
      <c r="I45" s="25">
        <f>_xlfn.NUMBERVALUE( VLOOKUP( "e", xlFOCUS_ReadJSON($A$7,FALSE), 2, 0), ",", ".")</f>
        <v>156454011</v>
      </c>
      <c r="J45" s="25">
        <f>_xlfn.NUMBERVALUE( VLOOKUP( "ea", xlFOCUS_ReadJSON($A$7,FALSE), 2, 0), ",", ".")</f>
        <v>0</v>
      </c>
      <c r="K45" s="6">
        <f>_xlfn.NUMBERVALUE( VLOOKUP( "pea", xlFOCUS_ReadJSON($A$7,FALSE), 2, 0), ",", ".")</f>
        <v>0</v>
      </c>
      <c r="L45" s="25">
        <f>I45-J45</f>
        <v>156454011</v>
      </c>
      <c r="M45" s="6">
        <f>100-K45</f>
        <v>100</v>
      </c>
      <c r="N45" s="25">
        <f>ABS(E45-E46)</f>
        <v>0</v>
      </c>
      <c r="O45" s="6">
        <f>N45/L45*100</f>
        <v>0</v>
      </c>
    </row>
    <row r="46" spans="1:18" x14ac:dyDescent="0.2">
      <c r="A46" s="4" t="str">
        <v>22</v>
      </c>
      <c r="B46" s="4" t="str">
        <v>JAIR BOLSONARO</v>
      </c>
      <c r="C46" s="4" t="str">
        <v>PL</v>
      </c>
      <c r="D46" s="4" t="str">
        <v>BRAGA NETTO</v>
      </c>
      <c r="E46" s="4">
        <v>0</v>
      </c>
      <c r="F46" s="6">
        <v>0</v>
      </c>
      <c r="G46" s="5" cm="1">
        <f t="array" ref="G46">INDEX(Listas!$G$15:$J$17, 3, IF($B$46&lt;=$B$45, 0, COUNTA(Listas!$G$16:$H$16)) + MATCH('Presidente 2T'!$G$44,Listas!$G$16:$H$16,0 ))</f>
        <v>48</v>
      </c>
    </row>
    <row r="47" spans="1:18" x14ac:dyDescent="0.2">
      <c r="F47" s="6"/>
      <c r="G47" s="5"/>
    </row>
    <row r="48" spans="1:18" x14ac:dyDescent="0.2">
      <c r="F48" s="6"/>
      <c r="G48" s="5"/>
    </row>
    <row r="49" spans="1:7" ht="15.75" x14ac:dyDescent="0.2">
      <c r="A49" s="17" t="s">
        <v>89</v>
      </c>
      <c r="B49" s="2"/>
      <c r="C49" s="2"/>
      <c r="D49" s="2"/>
      <c r="E49" s="2"/>
      <c r="F49" s="2"/>
      <c r="G49" s="2"/>
    </row>
    <row r="51" spans="1:7" x14ac:dyDescent="0.2">
      <c r="A51" s="23" t="s">
        <v>16</v>
      </c>
      <c r="B51" s="23" t="s">
        <v>15</v>
      </c>
      <c r="C51" s="22" t="s">
        <v>78</v>
      </c>
      <c r="D51" s="22" t="s">
        <v>77</v>
      </c>
      <c r="E51" s="23" t="s">
        <v>85</v>
      </c>
      <c r="F51" s="23" t="s">
        <v>87</v>
      </c>
      <c r="G51" s="22" t="s">
        <v>86</v>
      </c>
    </row>
    <row r="52" spans="1:7" x14ac:dyDescent="0.2">
      <c r="A52" s="15" t="s">
        <v>18</v>
      </c>
      <c r="B52" s="15" t="s">
        <v>17</v>
      </c>
      <c r="C52" s="20" cm="1">
        <f t="array" ref="C52">_xlfn.NUMBERVALUE(INDEX( _xlfn._xlws.SORT(INDEX(xlFOCUS_ReadJSON($C9, FALSE, , "cand"), {1;2}, {4,11}), 1,-1), 1, 2), ",", ".")</f>
        <v>0</v>
      </c>
      <c r="D52" s="20" cm="1">
        <f t="array" ref="D52">_xlfn.NUMBERVALUE(INDEX( _xlfn._xlws.SORT(INDEX(xlFOCUS_ReadJSON($C9, FALSE, , "cand"), {1;2}, {4,11}), 1,-1), 2, 2), ",", ".")</f>
        <v>0</v>
      </c>
      <c r="E52" s="25">
        <f t="shared" ref="E52:E78" si="0">_xlfn.NUMBERVALUE( VLOOKUP( "e", xlFOCUS_ReadJSON($C9,FALSE), 2, 0), ",", ".")</f>
        <v>587765</v>
      </c>
      <c r="F52" s="26">
        <f t="shared" ref="F52:F78" si="1">_xlfn.NUMBERVALUE( VLOOKUP( "ea", xlFOCUS_ReadJSON($C9,FALSE), 2, 0), ",", ".")</f>
        <v>0</v>
      </c>
      <c r="G52" s="20">
        <f t="shared" ref="G52:G78" si="2">_xlfn.NUMBERVALUE( VLOOKUP( "pea", xlFOCUS_ReadJSON($C9,FALSE), 2, 0), ",", ".")</f>
        <v>0</v>
      </c>
    </row>
    <row r="53" spans="1:7" x14ac:dyDescent="0.2">
      <c r="A53" s="15" t="s">
        <v>20</v>
      </c>
      <c r="B53" s="15" t="s">
        <v>19</v>
      </c>
      <c r="C53" s="20" cm="1">
        <f t="array" ref="C53">_xlfn.NUMBERVALUE(INDEX( _xlfn._xlws.SORT(INDEX(xlFOCUS_ReadJSON($C10, FALSE, , "cand"), {1;2}, {4,11}), 1,-1), 1, 2), ",", ".")</f>
        <v>0</v>
      </c>
      <c r="D53" s="20" cm="1">
        <f t="array" ref="D53">_xlfn.NUMBERVALUE(INDEX( _xlfn._xlws.SORT(INDEX(xlFOCUS_ReadJSON($C10, FALSE, , "cand"), {1;2}, {4,11}), 1,-1), 2, 2), ",", ".")</f>
        <v>0</v>
      </c>
      <c r="E53" s="25">
        <f t="shared" si="0"/>
        <v>2325814</v>
      </c>
      <c r="F53" s="26">
        <f t="shared" si="1"/>
        <v>0</v>
      </c>
      <c r="G53" s="20">
        <f t="shared" si="2"/>
        <v>0</v>
      </c>
    </row>
    <row r="54" spans="1:7" x14ac:dyDescent="0.2">
      <c r="A54" s="15" t="s">
        <v>22</v>
      </c>
      <c r="B54" s="15" t="s">
        <v>21</v>
      </c>
      <c r="C54" s="20" cm="1">
        <f t="array" ref="C54">_xlfn.NUMBERVALUE(INDEX( _xlfn._xlws.SORT(INDEX(xlFOCUS_ReadJSON($C11, FALSE, , "cand"), {1;2}, {4,11}), 1,-1), 1, 2), ",", ".")</f>
        <v>0</v>
      </c>
      <c r="D54" s="20" cm="1">
        <f t="array" ref="D54">_xlfn.NUMBERVALUE(INDEX( _xlfn._xlws.SORT(INDEX(xlFOCUS_ReadJSON($C11, FALSE, , "cand"), {1;2}, {4,11}), 1,-1), 2, 2), ",", ".")</f>
        <v>0</v>
      </c>
      <c r="E54" s="25">
        <f t="shared" si="0"/>
        <v>550131</v>
      </c>
      <c r="F54" s="26">
        <f t="shared" si="1"/>
        <v>0</v>
      </c>
      <c r="G54" s="20">
        <f t="shared" si="2"/>
        <v>0</v>
      </c>
    </row>
    <row r="55" spans="1:7" x14ac:dyDescent="0.2">
      <c r="A55" s="15" t="s">
        <v>24</v>
      </c>
      <c r="B55" s="15" t="s">
        <v>23</v>
      </c>
      <c r="C55" s="20" cm="1">
        <f t="array" ref="C55">_xlfn.NUMBERVALUE(INDEX( _xlfn._xlws.SORT(INDEX(xlFOCUS_ReadJSON($C12, FALSE, , "cand"), {1;2}, {4,11}), 1,-1), 1, 2), ",", ".")</f>
        <v>0</v>
      </c>
      <c r="D55" s="20" cm="1">
        <f t="array" ref="D55">_xlfn.NUMBERVALUE(INDEX( _xlfn._xlws.SORT(INDEX(xlFOCUS_ReadJSON($C12, FALSE, , "cand"), {1;2}, {4,11}), 1,-1), 2, 2), ",", ".")</f>
        <v>0</v>
      </c>
      <c r="E55" s="25">
        <f t="shared" si="0"/>
        <v>2647123</v>
      </c>
      <c r="F55" s="26">
        <f t="shared" si="1"/>
        <v>0</v>
      </c>
      <c r="G55" s="20">
        <f t="shared" si="2"/>
        <v>0</v>
      </c>
    </row>
    <row r="56" spans="1:7" x14ac:dyDescent="0.2">
      <c r="A56" s="15" t="s">
        <v>26</v>
      </c>
      <c r="B56" s="15" t="s">
        <v>25</v>
      </c>
      <c r="C56" s="20" cm="1">
        <f t="array" ref="C56">_xlfn.NUMBERVALUE(INDEX( _xlfn._xlws.SORT(INDEX(xlFOCUS_ReadJSON($C13, FALSE, , "cand"), {1;2}, {4,11}), 1,-1), 1, 2), ",", ".")</f>
        <v>0</v>
      </c>
      <c r="D56" s="20" cm="1">
        <f t="array" ref="D56">_xlfn.NUMBERVALUE(INDEX( _xlfn._xlws.SORT(INDEX(xlFOCUS_ReadJSON($C13, FALSE, , "cand"), {1;2}, {4,11}), 1,-1), 2, 2), ",", ".")</f>
        <v>0</v>
      </c>
      <c r="E56" s="25">
        <f t="shared" si="0"/>
        <v>11282999</v>
      </c>
      <c r="F56" s="26">
        <f t="shared" si="1"/>
        <v>0</v>
      </c>
      <c r="G56" s="20">
        <f t="shared" si="2"/>
        <v>0</v>
      </c>
    </row>
    <row r="57" spans="1:7" x14ac:dyDescent="0.2">
      <c r="A57" s="15" t="s">
        <v>28</v>
      </c>
      <c r="B57" s="15" t="s">
        <v>27</v>
      </c>
      <c r="C57" s="20" cm="1">
        <f t="array" ref="C57">_xlfn.NUMBERVALUE(INDEX( _xlfn._xlws.SORT(INDEX(xlFOCUS_ReadJSON($C14, FALSE, , "cand"), {1;2}, {4,11}), 1,-1), 1, 2), ",", ".")</f>
        <v>0</v>
      </c>
      <c r="D57" s="20" cm="1">
        <f t="array" ref="D57">_xlfn.NUMBERVALUE(INDEX( _xlfn._xlws.SORT(INDEX(xlFOCUS_ReadJSON($C14, FALSE, , "cand"), {1;2}, {4,11}), 1,-1), 2, 2), ",", ".")</f>
        <v>0</v>
      </c>
      <c r="E57" s="25">
        <f t="shared" si="0"/>
        <v>6818192</v>
      </c>
      <c r="F57" s="26">
        <f t="shared" si="1"/>
        <v>0</v>
      </c>
      <c r="G57" s="20">
        <f t="shared" si="2"/>
        <v>0</v>
      </c>
    </row>
    <row r="58" spans="1:7" x14ac:dyDescent="0.2">
      <c r="A58" s="15" t="s">
        <v>30</v>
      </c>
      <c r="B58" s="15" t="s">
        <v>29</v>
      </c>
      <c r="C58" s="20" cm="1">
        <f t="array" ref="C58">_xlfn.NUMBERVALUE(INDEX( _xlfn._xlws.SORT(INDEX(xlFOCUS_ReadJSON($C15, FALSE, , "cand"), {1;2}, {4,11}), 1,-1), 1, 2), ",", ".")</f>
        <v>0</v>
      </c>
      <c r="D58" s="20" cm="1">
        <f t="array" ref="D58">_xlfn.NUMBERVALUE(INDEX( _xlfn._xlws.SORT(INDEX(xlFOCUS_ReadJSON($C15, FALSE, , "cand"), {1;2}, {4,11}), 1,-1), 2, 2), ",", ".")</f>
        <v>0</v>
      </c>
      <c r="E58" s="25">
        <f t="shared" si="0"/>
        <v>2922264</v>
      </c>
      <c r="F58" s="26">
        <f t="shared" si="1"/>
        <v>0</v>
      </c>
      <c r="G58" s="20">
        <f t="shared" si="2"/>
        <v>0</v>
      </c>
    </row>
    <row r="59" spans="1:7" x14ac:dyDescent="0.2">
      <c r="A59" s="15" t="s">
        <v>32</v>
      </c>
      <c r="B59" s="15" t="s">
        <v>31</v>
      </c>
      <c r="C59" s="20" cm="1">
        <f t="array" ref="C59">_xlfn.NUMBERVALUE(INDEX( _xlfn._xlws.SORT(INDEX(xlFOCUS_ReadJSON($C16, FALSE, , "cand"), {1;2}, {4,11}), 1,-1), 1, 2), ",", ".")</f>
        <v>0</v>
      </c>
      <c r="D59" s="20" cm="1">
        <f t="array" ref="D59">_xlfn.NUMBERVALUE(INDEX( _xlfn._xlws.SORT(INDEX(xlFOCUS_ReadJSON($C16, FALSE, , "cand"), {1;2}, {4,11}), 1,-1), 2, 2), ",", ".")</f>
        <v>0</v>
      </c>
      <c r="E59" s="25">
        <f t="shared" si="0"/>
        <v>4870621</v>
      </c>
      <c r="F59" s="26">
        <f t="shared" si="1"/>
        <v>0</v>
      </c>
      <c r="G59" s="20">
        <f t="shared" si="2"/>
        <v>0</v>
      </c>
    </row>
    <row r="60" spans="1:7" x14ac:dyDescent="0.2">
      <c r="A60" s="15" t="s">
        <v>34</v>
      </c>
      <c r="B60" s="15" t="s">
        <v>33</v>
      </c>
      <c r="C60" s="20" cm="1">
        <f t="array" ref="C60">_xlfn.NUMBERVALUE(INDEX( _xlfn._xlws.SORT(INDEX(xlFOCUS_ReadJSON($C17, FALSE, , "cand"), {1;2}, {4,11}), 1,-1), 1, 2), ",", ".")</f>
        <v>0</v>
      </c>
      <c r="D60" s="20" cm="1">
        <f t="array" ref="D60">_xlfn.NUMBERVALUE(INDEX( _xlfn._xlws.SORT(INDEX(xlFOCUS_ReadJSON($C17, FALSE, , "cand"), {1;2}, {4,11}), 1,-1), 2, 2), ",", ".")</f>
        <v>0</v>
      </c>
      <c r="E60" s="25">
        <f t="shared" si="0"/>
        <v>5039307</v>
      </c>
      <c r="F60" s="26">
        <f t="shared" si="1"/>
        <v>0</v>
      </c>
      <c r="G60" s="20">
        <f t="shared" si="2"/>
        <v>0</v>
      </c>
    </row>
    <row r="61" spans="1:7" x14ac:dyDescent="0.2">
      <c r="A61" s="15" t="s">
        <v>36</v>
      </c>
      <c r="B61" s="15" t="s">
        <v>35</v>
      </c>
      <c r="C61" s="20" cm="1">
        <f t="array" ref="C61">_xlfn.NUMBERVALUE(INDEX( _xlfn._xlws.SORT(INDEX(xlFOCUS_ReadJSON($C18, FALSE, , "cand"), {1;2}, {4,11}), 1,-1), 1, 2), ",", ".")</f>
        <v>0</v>
      </c>
      <c r="D61" s="20" cm="1">
        <f t="array" ref="D61">_xlfn.NUMBERVALUE(INDEX( _xlfn._xlws.SORT(INDEX(xlFOCUS_ReadJSON($C18, FALSE, , "cand"), {1;2}, {4,11}), 1,-1), 2, 2), ",", ".")</f>
        <v>0</v>
      </c>
      <c r="E61" s="25">
        <f t="shared" si="0"/>
        <v>2469797</v>
      </c>
      <c r="F61" s="26">
        <f t="shared" si="1"/>
        <v>0</v>
      </c>
      <c r="G61" s="20">
        <f t="shared" si="2"/>
        <v>0</v>
      </c>
    </row>
    <row r="62" spans="1:7" x14ac:dyDescent="0.2">
      <c r="A62" s="15" t="s">
        <v>38</v>
      </c>
      <c r="B62" s="15" t="s">
        <v>37</v>
      </c>
      <c r="C62" s="20" cm="1">
        <f t="array" ref="C62">_xlfn.NUMBERVALUE(INDEX( _xlfn._xlws.SORT(INDEX(xlFOCUS_ReadJSON($C19, FALSE, , "cand"), {1;2}, {4,11}), 1,-1), 1, 2), ",", ".")</f>
        <v>0</v>
      </c>
      <c r="D62" s="20" cm="1">
        <f t="array" ref="D62">_xlfn.NUMBERVALUE(INDEX( _xlfn._xlws.SORT(INDEX(xlFOCUS_ReadJSON($C19, FALSE, , "cand"), {1;2}, {4,11}), 1,-1), 2, 2), ",", ".")</f>
        <v>0</v>
      </c>
      <c r="E62" s="25">
        <f t="shared" si="0"/>
        <v>1996066</v>
      </c>
      <c r="F62" s="26">
        <f t="shared" si="1"/>
        <v>0</v>
      </c>
      <c r="G62" s="20">
        <f t="shared" si="2"/>
        <v>0</v>
      </c>
    </row>
    <row r="63" spans="1:7" x14ac:dyDescent="0.2">
      <c r="A63" s="15" t="s">
        <v>40</v>
      </c>
      <c r="B63" s="15" t="s">
        <v>39</v>
      </c>
      <c r="C63" s="20" cm="1">
        <f t="array" ref="C63">_xlfn.NUMBERVALUE(INDEX( _xlfn._xlws.SORT(INDEX(xlFOCUS_ReadJSON($C20, FALSE, , "cand"), {1;2}, {4,11}), 1,-1), 1, 2), ",", ".")</f>
        <v>0</v>
      </c>
      <c r="D63" s="20" cm="1">
        <f t="array" ref="D63">_xlfn.NUMBERVALUE(INDEX( _xlfn._xlws.SORT(INDEX(xlFOCUS_ReadJSON($C20, FALSE, , "cand"), {1;2}, {4,11}), 1,-1), 2, 2), ",", ".")</f>
        <v>0</v>
      </c>
      <c r="E63" s="25">
        <f t="shared" si="0"/>
        <v>16284615</v>
      </c>
      <c r="F63" s="26">
        <f t="shared" si="1"/>
        <v>0</v>
      </c>
      <c r="G63" s="20">
        <f t="shared" si="2"/>
        <v>0</v>
      </c>
    </row>
    <row r="64" spans="1:7" x14ac:dyDescent="0.2">
      <c r="A64" s="15" t="s">
        <v>42</v>
      </c>
      <c r="B64" s="15" t="s">
        <v>41</v>
      </c>
      <c r="C64" s="20" cm="1">
        <f t="array" ref="C64">_xlfn.NUMBERVALUE(INDEX( _xlfn._xlws.SORT(INDEX(xlFOCUS_ReadJSON($C21, FALSE, , "cand"), {1;2}, {4,11}), 1,-1), 1, 2), ",", ".")</f>
        <v>0</v>
      </c>
      <c r="D64" s="20" cm="1">
        <f t="array" ref="D64">_xlfn.NUMBERVALUE(INDEX( _xlfn._xlws.SORT(INDEX(xlFOCUS_ReadJSON($C21, FALSE, , "cand"), {1;2}, {4,11}), 1,-1), 2, 2), ",", ".")</f>
        <v>0</v>
      </c>
      <c r="E64" s="25">
        <f t="shared" si="0"/>
        <v>6078857</v>
      </c>
      <c r="F64" s="26">
        <f t="shared" si="1"/>
        <v>0</v>
      </c>
      <c r="G64" s="20">
        <f t="shared" si="2"/>
        <v>0</v>
      </c>
    </row>
    <row r="65" spans="1:7" x14ac:dyDescent="0.2">
      <c r="A65" s="15" t="s">
        <v>44</v>
      </c>
      <c r="B65" s="15" t="s">
        <v>43</v>
      </c>
      <c r="C65" s="20" cm="1">
        <f t="array" ref="C65">_xlfn.NUMBERVALUE(INDEX( _xlfn._xlws.SORT(INDEX(xlFOCUS_ReadJSON($C22, FALSE, , "cand"), {1;2}, {4,11}), 1,-1), 1, 2), ",", ".")</f>
        <v>0</v>
      </c>
      <c r="D65" s="20" cm="1">
        <f t="array" ref="D65">_xlfn.NUMBERVALUE(INDEX( _xlfn._xlws.SORT(INDEX(xlFOCUS_ReadJSON($C22, FALSE, , "cand"), {1;2}, {4,11}), 1,-1), 2, 2), ",", ".")</f>
        <v>0</v>
      </c>
      <c r="E65" s="25">
        <f t="shared" si="0"/>
        <v>3091719</v>
      </c>
      <c r="F65" s="26">
        <f t="shared" si="1"/>
        <v>0</v>
      </c>
      <c r="G65" s="20">
        <f t="shared" si="2"/>
        <v>0</v>
      </c>
    </row>
    <row r="66" spans="1:7" x14ac:dyDescent="0.2">
      <c r="A66" s="15" t="s">
        <v>46</v>
      </c>
      <c r="B66" s="15" t="s">
        <v>45</v>
      </c>
      <c r="C66" s="20" cm="1">
        <f t="array" ref="C66">_xlfn.NUMBERVALUE(INDEX( _xlfn._xlws.SORT(INDEX(xlFOCUS_ReadJSON($C23, FALSE, , "cand"), {1;2}, {4,11}), 1,-1), 1, 2), ",", ".")</f>
        <v>0</v>
      </c>
      <c r="D66" s="20" cm="1">
        <f t="array" ref="D66">_xlfn.NUMBERVALUE(INDEX( _xlfn._xlws.SORT(INDEX(xlFOCUS_ReadJSON($C23, FALSE, , "cand"), {1;2}, {4,11}), 1,-1), 2, 2), ",", ".")</f>
        <v>0</v>
      </c>
      <c r="E66" s="25">
        <f t="shared" si="0"/>
        <v>8480626</v>
      </c>
      <c r="F66" s="26">
        <f t="shared" si="1"/>
        <v>0</v>
      </c>
      <c r="G66" s="20">
        <f t="shared" si="2"/>
        <v>0</v>
      </c>
    </row>
    <row r="67" spans="1:7" x14ac:dyDescent="0.2">
      <c r="A67" s="15" t="s">
        <v>48</v>
      </c>
      <c r="B67" s="15" t="s">
        <v>47</v>
      </c>
      <c r="C67" s="20" cm="1">
        <f t="array" ref="C67">_xlfn.NUMBERVALUE(INDEX( _xlfn._xlws.SORT(INDEX(xlFOCUS_ReadJSON($C24, FALSE, , "cand"), {1;2}, {4,11}), 1,-1), 1, 2), ",", ".")</f>
        <v>0</v>
      </c>
      <c r="D67" s="20" cm="1">
        <f t="array" ref="D67">_xlfn.NUMBERVALUE(INDEX( _xlfn._xlws.SORT(INDEX(xlFOCUS_ReadJSON($C24, FALSE, , "cand"), {1;2}, {4,11}), 1,-1), 2, 2), ",", ".")</f>
        <v>0</v>
      </c>
      <c r="E67" s="25">
        <f t="shared" si="0"/>
        <v>7015086</v>
      </c>
      <c r="F67" s="26">
        <f t="shared" si="1"/>
        <v>0</v>
      </c>
      <c r="G67" s="20">
        <f t="shared" si="2"/>
        <v>0</v>
      </c>
    </row>
    <row r="68" spans="1:7" x14ac:dyDescent="0.2">
      <c r="A68" s="15" t="s">
        <v>50</v>
      </c>
      <c r="B68" s="15" t="s">
        <v>49</v>
      </c>
      <c r="C68" s="20" cm="1">
        <f t="array" ref="C68">_xlfn.NUMBERVALUE(INDEX( _xlfn._xlws.SORT(INDEX(xlFOCUS_ReadJSON($C25, FALSE, , "cand"), {1;2}, {4,11}), 1,-1), 1, 2), ",", ".")</f>
        <v>0</v>
      </c>
      <c r="D68" s="20" cm="1">
        <f t="array" ref="D68">_xlfn.NUMBERVALUE(INDEX( _xlfn._xlws.SORT(INDEX(xlFOCUS_ReadJSON($C25, FALSE, , "cand"), {1;2}, {4,11}), 1,-1), 2, 2), ",", ".")</f>
        <v>0</v>
      </c>
      <c r="E68" s="25">
        <f t="shared" si="0"/>
        <v>2570253</v>
      </c>
      <c r="F68" s="26">
        <f t="shared" si="1"/>
        <v>0</v>
      </c>
      <c r="G68" s="20">
        <f t="shared" si="2"/>
        <v>0</v>
      </c>
    </row>
    <row r="69" spans="1:7" x14ac:dyDescent="0.2">
      <c r="A69" s="15" t="s">
        <v>52</v>
      </c>
      <c r="B69" s="15" t="s">
        <v>51</v>
      </c>
      <c r="C69" s="20" cm="1">
        <f t="array" ref="C69">_xlfn.NUMBERVALUE(INDEX( _xlfn._xlws.SORT(INDEX(xlFOCUS_ReadJSON($C26, FALSE, , "cand"), {1;2}, {4,11}), 1,-1), 1, 2), ",", ".")</f>
        <v>0</v>
      </c>
      <c r="D69" s="20" cm="1">
        <f t="array" ref="D69">_xlfn.NUMBERVALUE(INDEX( _xlfn._xlws.SORT(INDEX(xlFOCUS_ReadJSON($C26, FALSE, , "cand"), {1;2}, {4,11}), 1,-1), 2, 2), ",", ".")</f>
        <v>0</v>
      </c>
      <c r="E69" s="25">
        <f t="shared" si="0"/>
        <v>12827044</v>
      </c>
      <c r="F69" s="26">
        <f t="shared" si="1"/>
        <v>0</v>
      </c>
      <c r="G69" s="20">
        <f t="shared" si="2"/>
        <v>0</v>
      </c>
    </row>
    <row r="70" spans="1:7" x14ac:dyDescent="0.2">
      <c r="A70" s="15" t="s">
        <v>54</v>
      </c>
      <c r="B70" s="15" t="s">
        <v>53</v>
      </c>
      <c r="C70" s="20" cm="1">
        <f t="array" ref="C70">_xlfn.NUMBERVALUE(INDEX( _xlfn._xlws.SORT(INDEX(xlFOCUS_ReadJSON($C27, FALSE, , "cand"), {1;2}, {4,11}), 1,-1), 1, 2), ",", ".")</f>
        <v>0</v>
      </c>
      <c r="D70" s="20" cm="1">
        <f t="array" ref="D70">_xlfn.NUMBERVALUE(INDEX( _xlfn._xlws.SORT(INDEX(xlFOCUS_ReadJSON($C27, FALSE, , "cand"), {1;2}, {4,11}), 1,-1), 2, 2), ",", ".")</f>
        <v>0</v>
      </c>
      <c r="E70" s="25">
        <f t="shared" si="0"/>
        <v>2554326</v>
      </c>
      <c r="F70" s="26">
        <f t="shared" si="1"/>
        <v>0</v>
      </c>
      <c r="G70" s="20">
        <f t="shared" si="2"/>
        <v>0</v>
      </c>
    </row>
    <row r="71" spans="1:7" x14ac:dyDescent="0.2">
      <c r="A71" s="15" t="s">
        <v>56</v>
      </c>
      <c r="B71" s="15" t="s">
        <v>55</v>
      </c>
      <c r="C71" s="20" cm="1">
        <f t="array" ref="C71">_xlfn.NUMBERVALUE(INDEX( _xlfn._xlws.SORT(INDEX(xlFOCUS_ReadJSON($C28, FALSE, , "cand"), {1;2}, {4,11}), 1,-1), 1, 2), ",", ".")</f>
        <v>0</v>
      </c>
      <c r="D71" s="20" cm="1">
        <f t="array" ref="D71">_xlfn.NUMBERVALUE(INDEX( _xlfn._xlws.SORT(INDEX(xlFOCUS_ReadJSON($C28, FALSE, , "cand"), {1;2}, {4,11}), 1,-1), 2, 2), ",", ".")</f>
        <v>0</v>
      </c>
      <c r="E71" s="25">
        <f t="shared" si="0"/>
        <v>8589684</v>
      </c>
      <c r="F71" s="26">
        <f t="shared" si="1"/>
        <v>0</v>
      </c>
      <c r="G71" s="20">
        <f t="shared" si="2"/>
        <v>0</v>
      </c>
    </row>
    <row r="72" spans="1:7" x14ac:dyDescent="0.2">
      <c r="A72" s="15" t="s">
        <v>58</v>
      </c>
      <c r="B72" s="15" t="s">
        <v>57</v>
      </c>
      <c r="C72" s="20" cm="1">
        <f t="array" ref="C72">_xlfn.NUMBERVALUE(INDEX( _xlfn._xlws.SORT(INDEX(xlFOCUS_ReadJSON($C29, FALSE, , "cand"), {1;2}, {4,11}), 1,-1), 1, 2), ",", ".")</f>
        <v>0</v>
      </c>
      <c r="D72" s="20" cm="1">
        <f t="array" ref="D72">_xlfn.NUMBERVALUE(INDEX( _xlfn._xlws.SORT(INDEX(xlFOCUS_ReadJSON($C29, FALSE, , "cand"), {1;2}, {4,11}), 1,-1), 2, 2), ",", ".")</f>
        <v>0</v>
      </c>
      <c r="E72" s="25">
        <f t="shared" si="0"/>
        <v>1230172</v>
      </c>
      <c r="F72" s="26">
        <f t="shared" si="1"/>
        <v>0</v>
      </c>
      <c r="G72" s="20">
        <f t="shared" si="2"/>
        <v>0</v>
      </c>
    </row>
    <row r="73" spans="1:7" x14ac:dyDescent="0.2">
      <c r="A73" s="15" t="s">
        <v>60</v>
      </c>
      <c r="B73" s="15" t="s">
        <v>59</v>
      </c>
      <c r="C73" s="20" cm="1">
        <f t="array" ref="C73">_xlfn.NUMBERVALUE(INDEX( _xlfn._xlws.SORT(INDEX(xlFOCUS_ReadJSON($C30, FALSE, , "cand"), {1;2}, {4,11}), 1,-1), 1, 2), ",", ".")</f>
        <v>0</v>
      </c>
      <c r="D73" s="20" cm="1">
        <f t="array" ref="D73">_xlfn.NUMBERVALUE(INDEX( _xlfn._xlws.SORT(INDEX(xlFOCUS_ReadJSON($C30, FALSE, , "cand"), {1;2}, {4,11}), 1,-1), 2, 2), ",", ".")</f>
        <v>0</v>
      </c>
      <c r="E73" s="25">
        <f t="shared" si="0"/>
        <v>366641</v>
      </c>
      <c r="F73" s="26">
        <f t="shared" si="1"/>
        <v>0</v>
      </c>
      <c r="G73" s="20">
        <f t="shared" si="2"/>
        <v>0</v>
      </c>
    </row>
    <row r="74" spans="1:7" x14ac:dyDescent="0.2">
      <c r="A74" s="15" t="s">
        <v>62</v>
      </c>
      <c r="B74" s="15" t="s">
        <v>61</v>
      </c>
      <c r="C74" s="20" cm="1">
        <f t="array" ref="C74">_xlfn.NUMBERVALUE(INDEX( _xlfn._xlws.SORT(INDEX(xlFOCUS_ReadJSON($C31, FALSE, , "cand"), {1;2}, {4,11}), 1,-1), 1, 2), ",", ".")</f>
        <v>0</v>
      </c>
      <c r="D74" s="20" cm="1">
        <f t="array" ref="D74">_xlfn.NUMBERVALUE(INDEX( _xlfn._xlws.SORT(INDEX(xlFOCUS_ReadJSON($C31, FALSE, , "cand"), {1;2}, {4,11}), 1,-1), 2, 2), ",", ".")</f>
        <v>0</v>
      </c>
      <c r="E74" s="25">
        <f t="shared" si="0"/>
        <v>5501284</v>
      </c>
      <c r="F74" s="26">
        <f t="shared" si="1"/>
        <v>0</v>
      </c>
      <c r="G74" s="20">
        <f t="shared" si="2"/>
        <v>0</v>
      </c>
    </row>
    <row r="75" spans="1:7" x14ac:dyDescent="0.2">
      <c r="A75" s="15" t="s">
        <v>64</v>
      </c>
      <c r="B75" s="15" t="s">
        <v>63</v>
      </c>
      <c r="C75" s="20" cm="1">
        <f t="array" ref="C75">_xlfn.NUMBERVALUE(INDEX( _xlfn._xlws.SORT(INDEX(xlFOCUS_ReadJSON($C32, FALSE, , "cand"), {1;2}, {4,11}), 1,-1), 1, 2), ",", ".")</f>
        <v>0</v>
      </c>
      <c r="D75" s="20" cm="1">
        <f t="array" ref="D75">_xlfn.NUMBERVALUE(INDEX( _xlfn._xlws.SORT(INDEX(xlFOCUS_ReadJSON($C32, FALSE, , "cand"), {1;2}, {4,11}), 1,-1), 2, 2), ",", ".")</f>
        <v>0</v>
      </c>
      <c r="E75" s="25">
        <f t="shared" si="0"/>
        <v>34684876</v>
      </c>
      <c r="F75" s="26">
        <f t="shared" si="1"/>
        <v>0</v>
      </c>
      <c r="G75" s="20">
        <f t="shared" si="2"/>
        <v>0</v>
      </c>
    </row>
    <row r="76" spans="1:7" x14ac:dyDescent="0.2">
      <c r="A76" s="15" t="s">
        <v>66</v>
      </c>
      <c r="B76" s="15" t="s">
        <v>65</v>
      </c>
      <c r="C76" s="20" cm="1">
        <f t="array" ref="C76">_xlfn.NUMBERVALUE(INDEX( _xlfn._xlws.SORT(INDEX(xlFOCUS_ReadJSON($C33, FALSE, , "cand"), {1;2}, {4,11}), 1,-1), 1, 2), ",", ".")</f>
        <v>0</v>
      </c>
      <c r="D76" s="20" cm="1">
        <f t="array" ref="D76">_xlfn.NUMBERVALUE(INDEX( _xlfn._xlws.SORT(INDEX(xlFOCUS_ReadJSON($C33, FALSE, , "cand"), {1;2}, {4,11}), 1,-1), 2, 2), ",", ".")</f>
        <v>0</v>
      </c>
      <c r="E76" s="25">
        <f t="shared" si="0"/>
        <v>1671241</v>
      </c>
      <c r="F76" s="26">
        <f t="shared" si="1"/>
        <v>0</v>
      </c>
      <c r="G76" s="20">
        <f t="shared" si="2"/>
        <v>0</v>
      </c>
    </row>
    <row r="77" spans="1:7" x14ac:dyDescent="0.2">
      <c r="A77" s="15" t="s">
        <v>68</v>
      </c>
      <c r="B77" s="15" t="s">
        <v>67</v>
      </c>
      <c r="C77" s="20" cm="1">
        <f t="array" ref="C77">_xlfn.NUMBERVALUE(INDEX( _xlfn._xlws.SORT(INDEX(xlFOCUS_ReadJSON($C34, FALSE, , "cand"), {1;2}, {4,11}), 1,-1), 1, 2), ",", ".")</f>
        <v>0</v>
      </c>
      <c r="D77" s="20" cm="1">
        <f t="array" ref="D77">_xlfn.NUMBERVALUE(INDEX( _xlfn._xlws.SORT(INDEX(xlFOCUS_ReadJSON($C34, FALSE, , "cand"), {1;2}, {4,11}), 1,-1), 2, 2), ",", ".")</f>
        <v>0</v>
      </c>
      <c r="E77" s="25">
        <f t="shared" si="0"/>
        <v>1094302</v>
      </c>
      <c r="F77" s="26">
        <f t="shared" si="1"/>
        <v>0</v>
      </c>
      <c r="G77" s="20">
        <f t="shared" si="2"/>
        <v>0</v>
      </c>
    </row>
    <row r="78" spans="1:7" x14ac:dyDescent="0.2">
      <c r="A78" s="16" t="s">
        <v>70</v>
      </c>
      <c r="B78" s="16" t="s">
        <v>69</v>
      </c>
      <c r="C78" s="21" cm="1">
        <f t="array" ref="C78">_xlfn.NUMBERVALUE(INDEX( _xlfn._xlws.SORT(INDEX(xlFOCUS_ReadJSON($C35, FALSE, , "cand"), {1;2}, {4,11}), 1,-1), 1, 2), ",", ".")</f>
        <v>0</v>
      </c>
      <c r="D78" s="21" cm="1">
        <f t="array" ref="D78">_xlfn.NUMBERVALUE(INDEX( _xlfn._xlws.SORT(INDEX(xlFOCUS_ReadJSON($C35, FALSE, , "cand"), {1;2}, {4,11}), 1,-1), 2, 2), ",", ".")</f>
        <v>0</v>
      </c>
      <c r="E78" s="25">
        <f t="shared" si="0"/>
        <v>2207628</v>
      </c>
      <c r="F78" s="26">
        <f t="shared" si="1"/>
        <v>0</v>
      </c>
      <c r="G78" s="20">
        <f t="shared" si="2"/>
        <v>0</v>
      </c>
    </row>
  </sheetData>
  <mergeCells count="8">
    <mergeCell ref="R1:T1"/>
    <mergeCell ref="U1:V1"/>
    <mergeCell ref="X1:Y1"/>
    <mergeCell ref="Z1:AA1"/>
    <mergeCell ref="G1:J1"/>
    <mergeCell ref="N43:N44"/>
    <mergeCell ref="O43:O44"/>
    <mergeCell ref="M1:P1"/>
  </mergeCells>
  <dataValidations count="1">
    <dataValidation type="list" allowBlank="1" showInputMessage="1" showErrorMessage="1" sqref="Z1:AA1" xr:uid="{20A9A183-AE7D-4DBB-97C7-C9861F9794FD}">
      <formula1>"Ativada, Desativada"</formula1>
    </dataValidation>
  </dataValidations>
  <hyperlinks>
    <hyperlink ref="A4" r:id="rId1" xr:uid="{4A1F45B2-EF6C-431A-9239-1917E013BB5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eja_Vu">
                <anchor>
                  <from>
                    <xdr:col>16</xdr:col>
                    <xdr:colOff>428625</xdr:colOff>
                    <xdr:row>46</xdr:row>
                    <xdr:rowOff>9525</xdr:rowOff>
                  </from>
                  <to>
                    <xdr:col>18</xdr:col>
                    <xdr:colOff>352425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top_Deja_Vu">
                <anchor>
                  <from>
                    <xdr:col>18</xdr:col>
                    <xdr:colOff>533400</xdr:colOff>
                    <xdr:row>45</xdr:row>
                    <xdr:rowOff>142875</xdr:rowOff>
                  </from>
                  <to>
                    <xdr:col>20</xdr:col>
                    <xdr:colOff>457200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35721D-C877-4AF3-BDEF-FA96435BB5BD}">
          <x14:formula1>
            <xm:f>Listas!$G$16:$H$16</xm:f>
          </x14:formula1>
          <xm:sqref>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0007B-527D-489E-9BED-09747A4F49E4}">
  <sheetPr codeName="Planilha5"/>
  <dimension ref="A1:X20"/>
  <sheetViews>
    <sheetView showGridLines="0" zoomScale="85" zoomScaleNormal="85" workbookViewId="0">
      <selection activeCell="R16" sqref="R16"/>
    </sheetView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6" style="4" customWidth="1"/>
    <col min="11" max="11" width="9.140625" style="4"/>
    <col min="12" max="12" width="10.28515625" style="4" bestFit="1" customWidth="1"/>
    <col min="13" max="13" width="9.140625" style="4"/>
    <col min="14" max="14" width="11.7109375" style="4" customWidth="1"/>
    <col min="15" max="15" width="14.5703125" style="4" customWidth="1"/>
    <col min="16" max="16384" width="9.140625" style="4"/>
  </cols>
  <sheetData>
    <row r="1" spans="1:24" ht="18" x14ac:dyDescent="0.25">
      <c r="A1" s="7" t="s">
        <v>90</v>
      </c>
      <c r="E1" s="27" t="str">
        <f>VLOOKUP(F1, Listas!$D$3:$E$13, 2)</f>
        <v>MS</v>
      </c>
      <c r="F1" s="29" t="s">
        <v>37</v>
      </c>
      <c r="G1" s="29"/>
      <c r="I1" s="31" t="s">
        <v>100</v>
      </c>
      <c r="J1" s="32" t="str">
        <f>IF( (E17-E18) &gt; L17, B17, IF( (E18-E17) &gt; L17, B18, "INDEFINIDO"))</f>
        <v>INDEFINIDO</v>
      </c>
      <c r="K1" s="32"/>
      <c r="L1" s="32"/>
      <c r="N1" s="31" t="s">
        <v>106</v>
      </c>
      <c r="O1" s="32" t="str">
        <f>IF(E17&gt;E18,B17,IF(E18&gt;E17,B18,"INDEFINIDO"))</f>
        <v>INDEFINIDO</v>
      </c>
      <c r="P1" s="32"/>
      <c r="Q1" s="32"/>
      <c r="R1" s="32"/>
      <c r="T1" s="46" t="s">
        <v>116</v>
      </c>
      <c r="U1" s="46"/>
      <c r="V1" s="46"/>
      <c r="W1" s="32" t="str">
        <f>IF(ISERROR(json_br), "Fora de serviço", "Ativa")</f>
        <v>Ativa</v>
      </c>
      <c r="X1" s="32"/>
    </row>
    <row r="3" spans="1:24" s="2" customFormat="1" x14ac:dyDescent="0.2">
      <c r="A3" s="1" t="s">
        <v>0</v>
      </c>
    </row>
    <row r="4" spans="1:24" ht="15" x14ac:dyDescent="0.25">
      <c r="A4" s="3" t="str">
        <f>SUBSTITUTE("https://resultados.tse.jus.br/oficial/ele2022/547/dados-simplificados/al/al-c0003-e000547-r.json", "/al/al-", "/"&amp;LOWER($E$1)&amp;"/"&amp;LOWER($E$1)&amp;"-")</f>
        <v>https://resultados.tse.jus.br/oficial/ele2022/547/dados-simplificados/ms/ms-c0003-e000547-r.json</v>
      </c>
    </row>
    <row r="6" spans="1:24" s="2" customFormat="1" x14ac:dyDescent="0.2">
      <c r="A6" s="1" t="s">
        <v>1</v>
      </c>
    </row>
    <row r="7" spans="1:24" x14ac:dyDescent="0.2">
      <c r="A7" s="4" t="str" cm="1">
        <f t="array" ref="A7">xlFOCUS_WEBSERVICE(A4)</f>
        <v xml:space="preserve">
{ "ele" : "547", "tpabr" : "uf", "cdabr" : "MS", "carper" : "3", "md" : "N", "t" : "2", "f" : "o", "dg" : "28/10/2022", "hg" : "10:57:04", "dt" : "", "ht" : "", "dv" : "s", "tf" : "n", "v" : "1", "esae" : "n", "mnae" : "", "s" : "6912", "st" : "0", "pst" : "0,00", "snt" : "6912", "psnt" : "100,00", "si" : "0", "psi" : "0,00", "sni" : "0", "psni" : "0,00", "sa" : "0", "psa" : "0,00", "sna" : "0", "psna" : "0,00", "e" : "1993450",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"120001635628", "n" : "45", "nm" : "EDUARDO RIEDEL", "cc" : "PSDB - Federação PSDB Cidadania (PSDB\/CIDADANIA) \/ REPUBLICANOS \/ PP \/ PSB \/ PL \/ PDT", "nv" : "BARBOSINHA", "e" : "n", "st" : "", "dvt" : "Válido", "vap" : "0", "pvap" : "00,00" }, 
{ "seq" : "2", "sqcand" : "120001714229", "n" : "28", "nm" : "CAPITÃO CONTAR", "cc" : "PRTB - AVANTE \/ PRTB", "nv" : "BETO FIGUEIRÓ", "e" : "n", "st" : "", "dvt" : "Válido", "vap" : "0", "pvap" : "00,00" } ] }</v>
      </c>
    </row>
    <row r="9" spans="1:24" s="2" customFormat="1" x14ac:dyDescent="0.2">
      <c r="A9" s="1" t="s">
        <v>10</v>
      </c>
    </row>
    <row r="10" spans="1:24" s="2" customFormat="1" x14ac:dyDescent="0.2">
      <c r="A10" s="1" t="s">
        <v>6</v>
      </c>
      <c r="B10" s="1" t="s">
        <v>7</v>
      </c>
      <c r="C10" s="1" t="s">
        <v>2</v>
      </c>
      <c r="D10" s="1" t="s">
        <v>3</v>
      </c>
      <c r="E10" s="1" t="s">
        <v>4</v>
      </c>
      <c r="F10" s="1" t="s">
        <v>5</v>
      </c>
      <c r="G10" s="1"/>
      <c r="H10" s="1"/>
      <c r="I10" s="1"/>
      <c r="J10" s="1" t="s">
        <v>9</v>
      </c>
      <c r="K10" s="1" t="s">
        <v>8</v>
      </c>
    </row>
    <row r="11" spans="1:24" x14ac:dyDescent="0.2">
      <c r="A11" s="4" t="str" cm="1">
        <f t="array" ref="A11:K12">xlFOCUS_ReadJSON(A7,FALSE,,"cand")</f>
        <v>1</v>
      </c>
      <c r="B11" s="4" t="str">
        <v>120001635628</v>
      </c>
      <c r="C11" s="4" t="str">
        <v>45</v>
      </c>
      <c r="D11" s="4" t="str">
        <v>EDUARDO RIEDEL</v>
      </c>
      <c r="E11" s="4" t="str">
        <v>PSDB - Federação PSDB Cidadania (PSDB/CIDADANIA) / REPUBLICANOS / PP / PSB / PL / PDT</v>
      </c>
      <c r="F11" s="4" t="str">
        <v>BARBOSINHA</v>
      </c>
      <c r="G11" s="4" t="str">
        <v>n</v>
      </c>
      <c r="H11" s="4" t="str">
        <v/>
      </c>
      <c r="I11" s="4" t="str">
        <v>Válido</v>
      </c>
      <c r="J11" s="4" t="str">
        <v>0</v>
      </c>
      <c r="K11" s="4" t="str">
        <v>00,00</v>
      </c>
    </row>
    <row r="12" spans="1:24" x14ac:dyDescent="0.2">
      <c r="A12" s="4" t="str">
        <v>2</v>
      </c>
      <c r="B12" s="4" t="str">
        <v>120001714229</v>
      </c>
      <c r="C12" s="4" t="str">
        <v>28</v>
      </c>
      <c r="D12" s="4" t="str">
        <v>CAPITÃO CONTAR</v>
      </c>
      <c r="E12" s="4" t="str">
        <v>PRTB - AVANTE / PRTB</v>
      </c>
      <c r="F12" s="4" t="str">
        <v>BETO FIGUEIRÓ</v>
      </c>
      <c r="G12" s="4" t="str">
        <v>n</v>
      </c>
      <c r="H12" s="4" t="str">
        <v/>
      </c>
      <c r="I12" s="4" t="str">
        <v>Válido</v>
      </c>
      <c r="J12" s="4" t="str">
        <v>0</v>
      </c>
      <c r="K12" s="4" t="str">
        <v>00,00</v>
      </c>
    </row>
    <row r="15" spans="1:24" x14ac:dyDescent="0.2">
      <c r="A15" s="1" t="s">
        <v>11</v>
      </c>
      <c r="B15" s="2"/>
      <c r="C15" s="2"/>
      <c r="D15" s="2"/>
      <c r="E15" s="2"/>
      <c r="F15" s="2"/>
      <c r="G15" s="2" t="s">
        <v>88</v>
      </c>
      <c r="I15" s="1" t="s">
        <v>84</v>
      </c>
      <c r="J15" s="2"/>
      <c r="K15" s="2"/>
      <c r="L15" s="2"/>
      <c r="M15" s="2"/>
      <c r="N15" s="35" t="s">
        <v>103</v>
      </c>
      <c r="O15" s="35" t="s">
        <v>102</v>
      </c>
    </row>
    <row r="16" spans="1:24" ht="15" x14ac:dyDescent="0.25">
      <c r="A16" s="1" t="s">
        <v>2</v>
      </c>
      <c r="B16" s="1" t="s">
        <v>3</v>
      </c>
      <c r="C16" s="1" t="s">
        <v>13</v>
      </c>
      <c r="D16" s="1" t="s">
        <v>5</v>
      </c>
      <c r="E16" s="1" t="s">
        <v>9</v>
      </c>
      <c r="F16" s="1" t="s">
        <v>8</v>
      </c>
      <c r="G16" s="19" t="s">
        <v>12</v>
      </c>
      <c r="I16" s="23" t="s">
        <v>85</v>
      </c>
      <c r="J16" s="24" t="s">
        <v>87</v>
      </c>
      <c r="K16" s="24" t="s">
        <v>86</v>
      </c>
      <c r="L16" s="24" t="s">
        <v>99</v>
      </c>
      <c r="M16" s="24" t="s">
        <v>86</v>
      </c>
      <c r="N16" s="35"/>
      <c r="O16" s="35"/>
    </row>
    <row r="17" spans="1:15" x14ac:dyDescent="0.2">
      <c r="A17" s="4" t="str" cm="1">
        <f t="array" ref="A17:A18">C11:C12</f>
        <v>45</v>
      </c>
      <c r="B17" s="4" t="str" cm="1">
        <f t="array" ref="B17:B18">SUBSTITUTE(D11:D12, "&amp;apos;", "'")</f>
        <v>EDUARDO RIEDEL</v>
      </c>
      <c r="C17" s="4" t="str" cm="1">
        <f t="array" ref="C17:C18">LEFT(E11:E12, IF(ISERROR(FIND(" ",E11:E12)-1), 999, FIND(" ",E11:E12)-1))</f>
        <v>PSDB</v>
      </c>
      <c r="D17" s="4" t="str" cm="1">
        <f t="array" ref="D17:D18">SUBSTITUTE(F11:F12, "&amp;apóo;", "'")</f>
        <v>BARBOSINHA</v>
      </c>
      <c r="E17" s="4" cm="1">
        <f t="array" ref="E17:E18">_xlfn.NUMBERVALUE(J11:J12,",",".")</f>
        <v>0</v>
      </c>
      <c r="F17" s="6" cm="1">
        <f t="array" ref="F17:F18">_xlfn.NUMBERVALUE(K11:K12,",",".")</f>
        <v>0</v>
      </c>
      <c r="G17" s="5" cm="1">
        <f t="array" ref="G17">INDEX(Listas!$G$1:$J$12, 2 + MATCH($E$1, Listas!$E$3:$E$13,0 ), IF($B$17&lt;=$B$18, 0, COUNTA(Listas!$G$2:$H$2)) + MATCH($G$16,Listas!$G$2:$H$2,0 ))</f>
        <v>0</v>
      </c>
      <c r="I17" s="25">
        <f>_xlfn.NUMBERVALUE( VLOOKUP( "e", xlFOCUS_ReadJSON($A$7,FALSE), 2, 0), ",", ".")</f>
        <v>1993450</v>
      </c>
      <c r="J17" s="25">
        <f>_xlfn.NUMBERVALUE( VLOOKUP( "ea", xlFOCUS_ReadJSON($A$7,FALSE), 2, 0), ",", ".")</f>
        <v>0</v>
      </c>
      <c r="K17" s="4">
        <f>_xlfn.NUMBERVALUE( VLOOKUP( "pea", xlFOCUS_ReadJSON($A$7,FALSE), 2, 0), ",", ".")</f>
        <v>0</v>
      </c>
      <c r="L17" s="25">
        <f>I17-J17</f>
        <v>1993450</v>
      </c>
      <c r="M17" s="6">
        <f>100-K17</f>
        <v>100</v>
      </c>
      <c r="N17" s="25">
        <f>ABS(E17-E18)</f>
        <v>0</v>
      </c>
      <c r="O17" s="6">
        <f>N17/L17*100</f>
        <v>0</v>
      </c>
    </row>
    <row r="18" spans="1:15" x14ac:dyDescent="0.2">
      <c r="A18" s="4" t="str">
        <v>28</v>
      </c>
      <c r="B18" s="4" t="str">
        <v>CAPITÃO CONTAR</v>
      </c>
      <c r="C18" s="4" t="str">
        <v>PRTB</v>
      </c>
      <c r="D18" s="4" t="str">
        <v>BETO FIGUEIRÓ</v>
      </c>
      <c r="E18" s="4">
        <v>0</v>
      </c>
      <c r="F18" s="6">
        <v>0</v>
      </c>
      <c r="G18" s="5" cm="1">
        <f t="array" ref="G18">INDEX(Listas!$G$1:$J$12, 2 + MATCH($E$1, Listas!$E$3:$E$13,0 ), IF($B$18&lt;=$B$17, 0, COUNTA(Listas!$G$2:$H$2)) + MATCH($G$16,Listas!$G$2:$H$2,0 ))</f>
        <v>0</v>
      </c>
    </row>
    <row r="19" spans="1:15" x14ac:dyDescent="0.2">
      <c r="F19" s="6"/>
      <c r="G19" s="5"/>
    </row>
    <row r="20" spans="1:15" x14ac:dyDescent="0.2">
      <c r="F20" s="6"/>
      <c r="G20" s="5"/>
    </row>
  </sheetData>
  <mergeCells count="7">
    <mergeCell ref="T1:V1"/>
    <mergeCell ref="W1:X1"/>
    <mergeCell ref="F1:G1"/>
    <mergeCell ref="J1:L1"/>
    <mergeCell ref="N15:N16"/>
    <mergeCell ref="O15:O16"/>
    <mergeCell ref="O1:R1"/>
  </mergeCells>
  <dataValidations count="1">
    <dataValidation type="list" allowBlank="1" showInputMessage="1" showErrorMessage="1" sqref="F1:G1" xr:uid="{CBC12392-7844-4D59-9485-BFAA56737ED2}">
      <formula1>Estados_2T</formula1>
    </dataValidation>
  </dataValidations>
  <hyperlinks>
    <hyperlink ref="A4" r:id="rId1" display="https://resultados.tse.jus.br/oficial/ele2022/547/dados-simplificados/al/al-c0003-e000547-r.json" xr:uid="{298ADA45-2B1B-433A-AD29-ED036C9465ED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Deja_Vu">
                <anchor>
                  <from>
                    <xdr:col>4</xdr:col>
                    <xdr:colOff>723900</xdr:colOff>
                    <xdr:row>21</xdr:row>
                    <xdr:rowOff>76200</xdr:rowOff>
                  </from>
                  <to>
                    <xdr:col>6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Stop_Deja_Vu">
                <anchor>
                  <from>
                    <xdr:col>6</xdr:col>
                    <xdr:colOff>428625</xdr:colOff>
                    <xdr:row>21</xdr:row>
                    <xdr:rowOff>57150</xdr:rowOff>
                  </from>
                  <to>
                    <xdr:col>8</xdr:col>
                    <xdr:colOff>371475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C027E5-4EBA-4A94-A512-439A9E0ACADD}">
          <x14:formula1>
            <xm:f>Listas!$G$16:$H$16</xm:f>
          </x14:formula1>
          <xm:sqref>G16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F296-4EA1-4B9E-AB2D-B1AD3119CA63}">
  <sheetPr codeName="Sheet2">
    <pageSetUpPr autoPageBreaks="0"/>
  </sheetPr>
  <dimension ref="A1:C422"/>
  <sheetViews>
    <sheetView workbookViewId="0">
      <pane ySplit="1" topLeftCell="A2" activePane="bottomLeft" state="frozen"/>
      <selection pane="bottomLeft" activeCell="C2" sqref="C2"/>
    </sheetView>
  </sheetViews>
  <sheetFormatPr defaultColWidth="0" defaultRowHeight="15" zeroHeight="1" x14ac:dyDescent="0.25"/>
  <cols>
    <col min="1" max="1" width="10" style="40" customWidth="1"/>
    <col min="2" max="3" width="20.28515625" style="38" customWidth="1"/>
    <col min="4" max="16384" width="9.140625" hidden="1"/>
  </cols>
  <sheetData>
    <row r="1" spans="1:3" x14ac:dyDescent="0.25">
      <c r="A1" s="39" t="s">
        <v>109</v>
      </c>
      <c r="B1" s="37" t="s">
        <v>80</v>
      </c>
      <c r="C1" s="37" t="s">
        <v>79</v>
      </c>
    </row>
    <row r="2" spans="1:3" x14ac:dyDescent="0.25">
      <c r="A2" s="40">
        <v>0.70833333333333337</v>
      </c>
    </row>
    <row r="3" spans="1:3" x14ac:dyDescent="0.25">
      <c r="A3" s="40">
        <v>0.7090277777777777</v>
      </c>
    </row>
    <row r="4" spans="1:3" x14ac:dyDescent="0.25">
      <c r="A4" s="40">
        <v>0.70972222222222203</v>
      </c>
    </row>
    <row r="5" spans="1:3" x14ac:dyDescent="0.25">
      <c r="A5" s="40">
        <v>0.71041666666666603</v>
      </c>
    </row>
    <row r="6" spans="1:3" x14ac:dyDescent="0.25">
      <c r="A6" s="40">
        <v>0.71111111111111103</v>
      </c>
    </row>
    <row r="7" spans="1:3" x14ac:dyDescent="0.25">
      <c r="A7" s="40">
        <v>0.71180555555555503</v>
      </c>
    </row>
    <row r="8" spans="1:3" x14ac:dyDescent="0.25">
      <c r="A8" s="40">
        <v>0.71249999999999902</v>
      </c>
    </row>
    <row r="9" spans="1:3" x14ac:dyDescent="0.25">
      <c r="A9" s="40">
        <v>0.71319444444444402</v>
      </c>
    </row>
    <row r="10" spans="1:3" x14ac:dyDescent="0.25">
      <c r="A10" s="40">
        <v>0.71388888888888802</v>
      </c>
    </row>
    <row r="11" spans="1:3" x14ac:dyDescent="0.25">
      <c r="A11" s="40">
        <v>0.71458333333333202</v>
      </c>
    </row>
    <row r="12" spans="1:3" x14ac:dyDescent="0.25">
      <c r="A12" s="40">
        <v>0.71527777777777701</v>
      </c>
    </row>
    <row r="13" spans="1:3" x14ac:dyDescent="0.25">
      <c r="A13" s="40">
        <v>0.71597222222222101</v>
      </c>
    </row>
    <row r="14" spans="1:3" x14ac:dyDescent="0.25">
      <c r="A14" s="40">
        <v>0.71666666666666501</v>
      </c>
    </row>
    <row r="15" spans="1:3" x14ac:dyDescent="0.25">
      <c r="A15" s="40">
        <v>0.71736111111111001</v>
      </c>
    </row>
    <row r="16" spans="1:3" x14ac:dyDescent="0.25">
      <c r="A16" s="40">
        <v>0.718055555555554</v>
      </c>
    </row>
    <row r="17" spans="1:1" x14ac:dyDescent="0.25">
      <c r="A17" s="40">
        <v>0.718749999999998</v>
      </c>
    </row>
    <row r="18" spans="1:1" x14ac:dyDescent="0.25">
      <c r="A18" s="40">
        <v>0.719444444444443</v>
      </c>
    </row>
    <row r="19" spans="1:1" x14ac:dyDescent="0.25">
      <c r="A19" s="40">
        <v>0.720138888888887</v>
      </c>
    </row>
    <row r="20" spans="1:1" x14ac:dyDescent="0.25">
      <c r="A20" s="40">
        <v>0.72083333333333099</v>
      </c>
    </row>
    <row r="21" spans="1:1" x14ac:dyDescent="0.25">
      <c r="A21" s="40">
        <v>0.72152777777777599</v>
      </c>
    </row>
    <row r="22" spans="1:1" x14ac:dyDescent="0.25">
      <c r="A22" s="40">
        <v>0.72222222222221999</v>
      </c>
    </row>
    <row r="23" spans="1:1" x14ac:dyDescent="0.25">
      <c r="A23" s="40">
        <v>0.72291666666666399</v>
      </c>
    </row>
    <row r="24" spans="1:1" x14ac:dyDescent="0.25">
      <c r="A24" s="40">
        <v>0.72361111111110898</v>
      </c>
    </row>
    <row r="25" spans="1:1" x14ac:dyDescent="0.25">
      <c r="A25" s="40">
        <v>0.72430555555555298</v>
      </c>
    </row>
    <row r="26" spans="1:1" x14ac:dyDescent="0.25">
      <c r="A26" s="40">
        <v>0.72499999999999698</v>
      </c>
    </row>
    <row r="27" spans="1:1" x14ac:dyDescent="0.25">
      <c r="A27" s="40">
        <v>0.72569444444444198</v>
      </c>
    </row>
    <row r="28" spans="1:1" x14ac:dyDescent="0.25">
      <c r="A28" s="40">
        <v>0.72638888888888598</v>
      </c>
    </row>
    <row r="29" spans="1:1" x14ac:dyDescent="0.25">
      <c r="A29" s="40">
        <v>0.72708333333332997</v>
      </c>
    </row>
    <row r="30" spans="1:1" x14ac:dyDescent="0.25">
      <c r="A30" s="40">
        <v>0.72777777777777497</v>
      </c>
    </row>
    <row r="31" spans="1:1" x14ac:dyDescent="0.25">
      <c r="A31" s="40">
        <v>0.72847222222221897</v>
      </c>
    </row>
    <row r="32" spans="1:1" x14ac:dyDescent="0.25">
      <c r="A32" s="40">
        <v>0.72916666666666297</v>
      </c>
    </row>
    <row r="33" spans="1:1" x14ac:dyDescent="0.25">
      <c r="A33" s="40">
        <v>0.72986111111110796</v>
      </c>
    </row>
    <row r="34" spans="1:1" x14ac:dyDescent="0.25">
      <c r="A34" s="40">
        <v>0.73055555555555196</v>
      </c>
    </row>
    <row r="35" spans="1:1" x14ac:dyDescent="0.25">
      <c r="A35" s="40">
        <v>0.73124999999999596</v>
      </c>
    </row>
    <row r="36" spans="1:1" x14ac:dyDescent="0.25">
      <c r="A36" s="40">
        <v>0.73194444444444096</v>
      </c>
    </row>
    <row r="37" spans="1:1" x14ac:dyDescent="0.25">
      <c r="A37" s="40">
        <v>0.73263888888888495</v>
      </c>
    </row>
    <row r="38" spans="1:1" x14ac:dyDescent="0.25">
      <c r="A38" s="40">
        <v>0.73333333333332895</v>
      </c>
    </row>
    <row r="39" spans="1:1" x14ac:dyDescent="0.25">
      <c r="A39" s="40">
        <v>0.73402777777777395</v>
      </c>
    </row>
    <row r="40" spans="1:1" x14ac:dyDescent="0.25">
      <c r="A40" s="40">
        <v>0.73472222222221795</v>
      </c>
    </row>
    <row r="41" spans="1:1" x14ac:dyDescent="0.25">
      <c r="A41" s="40">
        <v>0.73541666666666194</v>
      </c>
    </row>
    <row r="42" spans="1:1" x14ac:dyDescent="0.25">
      <c r="A42" s="40">
        <v>0.73611111111110705</v>
      </c>
    </row>
    <row r="43" spans="1:1" x14ac:dyDescent="0.25">
      <c r="A43" s="40">
        <v>0.73680555555555105</v>
      </c>
    </row>
    <row r="44" spans="1:1" x14ac:dyDescent="0.25">
      <c r="A44" s="40">
        <v>0.73749999999999505</v>
      </c>
    </row>
    <row r="45" spans="1:1" x14ac:dyDescent="0.25">
      <c r="A45" s="40">
        <v>0.73819444444444005</v>
      </c>
    </row>
    <row r="46" spans="1:1" x14ac:dyDescent="0.25">
      <c r="A46" s="40">
        <v>0.73888888888888404</v>
      </c>
    </row>
    <row r="47" spans="1:1" x14ac:dyDescent="0.25">
      <c r="A47" s="40">
        <v>0.73958333333332804</v>
      </c>
    </row>
    <row r="48" spans="1:1" x14ac:dyDescent="0.25">
      <c r="A48" s="40">
        <v>0.74027777777777304</v>
      </c>
    </row>
    <row r="49" spans="1:1" x14ac:dyDescent="0.25">
      <c r="A49" s="40">
        <v>0.74097222222221704</v>
      </c>
    </row>
    <row r="50" spans="1:1" x14ac:dyDescent="0.25">
      <c r="A50" s="40">
        <v>0.74166666666666103</v>
      </c>
    </row>
    <row r="51" spans="1:1" x14ac:dyDescent="0.25">
      <c r="A51" s="40">
        <v>0.74236111111110603</v>
      </c>
    </row>
    <row r="52" spans="1:1" x14ac:dyDescent="0.25">
      <c r="A52" s="40">
        <v>0.74305555555555003</v>
      </c>
    </row>
    <row r="53" spans="1:1" x14ac:dyDescent="0.25">
      <c r="A53" s="40">
        <v>0.74374999999999403</v>
      </c>
    </row>
    <row r="54" spans="1:1" x14ac:dyDescent="0.25">
      <c r="A54" s="40">
        <v>0.74444444444443902</v>
      </c>
    </row>
    <row r="55" spans="1:1" x14ac:dyDescent="0.25">
      <c r="A55" s="40">
        <v>0.74513888888888302</v>
      </c>
    </row>
    <row r="56" spans="1:1" x14ac:dyDescent="0.25">
      <c r="A56" s="40">
        <v>0.74583333333332702</v>
      </c>
    </row>
    <row r="57" spans="1:1" x14ac:dyDescent="0.25">
      <c r="A57" s="40">
        <v>0.74652777777777202</v>
      </c>
    </row>
    <row r="58" spans="1:1" x14ac:dyDescent="0.25">
      <c r="A58" s="40">
        <v>0.74722222222221601</v>
      </c>
    </row>
    <row r="59" spans="1:1" x14ac:dyDescent="0.25">
      <c r="A59" s="40">
        <v>0.74791666666666001</v>
      </c>
    </row>
    <row r="60" spans="1:1" x14ac:dyDescent="0.25">
      <c r="A60" s="40">
        <v>0.74861111111110501</v>
      </c>
    </row>
    <row r="61" spans="1:1" x14ac:dyDescent="0.25">
      <c r="A61" s="40">
        <v>0.74930555555554901</v>
      </c>
    </row>
    <row r="62" spans="1:1" x14ac:dyDescent="0.25">
      <c r="A62" s="40">
        <v>0.74999999999999301</v>
      </c>
    </row>
    <row r="63" spans="1:1" x14ac:dyDescent="0.25">
      <c r="A63" s="40">
        <v>0.750694444444438</v>
      </c>
    </row>
    <row r="64" spans="1:1" x14ac:dyDescent="0.25">
      <c r="A64" s="40">
        <v>0.751388888888882</v>
      </c>
    </row>
    <row r="65" spans="1:1" x14ac:dyDescent="0.25">
      <c r="A65" s="40">
        <v>0.752083333333326</v>
      </c>
    </row>
    <row r="66" spans="1:1" x14ac:dyDescent="0.25">
      <c r="A66" s="40">
        <v>0.752777777777771</v>
      </c>
    </row>
    <row r="67" spans="1:1" x14ac:dyDescent="0.25">
      <c r="A67" s="40">
        <v>0.75347222222221499</v>
      </c>
    </row>
    <row r="68" spans="1:1" x14ac:dyDescent="0.25">
      <c r="A68" s="40">
        <v>0.75416666666665899</v>
      </c>
    </row>
    <row r="69" spans="1:1" x14ac:dyDescent="0.25">
      <c r="A69" s="40">
        <v>0.75486111111110399</v>
      </c>
    </row>
    <row r="70" spans="1:1" x14ac:dyDescent="0.25">
      <c r="A70" s="40">
        <v>0.75555555555554799</v>
      </c>
    </row>
    <row r="71" spans="1:1" x14ac:dyDescent="0.25">
      <c r="A71" s="40">
        <v>0.75624999999999198</v>
      </c>
    </row>
    <row r="72" spans="1:1" x14ac:dyDescent="0.25">
      <c r="A72" s="40">
        <v>0.75694444444443698</v>
      </c>
    </row>
    <row r="73" spans="1:1" x14ac:dyDescent="0.25">
      <c r="A73" s="40">
        <v>0.75763888888888098</v>
      </c>
    </row>
    <row r="74" spans="1:1" x14ac:dyDescent="0.25">
      <c r="A74" s="40">
        <v>0.75833333333332498</v>
      </c>
    </row>
    <row r="75" spans="1:1" x14ac:dyDescent="0.25">
      <c r="A75" s="40">
        <v>0.75902777777776997</v>
      </c>
    </row>
    <row r="76" spans="1:1" x14ac:dyDescent="0.25">
      <c r="A76" s="40">
        <v>0.75972222222221397</v>
      </c>
    </row>
    <row r="77" spans="1:1" x14ac:dyDescent="0.25">
      <c r="A77" s="40">
        <v>0.76041666666665797</v>
      </c>
    </row>
    <row r="78" spans="1:1" x14ac:dyDescent="0.25">
      <c r="A78" s="40">
        <v>0.76111111111110297</v>
      </c>
    </row>
    <row r="79" spans="1:1" x14ac:dyDescent="0.25">
      <c r="A79" s="40">
        <v>0.76180555555554696</v>
      </c>
    </row>
    <row r="80" spans="1:1" x14ac:dyDescent="0.25">
      <c r="A80" s="40">
        <v>0.76249999999999096</v>
      </c>
    </row>
    <row r="81" spans="1:1" x14ac:dyDescent="0.25">
      <c r="A81" s="40">
        <v>0.76319444444443596</v>
      </c>
    </row>
    <row r="82" spans="1:1" x14ac:dyDescent="0.25">
      <c r="A82" s="40">
        <v>0.76388888888887996</v>
      </c>
    </row>
    <row r="83" spans="1:1" x14ac:dyDescent="0.25">
      <c r="A83" s="40">
        <v>0.76458333333332396</v>
      </c>
    </row>
    <row r="84" spans="1:1" x14ac:dyDescent="0.25">
      <c r="A84" s="40">
        <v>0.76527777777776895</v>
      </c>
    </row>
    <row r="85" spans="1:1" x14ac:dyDescent="0.25">
      <c r="A85" s="40">
        <v>0.76597222222221295</v>
      </c>
    </row>
    <row r="86" spans="1:1" x14ac:dyDescent="0.25">
      <c r="A86" s="40">
        <v>0.76666666666665695</v>
      </c>
    </row>
    <row r="87" spans="1:1" x14ac:dyDescent="0.25">
      <c r="A87" s="40">
        <v>0.76736111111110195</v>
      </c>
    </row>
    <row r="88" spans="1:1" x14ac:dyDescent="0.25">
      <c r="A88" s="40">
        <v>0.76805555555554605</v>
      </c>
    </row>
    <row r="89" spans="1:1" x14ac:dyDescent="0.25">
      <c r="A89" s="40">
        <v>0.76874999999999005</v>
      </c>
    </row>
    <row r="90" spans="1:1" x14ac:dyDescent="0.25">
      <c r="A90" s="40">
        <v>0.76944444444443405</v>
      </c>
    </row>
    <row r="91" spans="1:1" x14ac:dyDescent="0.25">
      <c r="A91" s="40">
        <v>0.77013888888887905</v>
      </c>
    </row>
    <row r="92" spans="1:1" x14ac:dyDescent="0.25">
      <c r="A92" s="40">
        <v>0.77083333333332305</v>
      </c>
    </row>
    <row r="93" spans="1:1" x14ac:dyDescent="0.25">
      <c r="A93" s="40">
        <v>0.77152777777776704</v>
      </c>
    </row>
    <row r="94" spans="1:1" x14ac:dyDescent="0.25">
      <c r="A94" s="40">
        <v>0.77222222222221204</v>
      </c>
    </row>
    <row r="95" spans="1:1" x14ac:dyDescent="0.25">
      <c r="A95" s="40">
        <v>0.77291666666665604</v>
      </c>
    </row>
    <row r="96" spans="1:1" x14ac:dyDescent="0.25">
      <c r="A96" s="40">
        <v>0.77361111111110004</v>
      </c>
    </row>
    <row r="97" spans="1:1" x14ac:dyDescent="0.25">
      <c r="A97" s="40">
        <v>0.77430555555554503</v>
      </c>
    </row>
    <row r="98" spans="1:1" x14ac:dyDescent="0.25">
      <c r="A98" s="40">
        <v>0.77499999999998903</v>
      </c>
    </row>
    <row r="99" spans="1:1" x14ac:dyDescent="0.25">
      <c r="A99" s="40">
        <v>0.77569444444443303</v>
      </c>
    </row>
    <row r="100" spans="1:1" x14ac:dyDescent="0.25">
      <c r="A100" s="40">
        <v>0.77638888888887803</v>
      </c>
    </row>
    <row r="101" spans="1:1" x14ac:dyDescent="0.25">
      <c r="A101" s="40">
        <v>0.77708333333332202</v>
      </c>
    </row>
    <row r="102" spans="1:1" x14ac:dyDescent="0.25">
      <c r="A102" s="40">
        <v>0.77777777777776602</v>
      </c>
    </row>
    <row r="103" spans="1:1" x14ac:dyDescent="0.25">
      <c r="A103" s="40">
        <v>0.77847222222221102</v>
      </c>
    </row>
    <row r="104" spans="1:1" x14ac:dyDescent="0.25">
      <c r="A104" s="40">
        <v>0.77916666666665502</v>
      </c>
    </row>
    <row r="105" spans="1:1" x14ac:dyDescent="0.25">
      <c r="A105" s="40">
        <v>0.77986111111109901</v>
      </c>
    </row>
    <row r="106" spans="1:1" x14ac:dyDescent="0.25">
      <c r="A106" s="40">
        <v>0.78055555555554401</v>
      </c>
    </row>
    <row r="107" spans="1:1" x14ac:dyDescent="0.25">
      <c r="A107" s="40">
        <v>0.78124999999998801</v>
      </c>
    </row>
    <row r="108" spans="1:1" x14ac:dyDescent="0.25">
      <c r="A108" s="40">
        <v>0.78194444444443201</v>
      </c>
    </row>
    <row r="109" spans="1:1" x14ac:dyDescent="0.25">
      <c r="A109" s="40">
        <v>0.782638888888877</v>
      </c>
    </row>
    <row r="110" spans="1:1" x14ac:dyDescent="0.25">
      <c r="A110" s="40">
        <v>0.783333333333321</v>
      </c>
    </row>
    <row r="111" spans="1:1" x14ac:dyDescent="0.25">
      <c r="A111" s="40">
        <v>0.784027777777765</v>
      </c>
    </row>
    <row r="112" spans="1:1" x14ac:dyDescent="0.25">
      <c r="A112" s="40">
        <v>0.78472222222221</v>
      </c>
    </row>
    <row r="113" spans="1:1" x14ac:dyDescent="0.25">
      <c r="A113" s="40">
        <v>0.785416666666654</v>
      </c>
    </row>
    <row r="114" spans="1:1" x14ac:dyDescent="0.25">
      <c r="A114" s="40">
        <v>0.78611111111109799</v>
      </c>
    </row>
    <row r="115" spans="1:1" x14ac:dyDescent="0.25">
      <c r="A115" s="40">
        <v>0.78680555555554299</v>
      </c>
    </row>
    <row r="116" spans="1:1" x14ac:dyDescent="0.25">
      <c r="A116" s="40">
        <v>0.78749999999998699</v>
      </c>
    </row>
    <row r="117" spans="1:1" x14ac:dyDescent="0.25">
      <c r="A117" s="40">
        <v>0.78819444444443099</v>
      </c>
    </row>
    <row r="118" spans="1:1" x14ac:dyDescent="0.25">
      <c r="A118" s="40">
        <v>0.78888888888887598</v>
      </c>
    </row>
    <row r="119" spans="1:1" x14ac:dyDescent="0.25">
      <c r="A119" s="40">
        <v>0.78958333333331998</v>
      </c>
    </row>
    <row r="120" spans="1:1" x14ac:dyDescent="0.25">
      <c r="A120" s="40">
        <v>0.79027777777776398</v>
      </c>
    </row>
    <row r="121" spans="1:1" x14ac:dyDescent="0.25">
      <c r="A121" s="40">
        <v>0.79097222222220898</v>
      </c>
    </row>
    <row r="122" spans="1:1" x14ac:dyDescent="0.25">
      <c r="A122" s="40">
        <v>0.79166666666665297</v>
      </c>
    </row>
    <row r="123" spans="1:1" x14ac:dyDescent="0.25">
      <c r="A123" s="40">
        <v>0.79236111111109697</v>
      </c>
    </row>
    <row r="124" spans="1:1" x14ac:dyDescent="0.25">
      <c r="A124" s="40">
        <v>0.79305555555554197</v>
      </c>
    </row>
    <row r="125" spans="1:1" x14ac:dyDescent="0.25">
      <c r="A125" s="40">
        <v>0.79374999999998597</v>
      </c>
    </row>
    <row r="126" spans="1:1" x14ac:dyDescent="0.25">
      <c r="A126" s="40">
        <v>0.79444444444442996</v>
      </c>
    </row>
    <row r="127" spans="1:1" x14ac:dyDescent="0.25">
      <c r="A127" s="40">
        <v>0.79513888888887496</v>
      </c>
    </row>
    <row r="128" spans="1:1" x14ac:dyDescent="0.25">
      <c r="A128" s="40">
        <v>0.79583333333331896</v>
      </c>
    </row>
    <row r="129" spans="1:1" x14ac:dyDescent="0.25">
      <c r="A129" s="40">
        <v>0.79652777777776296</v>
      </c>
    </row>
    <row r="130" spans="1:1" x14ac:dyDescent="0.25">
      <c r="A130" s="40">
        <v>0.79722222222220795</v>
      </c>
    </row>
    <row r="131" spans="1:1" x14ac:dyDescent="0.25">
      <c r="A131" s="40">
        <v>0.79791666666665195</v>
      </c>
    </row>
    <row r="132" spans="1:1" x14ac:dyDescent="0.25">
      <c r="A132" s="40">
        <v>0.79861111111109595</v>
      </c>
    </row>
    <row r="133" spans="1:1" x14ac:dyDescent="0.25">
      <c r="A133" s="40">
        <v>0.79930555555554095</v>
      </c>
    </row>
    <row r="134" spans="1:1" x14ac:dyDescent="0.25">
      <c r="A134" s="40">
        <v>0.79999999999998495</v>
      </c>
    </row>
    <row r="135" spans="1:1" x14ac:dyDescent="0.25">
      <c r="A135" s="40">
        <v>0.80069444444442905</v>
      </c>
    </row>
    <row r="136" spans="1:1" x14ac:dyDescent="0.25">
      <c r="A136" s="40">
        <v>0.80138888888887405</v>
      </c>
    </row>
    <row r="137" spans="1:1" x14ac:dyDescent="0.25">
      <c r="A137" s="40">
        <v>0.80208333333331805</v>
      </c>
    </row>
    <row r="138" spans="1:1" x14ac:dyDescent="0.25">
      <c r="A138" s="40">
        <v>0.80277777777776205</v>
      </c>
    </row>
    <row r="139" spans="1:1" x14ac:dyDescent="0.25">
      <c r="A139" s="40">
        <v>0.80347222222220704</v>
      </c>
    </row>
    <row r="140" spans="1:1" x14ac:dyDescent="0.25">
      <c r="A140" s="40">
        <v>0.80416666666665104</v>
      </c>
    </row>
    <row r="141" spans="1:1" x14ac:dyDescent="0.25">
      <c r="A141" s="40">
        <v>0.80486111111109504</v>
      </c>
    </row>
    <row r="142" spans="1:1" x14ac:dyDescent="0.25">
      <c r="A142" s="40">
        <v>0.80555555555554004</v>
      </c>
    </row>
    <row r="143" spans="1:1" x14ac:dyDescent="0.25">
      <c r="A143" s="40">
        <v>0.80624999999998403</v>
      </c>
    </row>
    <row r="144" spans="1:1" x14ac:dyDescent="0.25">
      <c r="A144" s="40">
        <v>0.80694444444442803</v>
      </c>
    </row>
    <row r="145" spans="1:1" x14ac:dyDescent="0.25">
      <c r="A145" s="40">
        <v>0.80763888888887303</v>
      </c>
    </row>
    <row r="146" spans="1:1" x14ac:dyDescent="0.25">
      <c r="A146" s="40">
        <v>0.80833333333331703</v>
      </c>
    </row>
    <row r="147" spans="1:1" x14ac:dyDescent="0.25">
      <c r="A147" s="40">
        <v>0.80902777777776103</v>
      </c>
    </row>
    <row r="148" spans="1:1" x14ac:dyDescent="0.25">
      <c r="A148" s="40">
        <v>0.80972222222220502</v>
      </c>
    </row>
    <row r="149" spans="1:1" x14ac:dyDescent="0.25">
      <c r="A149" s="40">
        <v>0.81041666666665002</v>
      </c>
    </row>
    <row r="150" spans="1:1" x14ac:dyDescent="0.25">
      <c r="A150" s="40">
        <v>0.81111111111109402</v>
      </c>
    </row>
    <row r="151" spans="1:1" x14ac:dyDescent="0.25">
      <c r="A151" s="40">
        <v>0.81180555555553802</v>
      </c>
    </row>
    <row r="152" spans="1:1" x14ac:dyDescent="0.25">
      <c r="A152" s="40">
        <v>0.81249999999998301</v>
      </c>
    </row>
    <row r="153" spans="1:1" x14ac:dyDescent="0.25">
      <c r="A153" s="40">
        <v>0.81319444444442701</v>
      </c>
    </row>
    <row r="154" spans="1:1" x14ac:dyDescent="0.25">
      <c r="A154" s="40">
        <v>0.81388888888887101</v>
      </c>
    </row>
    <row r="155" spans="1:1" x14ac:dyDescent="0.25">
      <c r="A155" s="40">
        <v>0.81458333333331601</v>
      </c>
    </row>
    <row r="156" spans="1:1" x14ac:dyDescent="0.25">
      <c r="A156" s="40">
        <v>0.81527777777776</v>
      </c>
    </row>
    <row r="157" spans="1:1" x14ac:dyDescent="0.25">
      <c r="A157" s="40">
        <v>0.815972222222204</v>
      </c>
    </row>
    <row r="158" spans="1:1" x14ac:dyDescent="0.25">
      <c r="A158" s="40">
        <v>0.816666666666649</v>
      </c>
    </row>
    <row r="159" spans="1:1" x14ac:dyDescent="0.25">
      <c r="A159" s="40">
        <v>0.817361111111093</v>
      </c>
    </row>
    <row r="160" spans="1:1" x14ac:dyDescent="0.25">
      <c r="A160" s="40">
        <v>0.818055555555537</v>
      </c>
    </row>
    <row r="161" spans="1:1" x14ac:dyDescent="0.25">
      <c r="A161" s="40">
        <v>0.81874999999998199</v>
      </c>
    </row>
    <row r="162" spans="1:1" x14ac:dyDescent="0.25">
      <c r="A162" s="40">
        <v>0.81944444444442599</v>
      </c>
    </row>
    <row r="163" spans="1:1" x14ac:dyDescent="0.25">
      <c r="A163" s="40">
        <v>0.82013888888886999</v>
      </c>
    </row>
    <row r="164" spans="1:1" x14ac:dyDescent="0.25">
      <c r="A164" s="40">
        <v>0.82083333333331499</v>
      </c>
    </row>
    <row r="165" spans="1:1" x14ac:dyDescent="0.25">
      <c r="A165" s="40">
        <v>0.82152777777775898</v>
      </c>
    </row>
    <row r="166" spans="1:1" x14ac:dyDescent="0.25">
      <c r="A166" s="40">
        <v>0.82222222222220298</v>
      </c>
    </row>
    <row r="167" spans="1:1" x14ac:dyDescent="0.25">
      <c r="A167" s="40">
        <v>0.82291666666664798</v>
      </c>
    </row>
    <row r="168" spans="1:1" x14ac:dyDescent="0.25">
      <c r="A168" s="40">
        <v>0.82361111111109198</v>
      </c>
    </row>
    <row r="169" spans="1:1" x14ac:dyDescent="0.25">
      <c r="A169" s="40">
        <v>0.82430555555553597</v>
      </c>
    </row>
    <row r="170" spans="1:1" x14ac:dyDescent="0.25">
      <c r="A170" s="40">
        <v>0.82499999999998097</v>
      </c>
    </row>
    <row r="171" spans="1:1" x14ac:dyDescent="0.25">
      <c r="A171" s="40">
        <v>0.82569444444442497</v>
      </c>
    </row>
    <row r="172" spans="1:1" x14ac:dyDescent="0.25">
      <c r="A172" s="40">
        <v>0.82638888888886897</v>
      </c>
    </row>
    <row r="173" spans="1:1" x14ac:dyDescent="0.25">
      <c r="A173" s="40">
        <v>0.82708333333331396</v>
      </c>
    </row>
    <row r="174" spans="1:1" x14ac:dyDescent="0.25">
      <c r="A174" s="40">
        <v>0.82777777777775796</v>
      </c>
    </row>
    <row r="175" spans="1:1" x14ac:dyDescent="0.25">
      <c r="A175" s="40">
        <v>0.82847222222220196</v>
      </c>
    </row>
    <row r="176" spans="1:1" x14ac:dyDescent="0.25">
      <c r="A176" s="40">
        <v>0.82916666666664696</v>
      </c>
    </row>
    <row r="177" spans="1:1" x14ac:dyDescent="0.25">
      <c r="A177" s="40">
        <v>0.82986111111109095</v>
      </c>
    </row>
    <row r="178" spans="1:1" x14ac:dyDescent="0.25">
      <c r="A178" s="40">
        <v>0.83055555555553495</v>
      </c>
    </row>
    <row r="179" spans="1:1" x14ac:dyDescent="0.25">
      <c r="A179" s="40">
        <v>0.83124999999997995</v>
      </c>
    </row>
    <row r="180" spans="1:1" x14ac:dyDescent="0.25">
      <c r="A180" s="40">
        <v>0.83194444444442395</v>
      </c>
    </row>
    <row r="181" spans="1:1" x14ac:dyDescent="0.25">
      <c r="A181" s="40">
        <v>0.83263888888886795</v>
      </c>
    </row>
    <row r="182" spans="1:1" x14ac:dyDescent="0.25">
      <c r="A182" s="40">
        <v>0.83333333333331305</v>
      </c>
    </row>
    <row r="183" spans="1:1" x14ac:dyDescent="0.25">
      <c r="A183" s="40">
        <v>0.83402777777775705</v>
      </c>
    </row>
    <row r="184" spans="1:1" x14ac:dyDescent="0.25">
      <c r="A184" s="40">
        <v>0.83472222222220105</v>
      </c>
    </row>
    <row r="185" spans="1:1" x14ac:dyDescent="0.25">
      <c r="A185" s="40">
        <v>0.83541666666664605</v>
      </c>
    </row>
    <row r="186" spans="1:1" x14ac:dyDescent="0.25">
      <c r="A186" s="40">
        <v>0.83611111111109004</v>
      </c>
    </row>
    <row r="187" spans="1:1" x14ac:dyDescent="0.25">
      <c r="A187" s="40">
        <v>0.83680555555553404</v>
      </c>
    </row>
    <row r="188" spans="1:1" x14ac:dyDescent="0.25">
      <c r="A188" s="40">
        <v>0.83749999999997904</v>
      </c>
    </row>
    <row r="189" spans="1:1" x14ac:dyDescent="0.25">
      <c r="A189" s="40">
        <v>0.83819444444442304</v>
      </c>
    </row>
    <row r="190" spans="1:1" x14ac:dyDescent="0.25">
      <c r="A190" s="40">
        <v>0.83888888888886703</v>
      </c>
    </row>
    <row r="191" spans="1:1" x14ac:dyDescent="0.25">
      <c r="A191" s="40">
        <v>0.83958333333331203</v>
      </c>
    </row>
    <row r="192" spans="1:1" x14ac:dyDescent="0.25">
      <c r="A192" s="40">
        <v>0.84027777777775603</v>
      </c>
    </row>
    <row r="193" spans="1:1" x14ac:dyDescent="0.25">
      <c r="A193" s="40">
        <v>0.84097222222220003</v>
      </c>
    </row>
    <row r="194" spans="1:1" x14ac:dyDescent="0.25">
      <c r="A194" s="40">
        <v>0.84166666666664502</v>
      </c>
    </row>
    <row r="195" spans="1:1" x14ac:dyDescent="0.25">
      <c r="A195" s="40">
        <v>0.84236111111108902</v>
      </c>
    </row>
    <row r="196" spans="1:1" x14ac:dyDescent="0.25">
      <c r="A196" s="40">
        <v>0.84305555555553302</v>
      </c>
    </row>
    <row r="197" spans="1:1" x14ac:dyDescent="0.25">
      <c r="A197" s="40">
        <v>0.84374999999997802</v>
      </c>
    </row>
    <row r="198" spans="1:1" x14ac:dyDescent="0.25">
      <c r="A198" s="40">
        <v>0.84444444444442202</v>
      </c>
    </row>
    <row r="199" spans="1:1" x14ac:dyDescent="0.25">
      <c r="A199" s="40">
        <v>0.84513888888886601</v>
      </c>
    </row>
    <row r="200" spans="1:1" x14ac:dyDescent="0.25">
      <c r="A200" s="40">
        <v>0.84583333333331101</v>
      </c>
    </row>
    <row r="201" spans="1:1" x14ac:dyDescent="0.25">
      <c r="A201" s="40">
        <v>0.84652777777775501</v>
      </c>
    </row>
    <row r="202" spans="1:1" x14ac:dyDescent="0.25">
      <c r="A202" s="40">
        <v>0.84722222222219901</v>
      </c>
    </row>
    <row r="203" spans="1:1" x14ac:dyDescent="0.25">
      <c r="A203" s="40">
        <v>0.847916666666644</v>
      </c>
    </row>
    <row r="204" spans="1:1" x14ac:dyDescent="0.25">
      <c r="A204" s="40">
        <v>0.848611111111088</v>
      </c>
    </row>
    <row r="205" spans="1:1" x14ac:dyDescent="0.25">
      <c r="A205" s="40">
        <v>0.849305555555532</v>
      </c>
    </row>
    <row r="206" spans="1:1" x14ac:dyDescent="0.25">
      <c r="A206" s="40">
        <v>0.849999999999977</v>
      </c>
    </row>
    <row r="207" spans="1:1" x14ac:dyDescent="0.25">
      <c r="A207" s="40">
        <v>0.85069444444442099</v>
      </c>
    </row>
    <row r="208" spans="1:1" x14ac:dyDescent="0.25">
      <c r="A208" s="40">
        <v>0.85138888888886499</v>
      </c>
    </row>
    <row r="209" spans="1:1" x14ac:dyDescent="0.25">
      <c r="A209" s="40">
        <v>0.85208333333330999</v>
      </c>
    </row>
    <row r="210" spans="1:1" x14ac:dyDescent="0.25">
      <c r="A210" s="40">
        <v>0.85277777777775399</v>
      </c>
    </row>
    <row r="211" spans="1:1" x14ac:dyDescent="0.25">
      <c r="A211" s="40">
        <v>0.85347222222219798</v>
      </c>
    </row>
    <row r="212" spans="1:1" x14ac:dyDescent="0.25">
      <c r="A212" s="40">
        <v>0.85416666666664298</v>
      </c>
    </row>
    <row r="213" spans="1:1" x14ac:dyDescent="0.25">
      <c r="A213" s="40">
        <v>0.85486111111108698</v>
      </c>
    </row>
    <row r="214" spans="1:1" x14ac:dyDescent="0.25">
      <c r="A214" s="40">
        <v>0.85555555555553098</v>
      </c>
    </row>
    <row r="215" spans="1:1" x14ac:dyDescent="0.25">
      <c r="A215" s="40">
        <v>0.85624999999997498</v>
      </c>
    </row>
    <row r="216" spans="1:1" x14ac:dyDescent="0.25">
      <c r="A216" s="40">
        <v>0.85694444444441997</v>
      </c>
    </row>
    <row r="217" spans="1:1" x14ac:dyDescent="0.25">
      <c r="A217" s="40">
        <v>0.85763888888886397</v>
      </c>
    </row>
    <row r="218" spans="1:1" x14ac:dyDescent="0.25">
      <c r="A218" s="40">
        <v>0.85833333333330797</v>
      </c>
    </row>
    <row r="219" spans="1:1" x14ac:dyDescent="0.25">
      <c r="A219" s="40">
        <v>0.85902777777775297</v>
      </c>
    </row>
    <row r="220" spans="1:1" x14ac:dyDescent="0.25">
      <c r="A220" s="40">
        <v>0.85972222222219696</v>
      </c>
    </row>
    <row r="221" spans="1:1" x14ac:dyDescent="0.25">
      <c r="A221" s="40">
        <v>0.86041666666664096</v>
      </c>
    </row>
    <row r="222" spans="1:1" x14ac:dyDescent="0.25">
      <c r="A222" s="40">
        <v>0.86111111111108596</v>
      </c>
    </row>
    <row r="223" spans="1:1" x14ac:dyDescent="0.25">
      <c r="A223" s="40">
        <v>0.86180555555552996</v>
      </c>
    </row>
    <row r="224" spans="1:1" x14ac:dyDescent="0.25">
      <c r="A224" s="40">
        <v>0.86249999999997395</v>
      </c>
    </row>
    <row r="225" spans="1:1" x14ac:dyDescent="0.25">
      <c r="A225" s="40">
        <v>0.86319444444441895</v>
      </c>
    </row>
    <row r="226" spans="1:1" x14ac:dyDescent="0.25">
      <c r="A226" s="40">
        <v>0.86388888888886295</v>
      </c>
    </row>
    <row r="227" spans="1:1" x14ac:dyDescent="0.25">
      <c r="A227" s="40">
        <v>0.86458333333330695</v>
      </c>
    </row>
    <row r="228" spans="1:1" x14ac:dyDescent="0.25">
      <c r="A228" s="40">
        <v>0.86527777777775206</v>
      </c>
    </row>
    <row r="229" spans="1:1" x14ac:dyDescent="0.25">
      <c r="A229" s="40">
        <v>0.86597222222219605</v>
      </c>
    </row>
    <row r="230" spans="1:1" x14ac:dyDescent="0.25">
      <c r="A230" s="40">
        <v>0.86666666666664005</v>
      </c>
    </row>
    <row r="231" spans="1:1" x14ac:dyDescent="0.25">
      <c r="A231" s="40">
        <v>0.86736111111108505</v>
      </c>
    </row>
    <row r="232" spans="1:1" x14ac:dyDescent="0.25">
      <c r="A232" s="40">
        <v>0.86805555555552905</v>
      </c>
    </row>
    <row r="233" spans="1:1" x14ac:dyDescent="0.25">
      <c r="A233" s="40">
        <v>0.86874999999997304</v>
      </c>
    </row>
    <row r="234" spans="1:1" x14ac:dyDescent="0.25">
      <c r="A234" s="40">
        <v>0.86944444444441804</v>
      </c>
    </row>
    <row r="235" spans="1:1" x14ac:dyDescent="0.25">
      <c r="A235" s="40">
        <v>0.87013888888886204</v>
      </c>
    </row>
    <row r="236" spans="1:1" x14ac:dyDescent="0.25">
      <c r="A236" s="40">
        <v>0.87083333333330604</v>
      </c>
    </row>
    <row r="237" spans="1:1" x14ac:dyDescent="0.25">
      <c r="A237" s="40">
        <v>0.87152777777775103</v>
      </c>
    </row>
    <row r="238" spans="1:1" x14ac:dyDescent="0.25">
      <c r="A238" s="40">
        <v>0.87222222222219503</v>
      </c>
    </row>
    <row r="239" spans="1:1" x14ac:dyDescent="0.25">
      <c r="A239" s="40">
        <v>0.87291666666663903</v>
      </c>
    </row>
    <row r="240" spans="1:1" x14ac:dyDescent="0.25">
      <c r="A240" s="40">
        <v>0.87361111111108403</v>
      </c>
    </row>
    <row r="241" spans="1:1" x14ac:dyDescent="0.25">
      <c r="A241" s="40">
        <v>0.87430555555552802</v>
      </c>
    </row>
    <row r="242" spans="1:1" x14ac:dyDescent="0.25">
      <c r="A242" s="40">
        <v>0.87499999999997202</v>
      </c>
    </row>
    <row r="243" spans="1:1" x14ac:dyDescent="0.25">
      <c r="A243" s="40">
        <v>0.87569444444441702</v>
      </c>
    </row>
    <row r="244" spans="1:1" x14ac:dyDescent="0.25">
      <c r="A244" s="40">
        <v>0.87638888888886102</v>
      </c>
    </row>
    <row r="245" spans="1:1" x14ac:dyDescent="0.25">
      <c r="A245" s="40">
        <v>0.87708333333330502</v>
      </c>
    </row>
    <row r="246" spans="1:1" x14ac:dyDescent="0.25">
      <c r="A246" s="40">
        <v>0.87777777777775001</v>
      </c>
    </row>
    <row r="247" spans="1:1" x14ac:dyDescent="0.25">
      <c r="A247" s="40">
        <v>0.87847222222219401</v>
      </c>
    </row>
    <row r="248" spans="1:1" x14ac:dyDescent="0.25">
      <c r="A248" s="40">
        <v>0.87916666666663801</v>
      </c>
    </row>
    <row r="249" spans="1:1" x14ac:dyDescent="0.25">
      <c r="A249" s="40">
        <v>0.87986111111108301</v>
      </c>
    </row>
    <row r="250" spans="1:1" x14ac:dyDescent="0.25">
      <c r="A250" s="40">
        <v>0.880555555555527</v>
      </c>
    </row>
    <row r="251" spans="1:1" x14ac:dyDescent="0.25">
      <c r="A251" s="40">
        <v>0.881249999999971</v>
      </c>
    </row>
    <row r="252" spans="1:1" x14ac:dyDescent="0.25">
      <c r="A252" s="40">
        <v>0.881944444444416</v>
      </c>
    </row>
    <row r="253" spans="1:1" x14ac:dyDescent="0.25">
      <c r="A253" s="40">
        <v>0.88263888888886</v>
      </c>
    </row>
    <row r="254" spans="1:1" x14ac:dyDescent="0.25">
      <c r="A254" s="40">
        <v>0.88333333333330399</v>
      </c>
    </row>
    <row r="255" spans="1:1" x14ac:dyDescent="0.25">
      <c r="A255" s="40">
        <v>0.88402777777774899</v>
      </c>
    </row>
    <row r="256" spans="1:1" x14ac:dyDescent="0.25">
      <c r="A256" s="40">
        <v>0.88472222222219299</v>
      </c>
    </row>
    <row r="257" spans="1:1" x14ac:dyDescent="0.25">
      <c r="A257" s="40">
        <v>0.88541666666663699</v>
      </c>
    </row>
    <row r="258" spans="1:1" x14ac:dyDescent="0.25">
      <c r="A258" s="40">
        <v>0.88611111111108198</v>
      </c>
    </row>
    <row r="259" spans="1:1" x14ac:dyDescent="0.25">
      <c r="A259" s="40">
        <v>0.88680555555552598</v>
      </c>
    </row>
    <row r="260" spans="1:1" x14ac:dyDescent="0.25">
      <c r="A260" s="40">
        <v>0.88749999999996998</v>
      </c>
    </row>
    <row r="261" spans="1:1" x14ac:dyDescent="0.25">
      <c r="A261" s="40">
        <v>0.88819444444441498</v>
      </c>
    </row>
    <row r="262" spans="1:1" x14ac:dyDescent="0.25">
      <c r="A262" s="40">
        <v>0.88888888888885897</v>
      </c>
    </row>
    <row r="263" spans="1:1" x14ac:dyDescent="0.25">
      <c r="A263" s="40">
        <v>0.88958333333330297</v>
      </c>
    </row>
    <row r="264" spans="1:1" x14ac:dyDescent="0.25">
      <c r="A264" s="40">
        <v>0.89027777777774797</v>
      </c>
    </row>
    <row r="265" spans="1:1" x14ac:dyDescent="0.25">
      <c r="A265" s="40">
        <v>0.89097222222219197</v>
      </c>
    </row>
    <row r="266" spans="1:1" x14ac:dyDescent="0.25">
      <c r="A266" s="40">
        <v>0.89166666666663597</v>
      </c>
    </row>
    <row r="267" spans="1:1" x14ac:dyDescent="0.25">
      <c r="A267" s="40">
        <v>0.89236111111108096</v>
      </c>
    </row>
    <row r="268" spans="1:1" x14ac:dyDescent="0.25">
      <c r="A268" s="40">
        <v>0.89305555555552496</v>
      </c>
    </row>
    <row r="269" spans="1:1" x14ac:dyDescent="0.25">
      <c r="A269" s="40">
        <v>0.89374999999996896</v>
      </c>
    </row>
    <row r="270" spans="1:1" x14ac:dyDescent="0.25">
      <c r="A270" s="40">
        <v>0.89444444444441396</v>
      </c>
    </row>
    <row r="271" spans="1:1" x14ac:dyDescent="0.25">
      <c r="A271" s="40">
        <v>0.89513888888885795</v>
      </c>
    </row>
    <row r="272" spans="1:1" x14ac:dyDescent="0.25">
      <c r="A272" s="40">
        <v>0.89583333333330195</v>
      </c>
    </row>
    <row r="273" spans="1:1" x14ac:dyDescent="0.25">
      <c r="A273" s="40">
        <v>0.89652777777774695</v>
      </c>
    </row>
    <row r="274" spans="1:1" x14ac:dyDescent="0.25">
      <c r="A274" s="40">
        <v>0.89722222222219095</v>
      </c>
    </row>
    <row r="275" spans="1:1" x14ac:dyDescent="0.25">
      <c r="A275" s="40">
        <v>0.89791666666663505</v>
      </c>
    </row>
    <row r="276" spans="1:1" x14ac:dyDescent="0.25">
      <c r="A276" s="40">
        <v>0.89861111111108005</v>
      </c>
    </row>
    <row r="277" spans="1:1" x14ac:dyDescent="0.25">
      <c r="A277" s="40">
        <v>0.89930555555552405</v>
      </c>
    </row>
    <row r="278" spans="1:1" x14ac:dyDescent="0.25">
      <c r="A278" s="40">
        <v>0.89999999999996805</v>
      </c>
    </row>
    <row r="279" spans="1:1" x14ac:dyDescent="0.25">
      <c r="A279" s="40">
        <v>0.90069444444441304</v>
      </c>
    </row>
    <row r="280" spans="1:1" x14ac:dyDescent="0.25">
      <c r="A280" s="40">
        <v>0.90138888888885704</v>
      </c>
    </row>
    <row r="281" spans="1:1" x14ac:dyDescent="0.25">
      <c r="A281" s="40">
        <v>0.90208333333330104</v>
      </c>
    </row>
    <row r="282" spans="1:1" x14ac:dyDescent="0.25">
      <c r="A282" s="40">
        <v>0.90277777777774604</v>
      </c>
    </row>
    <row r="283" spans="1:1" x14ac:dyDescent="0.25">
      <c r="A283" s="40">
        <v>0.90347222222219004</v>
      </c>
    </row>
    <row r="284" spans="1:1" x14ac:dyDescent="0.25">
      <c r="A284" s="40">
        <v>0.90416666666663403</v>
      </c>
    </row>
    <row r="285" spans="1:1" x14ac:dyDescent="0.25">
      <c r="A285" s="40">
        <v>0.90486111111107903</v>
      </c>
    </row>
    <row r="286" spans="1:1" x14ac:dyDescent="0.25">
      <c r="A286" s="40">
        <v>0.90555555555552303</v>
      </c>
    </row>
    <row r="287" spans="1:1" x14ac:dyDescent="0.25">
      <c r="A287" s="40">
        <v>0.90624999999996703</v>
      </c>
    </row>
    <row r="288" spans="1:1" x14ac:dyDescent="0.25">
      <c r="A288" s="40">
        <v>0.90694444444441202</v>
      </c>
    </row>
    <row r="289" spans="1:1" x14ac:dyDescent="0.25">
      <c r="A289" s="40">
        <v>0.90763888888885602</v>
      </c>
    </row>
    <row r="290" spans="1:1" x14ac:dyDescent="0.25">
      <c r="A290" s="40">
        <v>0.90833333333330002</v>
      </c>
    </row>
    <row r="291" spans="1:1" x14ac:dyDescent="0.25">
      <c r="A291" s="40">
        <v>0.90902777777774502</v>
      </c>
    </row>
    <row r="292" spans="1:1" x14ac:dyDescent="0.25">
      <c r="A292" s="40">
        <v>0.90972222222218901</v>
      </c>
    </row>
    <row r="293" spans="1:1" x14ac:dyDescent="0.25">
      <c r="A293" s="40">
        <v>0.91041666666663301</v>
      </c>
    </row>
    <row r="294" spans="1:1" x14ac:dyDescent="0.25">
      <c r="A294" s="40">
        <v>0.91111111111107801</v>
      </c>
    </row>
    <row r="295" spans="1:1" x14ac:dyDescent="0.25">
      <c r="A295" s="40">
        <v>0.91180555555552201</v>
      </c>
    </row>
    <row r="296" spans="1:1" x14ac:dyDescent="0.25">
      <c r="A296" s="40">
        <v>0.912499999999966</v>
      </c>
    </row>
    <row r="297" spans="1:1" x14ac:dyDescent="0.25">
      <c r="A297" s="40">
        <v>0.913194444444411</v>
      </c>
    </row>
    <row r="298" spans="1:1" x14ac:dyDescent="0.25">
      <c r="A298" s="40">
        <v>0.913888888888855</v>
      </c>
    </row>
    <row r="299" spans="1:1" x14ac:dyDescent="0.25">
      <c r="A299" s="40">
        <v>0.914583333333299</v>
      </c>
    </row>
    <row r="300" spans="1:1" x14ac:dyDescent="0.25">
      <c r="A300" s="40">
        <v>0.91527777777774399</v>
      </c>
    </row>
    <row r="301" spans="1:1" x14ac:dyDescent="0.25">
      <c r="A301" s="40">
        <v>0.91597222222218799</v>
      </c>
    </row>
    <row r="302" spans="1:1" x14ac:dyDescent="0.25">
      <c r="A302" s="40">
        <v>0.91666666666663199</v>
      </c>
    </row>
    <row r="303" spans="1:1" x14ac:dyDescent="0.25">
      <c r="A303" s="40">
        <v>0.91736111111107699</v>
      </c>
    </row>
    <row r="304" spans="1:1" x14ac:dyDescent="0.25">
      <c r="A304" s="40">
        <v>0.91805555555552099</v>
      </c>
    </row>
    <row r="305" spans="1:1" x14ac:dyDescent="0.25">
      <c r="A305" s="40">
        <v>0.91874999999996498</v>
      </c>
    </row>
    <row r="306" spans="1:1" x14ac:dyDescent="0.25">
      <c r="A306" s="40">
        <v>0.91944444444440998</v>
      </c>
    </row>
    <row r="307" spans="1:1" x14ac:dyDescent="0.25">
      <c r="A307" s="40">
        <v>0.92013888888885498</v>
      </c>
    </row>
    <row r="308" spans="1:1" x14ac:dyDescent="0.25">
      <c r="A308" s="40">
        <v>0.92083333333329997</v>
      </c>
    </row>
    <row r="309" spans="1:1" x14ac:dyDescent="0.25">
      <c r="A309" s="40">
        <v>0.92152777777774497</v>
      </c>
    </row>
    <row r="310" spans="1:1" x14ac:dyDescent="0.25">
      <c r="A310" s="40">
        <v>0.92222222222218997</v>
      </c>
    </row>
    <row r="311" spans="1:1" x14ac:dyDescent="0.25">
      <c r="A311" s="40">
        <v>0.92291666666663497</v>
      </c>
    </row>
    <row r="312" spans="1:1" x14ac:dyDescent="0.25">
      <c r="A312" s="40">
        <v>0.92361111111107996</v>
      </c>
    </row>
    <row r="313" spans="1:1" x14ac:dyDescent="0.25">
      <c r="A313" s="40">
        <v>0.92430555555552496</v>
      </c>
    </row>
    <row r="314" spans="1:1" x14ac:dyDescent="0.25">
      <c r="A314" s="40">
        <v>0.92499999999996996</v>
      </c>
    </row>
    <row r="315" spans="1:1" x14ac:dyDescent="0.25">
      <c r="A315" s="40">
        <v>0.92569444444441495</v>
      </c>
    </row>
    <row r="316" spans="1:1" x14ac:dyDescent="0.25">
      <c r="A316" s="40">
        <v>0.92638888888885995</v>
      </c>
    </row>
    <row r="317" spans="1:1" x14ac:dyDescent="0.25">
      <c r="A317" s="40">
        <v>0.92708333333330495</v>
      </c>
    </row>
    <row r="318" spans="1:1" x14ac:dyDescent="0.25">
      <c r="A318" s="40">
        <v>0.92777777777774995</v>
      </c>
    </row>
    <row r="319" spans="1:1" x14ac:dyDescent="0.25">
      <c r="A319" s="40">
        <v>0.92847222222219505</v>
      </c>
    </row>
    <row r="320" spans="1:1" x14ac:dyDescent="0.25">
      <c r="A320" s="40">
        <v>0.92916666666664005</v>
      </c>
    </row>
    <row r="321" spans="1:1" x14ac:dyDescent="0.25">
      <c r="A321" s="40">
        <v>0.92986111111108505</v>
      </c>
    </row>
    <row r="322" spans="1:1" x14ac:dyDescent="0.25">
      <c r="A322" s="40">
        <v>0.93055555555553005</v>
      </c>
    </row>
    <row r="323" spans="1:1" x14ac:dyDescent="0.25">
      <c r="A323" s="40">
        <v>0.93124999999997504</v>
      </c>
    </row>
    <row r="324" spans="1:1" x14ac:dyDescent="0.25">
      <c r="A324" s="40">
        <v>0.93194444444442004</v>
      </c>
    </row>
    <row r="325" spans="1:1" x14ac:dyDescent="0.25">
      <c r="A325" s="40">
        <v>0.93263888888886504</v>
      </c>
    </row>
    <row r="326" spans="1:1" x14ac:dyDescent="0.25">
      <c r="A326" s="40">
        <v>0.93333333333331003</v>
      </c>
    </row>
    <row r="327" spans="1:1" x14ac:dyDescent="0.25">
      <c r="A327" s="40">
        <v>0.93402777777775503</v>
      </c>
    </row>
    <row r="328" spans="1:1" x14ac:dyDescent="0.25">
      <c r="A328" s="40">
        <v>0.93472222222220003</v>
      </c>
    </row>
    <row r="329" spans="1:1" x14ac:dyDescent="0.25">
      <c r="A329" s="40">
        <v>0.93541666666664502</v>
      </c>
    </row>
    <row r="330" spans="1:1" x14ac:dyDescent="0.25">
      <c r="A330" s="40">
        <v>0.93611111111109002</v>
      </c>
    </row>
    <row r="331" spans="1:1" x14ac:dyDescent="0.25">
      <c r="A331" s="40">
        <v>0.93680555555553502</v>
      </c>
    </row>
    <row r="332" spans="1:1" x14ac:dyDescent="0.25">
      <c r="A332" s="40">
        <v>0.93749999999998002</v>
      </c>
    </row>
    <row r="333" spans="1:1" x14ac:dyDescent="0.25">
      <c r="A333" s="40">
        <v>0.93819444444442501</v>
      </c>
    </row>
    <row r="334" spans="1:1" x14ac:dyDescent="0.25">
      <c r="A334" s="40">
        <v>0.93888888888887001</v>
      </c>
    </row>
    <row r="335" spans="1:1" x14ac:dyDescent="0.25">
      <c r="A335" s="40">
        <v>0.93958333333331501</v>
      </c>
    </row>
    <row r="336" spans="1:1" x14ac:dyDescent="0.25">
      <c r="A336" s="40">
        <v>0.94027777777776</v>
      </c>
    </row>
    <row r="337" spans="1:1" x14ac:dyDescent="0.25">
      <c r="A337" s="40">
        <v>0.940972222222205</v>
      </c>
    </row>
    <row r="338" spans="1:1" x14ac:dyDescent="0.25">
      <c r="A338" s="40">
        <v>0.94166666666665</v>
      </c>
    </row>
    <row r="339" spans="1:1" x14ac:dyDescent="0.25">
      <c r="A339" s="40">
        <v>0.942361111111095</v>
      </c>
    </row>
    <row r="340" spans="1:1" x14ac:dyDescent="0.25">
      <c r="A340" s="40">
        <v>0.94305555555553999</v>
      </c>
    </row>
    <row r="341" spans="1:1" x14ac:dyDescent="0.25">
      <c r="A341" s="40">
        <v>0.94374999999998499</v>
      </c>
    </row>
    <row r="342" spans="1:1" x14ac:dyDescent="0.25">
      <c r="A342" s="40">
        <v>0.94444444444442999</v>
      </c>
    </row>
    <row r="343" spans="1:1" x14ac:dyDescent="0.25">
      <c r="A343" s="40">
        <v>0.94513888888887498</v>
      </c>
    </row>
    <row r="344" spans="1:1" x14ac:dyDescent="0.25">
      <c r="A344" s="40">
        <v>0.94583333333331998</v>
      </c>
    </row>
    <row r="345" spans="1:1" x14ac:dyDescent="0.25">
      <c r="A345" s="40">
        <v>0.94652777777776498</v>
      </c>
    </row>
    <row r="346" spans="1:1" x14ac:dyDescent="0.25">
      <c r="A346" s="40">
        <v>0.94722222222220998</v>
      </c>
    </row>
    <row r="347" spans="1:1" x14ac:dyDescent="0.25">
      <c r="A347" s="40">
        <v>0.94791666666665497</v>
      </c>
    </row>
    <row r="348" spans="1:1" x14ac:dyDescent="0.25">
      <c r="A348" s="40">
        <v>0.94861111111109997</v>
      </c>
    </row>
    <row r="349" spans="1:1" x14ac:dyDescent="0.25">
      <c r="A349" s="40">
        <v>0.94930555555554497</v>
      </c>
    </row>
    <row r="350" spans="1:1" x14ac:dyDescent="0.25">
      <c r="A350" s="40">
        <v>0.94999999999998996</v>
      </c>
    </row>
    <row r="351" spans="1:1" x14ac:dyDescent="0.25">
      <c r="A351" s="40">
        <v>0.95069444444443496</v>
      </c>
    </row>
    <row r="352" spans="1:1" x14ac:dyDescent="0.25">
      <c r="A352" s="40">
        <v>0.95138888888887996</v>
      </c>
    </row>
    <row r="353" spans="1:1" x14ac:dyDescent="0.25">
      <c r="A353" s="40">
        <v>0.95208333333332495</v>
      </c>
    </row>
    <row r="354" spans="1:1" x14ac:dyDescent="0.25">
      <c r="A354" s="40">
        <v>0.95277777777776995</v>
      </c>
    </row>
    <row r="355" spans="1:1" x14ac:dyDescent="0.25">
      <c r="A355" s="40">
        <v>0.95347222222221495</v>
      </c>
    </row>
    <row r="356" spans="1:1" x14ac:dyDescent="0.25">
      <c r="A356" s="40">
        <v>0.95416666666665995</v>
      </c>
    </row>
    <row r="357" spans="1:1" x14ac:dyDescent="0.25">
      <c r="A357" s="40">
        <v>0.95486111111110505</v>
      </c>
    </row>
    <row r="358" spans="1:1" x14ac:dyDescent="0.25">
      <c r="A358" s="40">
        <v>0.95555555555555005</v>
      </c>
    </row>
    <row r="359" spans="1:1" x14ac:dyDescent="0.25">
      <c r="A359" s="40">
        <v>0.95624999999999505</v>
      </c>
    </row>
    <row r="360" spans="1:1" x14ac:dyDescent="0.25">
      <c r="A360" s="40">
        <v>0.95694444444444005</v>
      </c>
    </row>
    <row r="361" spans="1:1" x14ac:dyDescent="0.25">
      <c r="A361" s="40">
        <v>0.95763888888888504</v>
      </c>
    </row>
    <row r="362" spans="1:1" x14ac:dyDescent="0.25">
      <c r="A362" s="40">
        <v>0.95833333333333004</v>
      </c>
    </row>
    <row r="363" spans="1:1" x14ac:dyDescent="0.25">
      <c r="A363" s="40">
        <v>0.95902777777777504</v>
      </c>
    </row>
    <row r="364" spans="1:1" x14ac:dyDescent="0.25">
      <c r="A364" s="40">
        <v>0.95972222222222003</v>
      </c>
    </row>
    <row r="365" spans="1:1" x14ac:dyDescent="0.25">
      <c r="A365" s="40">
        <v>0.96041666666666503</v>
      </c>
    </row>
    <row r="366" spans="1:1" x14ac:dyDescent="0.25">
      <c r="A366" s="40">
        <v>0.96111111111111003</v>
      </c>
    </row>
    <row r="367" spans="1:1" x14ac:dyDescent="0.25">
      <c r="A367" s="40">
        <v>0.96180555555555503</v>
      </c>
    </row>
    <row r="368" spans="1:1" x14ac:dyDescent="0.25">
      <c r="A368" s="40">
        <v>0.96250000000000002</v>
      </c>
    </row>
    <row r="369" spans="1:1" x14ac:dyDescent="0.25">
      <c r="A369" s="40">
        <v>0.96319444444444502</v>
      </c>
    </row>
    <row r="370" spans="1:1" x14ac:dyDescent="0.25">
      <c r="A370" s="40">
        <v>0.96388888888889002</v>
      </c>
    </row>
    <row r="371" spans="1:1" x14ac:dyDescent="0.25">
      <c r="A371" s="40">
        <v>0.96458333333333501</v>
      </c>
    </row>
    <row r="372" spans="1:1" x14ac:dyDescent="0.25">
      <c r="A372" s="40">
        <v>0.96527777777778001</v>
      </c>
    </row>
    <row r="373" spans="1:1" x14ac:dyDescent="0.25">
      <c r="A373" s="40">
        <v>0.96597222222222501</v>
      </c>
    </row>
    <row r="374" spans="1:1" x14ac:dyDescent="0.25">
      <c r="A374" s="40">
        <v>0.96666666666667</v>
      </c>
    </row>
    <row r="375" spans="1:1" x14ac:dyDescent="0.25">
      <c r="A375" s="40">
        <v>0.967361111111115</v>
      </c>
    </row>
    <row r="376" spans="1:1" x14ac:dyDescent="0.25">
      <c r="A376" s="40">
        <v>0.96805555555556</v>
      </c>
    </row>
    <row r="377" spans="1:1" x14ac:dyDescent="0.25">
      <c r="A377" s="40">
        <v>0.968750000000005</v>
      </c>
    </row>
    <row r="378" spans="1:1" x14ac:dyDescent="0.25">
      <c r="A378" s="40">
        <v>0.96944444444444999</v>
      </c>
    </row>
    <row r="379" spans="1:1" x14ac:dyDescent="0.25">
      <c r="A379" s="40">
        <v>0.97013888888889499</v>
      </c>
    </row>
    <row r="380" spans="1:1" x14ac:dyDescent="0.25">
      <c r="A380" s="40">
        <v>0.97083333333333999</v>
      </c>
    </row>
    <row r="381" spans="1:1" x14ac:dyDescent="0.25">
      <c r="A381" s="40">
        <v>0.97152777777778498</v>
      </c>
    </row>
    <row r="382" spans="1:1" x14ac:dyDescent="0.25">
      <c r="A382" s="40">
        <v>0.97222222222222998</v>
      </c>
    </row>
    <row r="383" spans="1:1" x14ac:dyDescent="0.25">
      <c r="A383" s="40">
        <v>0.97291666666667498</v>
      </c>
    </row>
    <row r="384" spans="1:1" x14ac:dyDescent="0.25">
      <c r="A384" s="40">
        <v>0.97361111111111998</v>
      </c>
    </row>
    <row r="385" spans="1:1" x14ac:dyDescent="0.25">
      <c r="A385" s="40">
        <v>0.97430555555556497</v>
      </c>
    </row>
    <row r="386" spans="1:1" x14ac:dyDescent="0.25">
      <c r="A386" s="40">
        <v>0.97500000000000997</v>
      </c>
    </row>
    <row r="387" spans="1:1" x14ac:dyDescent="0.25">
      <c r="A387" s="40">
        <v>0.97569444444445497</v>
      </c>
    </row>
    <row r="388" spans="1:1" x14ac:dyDescent="0.25">
      <c r="A388" s="40">
        <v>0.97638888888889996</v>
      </c>
    </row>
    <row r="389" spans="1:1" x14ac:dyDescent="0.25">
      <c r="A389" s="40">
        <v>0.97708333333334496</v>
      </c>
    </row>
    <row r="390" spans="1:1" x14ac:dyDescent="0.25">
      <c r="A390" s="40">
        <v>0.97777777777778996</v>
      </c>
    </row>
    <row r="391" spans="1:1" x14ac:dyDescent="0.25">
      <c r="A391" s="40">
        <v>0.97847222222223496</v>
      </c>
    </row>
    <row r="392" spans="1:1" x14ac:dyDescent="0.25">
      <c r="A392" s="40">
        <v>0.97916666666667995</v>
      </c>
    </row>
    <row r="393" spans="1:1" x14ac:dyDescent="0.25">
      <c r="A393" s="40">
        <v>0.97986111111112495</v>
      </c>
    </row>
    <row r="394" spans="1:1" x14ac:dyDescent="0.25">
      <c r="A394" s="40">
        <v>0.98055555555556995</v>
      </c>
    </row>
    <row r="395" spans="1:1" x14ac:dyDescent="0.25">
      <c r="A395" s="40">
        <v>0.98125000000001505</v>
      </c>
    </row>
    <row r="396" spans="1:1" x14ac:dyDescent="0.25">
      <c r="A396" s="40">
        <v>0.98194444444446005</v>
      </c>
    </row>
    <row r="397" spans="1:1" x14ac:dyDescent="0.25">
      <c r="A397" s="40">
        <v>0.98263888888890505</v>
      </c>
    </row>
    <row r="398" spans="1:1" x14ac:dyDescent="0.25">
      <c r="A398" s="40">
        <v>0.98333333333335005</v>
      </c>
    </row>
    <row r="399" spans="1:1" x14ac:dyDescent="0.25">
      <c r="A399" s="40">
        <v>0.98402777777779504</v>
      </c>
    </row>
    <row r="400" spans="1:1" x14ac:dyDescent="0.25">
      <c r="A400" s="40">
        <v>0.98472222222224004</v>
      </c>
    </row>
    <row r="401" spans="1:1" x14ac:dyDescent="0.25">
      <c r="A401" s="40">
        <v>0.98541666666668504</v>
      </c>
    </row>
    <row r="402" spans="1:1" x14ac:dyDescent="0.25">
      <c r="A402" s="40">
        <v>0.98611111111113003</v>
      </c>
    </row>
    <row r="403" spans="1:1" x14ac:dyDescent="0.25">
      <c r="A403" s="40">
        <v>0.98680555555557503</v>
      </c>
    </row>
    <row r="404" spans="1:1" x14ac:dyDescent="0.25">
      <c r="A404" s="40">
        <v>0.98750000000002003</v>
      </c>
    </row>
    <row r="405" spans="1:1" x14ac:dyDescent="0.25">
      <c r="A405" s="40">
        <v>0.98819444444446503</v>
      </c>
    </row>
    <row r="406" spans="1:1" x14ac:dyDescent="0.25">
      <c r="A406" s="40">
        <v>0.98888888888891002</v>
      </c>
    </row>
    <row r="407" spans="1:1" x14ac:dyDescent="0.25">
      <c r="A407" s="40">
        <v>0.98958333333335502</v>
      </c>
    </row>
    <row r="408" spans="1:1" x14ac:dyDescent="0.25">
      <c r="A408" s="40">
        <v>0.99027777777780002</v>
      </c>
    </row>
    <row r="409" spans="1:1" x14ac:dyDescent="0.25">
      <c r="A409" s="40">
        <v>0.99097222222224501</v>
      </c>
    </row>
    <row r="410" spans="1:1" x14ac:dyDescent="0.25">
      <c r="A410" s="40">
        <v>0.99166666666669001</v>
      </c>
    </row>
    <row r="411" spans="1:1" x14ac:dyDescent="0.25">
      <c r="A411" s="40">
        <v>0.99236111111113501</v>
      </c>
    </row>
    <row r="412" spans="1:1" x14ac:dyDescent="0.25">
      <c r="A412" s="40">
        <v>0.99305555555558001</v>
      </c>
    </row>
    <row r="413" spans="1:1" x14ac:dyDescent="0.25">
      <c r="A413" s="40">
        <v>0.993750000000025</v>
      </c>
    </row>
    <row r="414" spans="1:1" x14ac:dyDescent="0.25">
      <c r="A414" s="40">
        <v>0.99444444444447</v>
      </c>
    </row>
    <row r="415" spans="1:1" x14ac:dyDescent="0.25">
      <c r="A415" s="40">
        <v>0.995138888888915</v>
      </c>
    </row>
    <row r="416" spans="1:1" x14ac:dyDescent="0.25">
      <c r="A416" s="40">
        <v>0.99583333333335999</v>
      </c>
    </row>
    <row r="417" spans="1:1" x14ac:dyDescent="0.25">
      <c r="A417" s="40">
        <v>0.99652777777780499</v>
      </c>
    </row>
    <row r="418" spans="1:1" x14ac:dyDescent="0.25">
      <c r="A418" s="40">
        <v>0.99722222222224999</v>
      </c>
    </row>
    <row r="419" spans="1:1" x14ac:dyDescent="0.25">
      <c r="A419" s="40">
        <v>0.99791666666669498</v>
      </c>
    </row>
    <row r="420" spans="1:1" x14ac:dyDescent="0.25">
      <c r="A420" s="40">
        <v>0.99861111111113998</v>
      </c>
    </row>
    <row r="421" spans="1:1" x14ac:dyDescent="0.25">
      <c r="A421" s="40">
        <v>0.99930555555558498</v>
      </c>
    </row>
    <row r="422" spans="1:1" x14ac:dyDescent="0.25">
      <c r="A422" s="40">
        <v>1.00000000000003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179A-FAD4-4FEF-B260-05C8198F9524}">
  <sheetPr codeName="Sheet1"/>
  <dimension ref="A1:J29"/>
  <sheetViews>
    <sheetView showGridLines="0" workbookViewId="0">
      <selection activeCell="F28" sqref="F28"/>
    </sheetView>
  </sheetViews>
  <sheetFormatPr defaultRowHeight="15" x14ac:dyDescent="0.25"/>
  <cols>
    <col min="1" max="1" width="19.28515625" bestFit="1" customWidth="1"/>
    <col min="2" max="2" width="9.140625" style="12"/>
    <col min="4" max="4" width="24.5703125" bestFit="1" customWidth="1"/>
    <col min="6" max="6" width="94.85546875" customWidth="1"/>
    <col min="7" max="7" width="19.140625" customWidth="1"/>
    <col min="8" max="8" width="21" customWidth="1"/>
    <col min="9" max="10" width="19.140625" customWidth="1"/>
  </cols>
  <sheetData>
    <row r="1" spans="1:10" x14ac:dyDescent="0.25">
      <c r="A1" s="28" t="s">
        <v>71</v>
      </c>
      <c r="D1" s="28" t="s">
        <v>72</v>
      </c>
      <c r="G1" s="36" t="s">
        <v>104</v>
      </c>
      <c r="H1" s="36"/>
      <c r="I1" s="36" t="s">
        <v>91</v>
      </c>
      <c r="J1" s="36"/>
    </row>
    <row r="2" spans="1:10" x14ac:dyDescent="0.25">
      <c r="A2" s="9" t="s">
        <v>15</v>
      </c>
      <c r="B2" s="10" t="s">
        <v>16</v>
      </c>
      <c r="D2" s="9" t="s">
        <v>15</v>
      </c>
      <c r="E2" s="10" t="s">
        <v>16</v>
      </c>
      <c r="F2" s="13" t="s">
        <v>0</v>
      </c>
      <c r="G2" s="10" t="s">
        <v>83</v>
      </c>
      <c r="H2" s="10" t="s">
        <v>12</v>
      </c>
      <c r="I2" s="10" t="s">
        <v>83</v>
      </c>
      <c r="J2" s="10" t="s">
        <v>12</v>
      </c>
    </row>
    <row r="3" spans="1:10" x14ac:dyDescent="0.25">
      <c r="A3" s="8" t="s">
        <v>17</v>
      </c>
      <c r="B3" s="11" t="s">
        <v>18</v>
      </c>
      <c r="D3" s="8" t="s">
        <v>19</v>
      </c>
      <c r="E3" s="11" t="s">
        <v>20</v>
      </c>
      <c r="F3" s="14" t="str">
        <f t="shared" ref="F3:F13" si="0">SUBSTITUTE("https://resultados.tse.jus.br/oficial/ele2022/547/dados-simplificados/al/al-c0003-e000547-r.json", "/al/al-", "/"&amp;LOWER($E3)&amp;"/"&amp;LOWER($E3)&amp;"-")</f>
        <v>https://resultados.tse.jus.br/oficial/ele2022/547/dados-simplificados/al/al-c0003-e000547-r.json</v>
      </c>
      <c r="G3" s="44"/>
      <c r="H3" s="44"/>
      <c r="I3" s="44"/>
      <c r="J3" s="44"/>
    </row>
    <row r="4" spans="1:10" x14ac:dyDescent="0.25">
      <c r="A4" s="8" t="s">
        <v>19</v>
      </c>
      <c r="B4" s="11" t="s">
        <v>20</v>
      </c>
      <c r="D4" s="8" t="s">
        <v>23</v>
      </c>
      <c r="E4" s="11" t="s">
        <v>24</v>
      </c>
      <c r="F4" s="14" t="str">
        <f t="shared" si="0"/>
        <v>https://resultados.tse.jus.br/oficial/ele2022/547/dados-simplificados/am/am-c0003-e000547-r.json</v>
      </c>
      <c r="G4" s="44"/>
      <c r="H4" s="44"/>
      <c r="I4" s="44"/>
      <c r="J4" s="44"/>
    </row>
    <row r="5" spans="1:10" x14ac:dyDescent="0.25">
      <c r="A5" s="8" t="s">
        <v>21</v>
      </c>
      <c r="B5" s="11" t="s">
        <v>22</v>
      </c>
      <c r="D5" s="8" t="s">
        <v>25</v>
      </c>
      <c r="E5" s="11" t="s">
        <v>26</v>
      </c>
      <c r="F5" s="14" t="str">
        <f t="shared" si="0"/>
        <v>https://resultados.tse.jus.br/oficial/ele2022/547/dados-simplificados/ba/ba-c0003-e000547-r.json</v>
      </c>
      <c r="G5" s="44"/>
      <c r="H5" s="44"/>
      <c r="I5" s="44"/>
      <c r="J5" s="44"/>
    </row>
    <row r="6" spans="1:10" x14ac:dyDescent="0.25">
      <c r="A6" s="8" t="s">
        <v>23</v>
      </c>
      <c r="B6" s="11" t="s">
        <v>24</v>
      </c>
      <c r="D6" s="8" t="s">
        <v>29</v>
      </c>
      <c r="E6" s="11" t="s">
        <v>30</v>
      </c>
      <c r="F6" s="14" t="str">
        <f t="shared" si="0"/>
        <v>https://resultados.tse.jus.br/oficial/ele2022/547/dados-simplificados/es/es-c0003-e000547-r.json</v>
      </c>
      <c r="G6" s="44"/>
      <c r="H6" s="44"/>
      <c r="I6" s="44"/>
      <c r="J6" s="44"/>
    </row>
    <row r="7" spans="1:10" x14ac:dyDescent="0.25">
      <c r="A7" s="8" t="s">
        <v>25</v>
      </c>
      <c r="B7" s="11" t="s">
        <v>26</v>
      </c>
      <c r="D7" s="8" t="s">
        <v>37</v>
      </c>
      <c r="E7" s="11" t="s">
        <v>38</v>
      </c>
      <c r="F7" s="14" t="str">
        <f t="shared" si="0"/>
        <v>https://resultados.tse.jus.br/oficial/ele2022/547/dados-simplificados/ms/ms-c0003-e000547-r.json</v>
      </c>
      <c r="G7" s="44"/>
      <c r="H7" s="44"/>
      <c r="I7" s="44"/>
      <c r="J7" s="44"/>
    </row>
    <row r="8" spans="1:10" x14ac:dyDescent="0.25">
      <c r="A8" s="8" t="s">
        <v>27</v>
      </c>
      <c r="B8" s="11" t="s">
        <v>28</v>
      </c>
      <c r="D8" s="8" t="s">
        <v>43</v>
      </c>
      <c r="E8" s="11" t="s">
        <v>44</v>
      </c>
      <c r="F8" s="14" t="str">
        <f t="shared" si="0"/>
        <v>https://resultados.tse.jus.br/oficial/ele2022/547/dados-simplificados/pb/pb-c0003-e000547-r.json</v>
      </c>
      <c r="G8" s="44"/>
      <c r="H8" s="44"/>
      <c r="I8" s="44"/>
      <c r="J8" s="44"/>
    </row>
    <row r="9" spans="1:10" x14ac:dyDescent="0.25">
      <c r="A9" s="8" t="s">
        <v>29</v>
      </c>
      <c r="B9" s="11" t="s">
        <v>30</v>
      </c>
      <c r="D9" s="8" t="s">
        <v>47</v>
      </c>
      <c r="E9" s="11" t="s">
        <v>48</v>
      </c>
      <c r="F9" s="14" t="str">
        <f t="shared" si="0"/>
        <v>https://resultados.tse.jus.br/oficial/ele2022/547/dados-simplificados/pe/pe-c0003-e000547-r.json</v>
      </c>
      <c r="G9" s="44"/>
      <c r="H9" s="44"/>
      <c r="I9" s="44"/>
      <c r="J9" s="44"/>
    </row>
    <row r="10" spans="1:10" x14ac:dyDescent="0.25">
      <c r="A10" s="8" t="s">
        <v>31</v>
      </c>
      <c r="B10" s="11" t="s">
        <v>32</v>
      </c>
      <c r="D10" s="8" t="s">
        <v>55</v>
      </c>
      <c r="E10" s="11" t="s">
        <v>56</v>
      </c>
      <c r="F10" s="14" t="str">
        <f t="shared" si="0"/>
        <v>https://resultados.tse.jus.br/oficial/ele2022/547/dados-simplificados/rs/rs-c0003-e000547-r.json</v>
      </c>
      <c r="G10" s="44"/>
      <c r="H10" s="44"/>
      <c r="I10" s="44"/>
      <c r="J10" s="44"/>
    </row>
    <row r="11" spans="1:10" x14ac:dyDescent="0.25">
      <c r="A11" s="8" t="s">
        <v>33</v>
      </c>
      <c r="B11" s="11" t="s">
        <v>34</v>
      </c>
      <c r="D11" s="8" t="s">
        <v>61</v>
      </c>
      <c r="E11" s="11" t="s">
        <v>62</v>
      </c>
      <c r="F11" s="14" t="str">
        <f t="shared" si="0"/>
        <v>https://resultados.tse.jus.br/oficial/ele2022/547/dados-simplificados/sc/sc-c0003-e000547-r.json</v>
      </c>
      <c r="G11" s="44"/>
      <c r="H11" s="44"/>
      <c r="I11" s="44"/>
      <c r="J11" s="44"/>
    </row>
    <row r="12" spans="1:10" x14ac:dyDescent="0.25">
      <c r="A12" s="8" t="s">
        <v>35</v>
      </c>
      <c r="B12" s="11" t="s">
        <v>36</v>
      </c>
      <c r="D12" s="8" t="s">
        <v>63</v>
      </c>
      <c r="E12" s="11" t="s">
        <v>64</v>
      </c>
      <c r="F12" s="14" t="str">
        <f t="shared" si="0"/>
        <v>https://resultados.tse.jus.br/oficial/ele2022/547/dados-simplificados/sp/sp-c0003-e000547-r.json</v>
      </c>
      <c r="G12" s="44">
        <v>40</v>
      </c>
      <c r="H12" s="44">
        <v>47</v>
      </c>
      <c r="I12" s="44">
        <v>60</v>
      </c>
      <c r="J12" s="44">
        <v>53</v>
      </c>
    </row>
    <row r="13" spans="1:10" x14ac:dyDescent="0.25">
      <c r="A13" s="8" t="s">
        <v>37</v>
      </c>
      <c r="B13" s="11" t="s">
        <v>38</v>
      </c>
      <c r="D13" s="8" t="s">
        <v>65</v>
      </c>
      <c r="E13" s="11" t="s">
        <v>66</v>
      </c>
      <c r="F13" s="14" t="str">
        <f t="shared" si="0"/>
        <v>https://resultados.tse.jus.br/oficial/ele2022/547/dados-simplificados/se/se-c0003-e000547-r.json</v>
      </c>
      <c r="G13" s="44"/>
      <c r="H13" s="44"/>
      <c r="I13" s="44"/>
      <c r="J13" s="44"/>
    </row>
    <row r="14" spans="1:10" x14ac:dyDescent="0.25">
      <c r="A14" s="8" t="s">
        <v>39</v>
      </c>
      <c r="B14" s="11" t="s">
        <v>40</v>
      </c>
    </row>
    <row r="15" spans="1:10" x14ac:dyDescent="0.25">
      <c r="A15" s="8" t="s">
        <v>41</v>
      </c>
      <c r="B15" s="11" t="s">
        <v>42</v>
      </c>
      <c r="D15" s="28" t="s">
        <v>73</v>
      </c>
      <c r="G15" s="30" t="s">
        <v>82</v>
      </c>
      <c r="H15" s="30"/>
      <c r="I15" s="30" t="s">
        <v>78</v>
      </c>
      <c r="J15" s="30"/>
    </row>
    <row r="16" spans="1:10" x14ac:dyDescent="0.25">
      <c r="A16" s="8" t="s">
        <v>43</v>
      </c>
      <c r="B16" s="11" t="s">
        <v>44</v>
      </c>
      <c r="D16" s="9" t="s">
        <v>74</v>
      </c>
      <c r="E16" s="10" t="s">
        <v>16</v>
      </c>
      <c r="F16" s="13" t="s">
        <v>0</v>
      </c>
      <c r="G16" s="10" t="s">
        <v>83</v>
      </c>
      <c r="H16" s="10" t="s">
        <v>12</v>
      </c>
      <c r="I16" s="10" t="s">
        <v>83</v>
      </c>
      <c r="J16" s="10" t="s">
        <v>12</v>
      </c>
    </row>
    <row r="17" spans="1:10" x14ac:dyDescent="0.25">
      <c r="A17" s="8" t="s">
        <v>45</v>
      </c>
      <c r="B17" s="11" t="s">
        <v>46</v>
      </c>
      <c r="D17" s="8" t="s">
        <v>75</v>
      </c>
      <c r="E17" s="11" t="s">
        <v>76</v>
      </c>
      <c r="F17" s="14" t="s">
        <v>81</v>
      </c>
      <c r="G17" s="43">
        <v>46.6</v>
      </c>
      <c r="H17" s="43">
        <v>48</v>
      </c>
      <c r="I17" s="43">
        <v>53.4</v>
      </c>
      <c r="J17" s="43">
        <v>52</v>
      </c>
    </row>
    <row r="18" spans="1:10" x14ac:dyDescent="0.25">
      <c r="A18" s="8" t="s">
        <v>47</v>
      </c>
      <c r="B18" s="11" t="s">
        <v>48</v>
      </c>
    </row>
    <row r="19" spans="1:10" x14ac:dyDescent="0.25">
      <c r="A19" s="8" t="s">
        <v>49</v>
      </c>
      <c r="B19" s="11" t="s">
        <v>50</v>
      </c>
    </row>
    <row r="20" spans="1:10" x14ac:dyDescent="0.25">
      <c r="A20" s="8" t="s">
        <v>51</v>
      </c>
      <c r="B20" s="11" t="s">
        <v>52</v>
      </c>
      <c r="D20" s="28" t="s">
        <v>92</v>
      </c>
      <c r="G20" s="34"/>
    </row>
    <row r="21" spans="1:10" x14ac:dyDescent="0.25">
      <c r="A21" s="8" t="s">
        <v>53</v>
      </c>
      <c r="B21" s="11" t="s">
        <v>54</v>
      </c>
      <c r="D21" s="9" t="s">
        <v>93</v>
      </c>
      <c r="E21" s="10" t="s">
        <v>16</v>
      </c>
      <c r="F21" s="13" t="s">
        <v>0</v>
      </c>
      <c r="G21" s="10" t="s">
        <v>101</v>
      </c>
      <c r="H21" s="36" t="s">
        <v>110</v>
      </c>
      <c r="I21" s="36"/>
    </row>
    <row r="22" spans="1:10" x14ac:dyDescent="0.25">
      <c r="A22" s="8" t="s">
        <v>55</v>
      </c>
      <c r="B22" s="11" t="s">
        <v>56</v>
      </c>
      <c r="D22" s="8" t="s">
        <v>105</v>
      </c>
      <c r="E22" s="11" t="s">
        <v>76</v>
      </c>
      <c r="F22" s="42" t="s">
        <v>97</v>
      </c>
      <c r="G22" s="18">
        <v>40</v>
      </c>
      <c r="H22" s="41" t="s">
        <v>112</v>
      </c>
      <c r="I22" s="41"/>
    </row>
    <row r="23" spans="1:10" x14ac:dyDescent="0.25">
      <c r="A23" s="8" t="s">
        <v>57</v>
      </c>
      <c r="B23" s="11" t="s">
        <v>58</v>
      </c>
      <c r="D23" s="8" t="s">
        <v>107</v>
      </c>
      <c r="E23" s="11" t="s">
        <v>76</v>
      </c>
      <c r="F23" s="42" t="s">
        <v>108</v>
      </c>
      <c r="G23" s="18">
        <v>40</v>
      </c>
      <c r="H23" s="41" t="s">
        <v>112</v>
      </c>
      <c r="I23" s="41"/>
    </row>
    <row r="24" spans="1:10" x14ac:dyDescent="0.25">
      <c r="A24" s="8" t="s">
        <v>59</v>
      </c>
      <c r="B24" s="11" t="s">
        <v>60</v>
      </c>
      <c r="D24" s="8" t="s">
        <v>94</v>
      </c>
      <c r="E24" s="11" t="s">
        <v>76</v>
      </c>
      <c r="F24" s="42" t="s">
        <v>96</v>
      </c>
      <c r="G24" s="18">
        <v>60</v>
      </c>
      <c r="H24" s="41" t="s">
        <v>111</v>
      </c>
      <c r="I24" s="41"/>
    </row>
    <row r="25" spans="1:10" x14ac:dyDescent="0.25">
      <c r="A25" s="8" t="s">
        <v>61</v>
      </c>
      <c r="B25" s="11" t="s">
        <v>62</v>
      </c>
      <c r="D25" s="8" t="s">
        <v>95</v>
      </c>
      <c r="E25" s="11" t="s">
        <v>76</v>
      </c>
      <c r="F25" s="42" t="s">
        <v>98</v>
      </c>
      <c r="G25" s="18">
        <v>60</v>
      </c>
      <c r="H25" s="41" t="s">
        <v>111</v>
      </c>
      <c r="I25" s="41"/>
    </row>
    <row r="26" spans="1:10" x14ac:dyDescent="0.25">
      <c r="A26" s="8" t="s">
        <v>63</v>
      </c>
      <c r="B26" s="11" t="s">
        <v>64</v>
      </c>
      <c r="D26" s="8" t="s">
        <v>113</v>
      </c>
      <c r="E26" s="11" t="s">
        <v>76</v>
      </c>
      <c r="F26" s="45" t="s">
        <v>118</v>
      </c>
      <c r="G26" s="18">
        <v>1.5</v>
      </c>
      <c r="H26" s="41" t="s">
        <v>115</v>
      </c>
      <c r="I26" s="41"/>
    </row>
    <row r="27" spans="1:10" x14ac:dyDescent="0.25">
      <c r="A27" s="8" t="s">
        <v>65</v>
      </c>
      <c r="B27" s="11" t="s">
        <v>66</v>
      </c>
      <c r="D27" s="8" t="s">
        <v>114</v>
      </c>
      <c r="E27" s="11" t="s">
        <v>76</v>
      </c>
      <c r="F27" s="45" t="s">
        <v>117</v>
      </c>
      <c r="G27" s="18">
        <v>1.5</v>
      </c>
      <c r="H27" s="41" t="s">
        <v>115</v>
      </c>
      <c r="I27" s="41"/>
    </row>
    <row r="28" spans="1:10" x14ac:dyDescent="0.25">
      <c r="A28" s="8" t="s">
        <v>67</v>
      </c>
      <c r="B28" s="11" t="s">
        <v>68</v>
      </c>
    </row>
    <row r="29" spans="1:10" x14ac:dyDescent="0.25">
      <c r="A29" s="8" t="s">
        <v>69</v>
      </c>
      <c r="B29" s="11" t="s">
        <v>70</v>
      </c>
    </row>
  </sheetData>
  <mergeCells count="11">
    <mergeCell ref="H27:I27"/>
    <mergeCell ref="H22:I22"/>
    <mergeCell ref="H23:I23"/>
    <mergeCell ref="H24:I24"/>
    <mergeCell ref="H25:I25"/>
    <mergeCell ref="H26:I26"/>
    <mergeCell ref="G1:H1"/>
    <mergeCell ref="G15:H15"/>
    <mergeCell ref="I15:J15"/>
    <mergeCell ref="I1:J1"/>
    <mergeCell ref="H21:I21"/>
  </mergeCells>
  <hyperlinks>
    <hyperlink ref="F17" r:id="rId1" xr:uid="{8B0C24D9-BDD4-49C8-B250-B8F13FCDA087}"/>
    <hyperlink ref="F4:F13" r:id="rId2" display="https://resultados.tse.jus.br/oficial/ele2022/545/dados-simplificados/br/br-c0001-e000545-r.json" xr:uid="{C153CACB-B9CF-42DC-ABE1-4EC080539F29}"/>
    <hyperlink ref="F3:F4" r:id="rId3" display="https://resultados.tse.jus.br/oficial/ele2022/545/dados-simplificados/br/br-c0001-e000545-r.json" xr:uid="{39097E1A-7A04-45EE-865B-0E36D4EE2C5A}"/>
    <hyperlink ref="F22" r:id="rId4" xr:uid="{73B4AB99-353D-4ED2-988F-DCC5935BCC2F}"/>
    <hyperlink ref="F24" r:id="rId5" xr:uid="{E4DFFC88-92AD-4F59-9D2A-3D4EB2341B87}"/>
    <hyperlink ref="F25" r:id="rId6" xr:uid="{CA15EBDA-AD48-4105-8257-FB3586BD869E}"/>
    <hyperlink ref="F23" r:id="rId7" xr:uid="{87C32D0A-7143-4448-9994-BEE3DD7983E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Presidente 2T</vt:lpstr>
      <vt:lpstr>Governador 2T</vt:lpstr>
      <vt:lpstr>Log da Apuracao</vt:lpstr>
      <vt:lpstr>Listas</vt:lpstr>
      <vt:lpstr>Estados</vt:lpstr>
      <vt:lpstr>Estados_2T</vt:lpstr>
      <vt:lpstr>Estados_2T_URL</vt:lpstr>
      <vt:lpstr>GatilhoApurados</vt:lpstr>
      <vt:lpstr>GatilhoVantagem</vt:lpstr>
      <vt:lpstr>'Governador 2T'!json_br</vt:lpstr>
      <vt:lpstr>'Presidente 2T'!json_br</vt:lpstr>
      <vt:lpstr>'Presidente 2T'!json_estados</vt:lpstr>
      <vt:lpstr>LOG_PRESIDENTE</vt:lpstr>
      <vt:lpstr>MIDIA_STATUS</vt:lpstr>
      <vt:lpstr>PresidenteFrente</vt:lpstr>
      <vt:lpstr>PresidenteResultados</vt:lpstr>
      <vt:lpstr>TabelaMomentosCruciais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2022-10-02T04:30:50Z</dcterms:created>
  <dcterms:modified xsi:type="dcterms:W3CDTF">2022-10-30T04:47:06Z</dcterms:modified>
</cp:coreProperties>
</file>